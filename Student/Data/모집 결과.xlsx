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안중재\Desktop\PROJECT\Student\Data\"/>
    </mc:Choice>
  </mc:AlternateContent>
  <xr:revisionPtr revIDLastSave="0" documentId="13_ncr:1_{96ADB5A3-8B2B-409E-A2CA-7C38D2626EE6}" xr6:coauthVersionLast="47" xr6:coauthVersionMax="47" xr10:uidLastSave="{00000000-0000-0000-0000-000000000000}"/>
  <bookViews>
    <workbookView xWindow="31545" yWindow="3045" windowWidth="21600" windowHeight="11295" activeTab="2" xr2:uid="{00000000-000D-0000-FFFF-FFFF00000000}"/>
  </bookViews>
  <sheets>
    <sheet name="설문지 응답 시트1" sheetId="1" r:id="rId1"/>
    <sheet name="면접활용시트" sheetId="3" r:id="rId2"/>
    <sheet name="면접 결과 관리" sheetId="4" r:id="rId3"/>
  </sheets>
  <calcPr calcId="191029"/>
</workbook>
</file>

<file path=xl/calcChain.xml><?xml version="1.0" encoding="utf-8"?>
<calcChain xmlns="http://schemas.openxmlformats.org/spreadsheetml/2006/main">
  <c r="H210" i="4" l="1"/>
  <c r="F210" i="4"/>
  <c r="E210" i="4"/>
  <c r="H209" i="4"/>
  <c r="F209" i="4"/>
  <c r="E209" i="4"/>
  <c r="H208" i="4"/>
  <c r="F208" i="4"/>
  <c r="E208" i="4"/>
  <c r="H207" i="4"/>
  <c r="F207" i="4"/>
  <c r="E207" i="4"/>
  <c r="H206" i="4"/>
  <c r="F206" i="4"/>
  <c r="E206" i="4"/>
  <c r="H205" i="4"/>
  <c r="F205" i="4"/>
  <c r="E205" i="4"/>
  <c r="H204" i="4"/>
  <c r="F204" i="4"/>
  <c r="E204" i="4"/>
  <c r="H203" i="4"/>
  <c r="F203" i="4"/>
  <c r="E203" i="4"/>
  <c r="H202" i="4"/>
  <c r="F202" i="4"/>
  <c r="E202" i="4"/>
  <c r="H201" i="4"/>
  <c r="F201" i="4"/>
  <c r="E201" i="4"/>
  <c r="H200" i="4"/>
  <c r="F200" i="4"/>
  <c r="E200" i="4"/>
  <c r="H199" i="4"/>
  <c r="F199" i="4"/>
  <c r="E199" i="4"/>
  <c r="H198" i="4"/>
  <c r="F198" i="4"/>
  <c r="E198" i="4"/>
  <c r="H197" i="4"/>
  <c r="F197" i="4"/>
  <c r="E197" i="4"/>
  <c r="H196" i="4"/>
  <c r="F196" i="4"/>
  <c r="E196" i="4"/>
  <c r="H195" i="4"/>
  <c r="F195" i="4"/>
  <c r="E195" i="4"/>
  <c r="H194" i="4"/>
  <c r="F194" i="4"/>
  <c r="E194" i="4"/>
  <c r="H193" i="4"/>
  <c r="F193" i="4"/>
  <c r="E193" i="4"/>
  <c r="H192" i="4"/>
  <c r="F192" i="4"/>
  <c r="E192" i="4"/>
  <c r="H191" i="4"/>
  <c r="F191" i="4"/>
  <c r="E191" i="4"/>
  <c r="H190" i="4"/>
  <c r="F190" i="4"/>
  <c r="E190" i="4"/>
  <c r="H189" i="4"/>
  <c r="F189" i="4"/>
  <c r="E189" i="4"/>
  <c r="H188" i="4"/>
  <c r="F188" i="4"/>
  <c r="E188" i="4"/>
  <c r="H187" i="4"/>
  <c r="F187" i="4"/>
  <c r="E187" i="4"/>
  <c r="H186" i="4"/>
  <c r="F186" i="4"/>
  <c r="E186" i="4"/>
  <c r="H185" i="4"/>
  <c r="F185" i="4"/>
  <c r="E185" i="4"/>
  <c r="H184" i="4"/>
  <c r="F184" i="4"/>
  <c r="E184" i="4"/>
  <c r="H183" i="4"/>
  <c r="F183" i="4"/>
  <c r="E183" i="4"/>
  <c r="H182" i="4"/>
  <c r="F182" i="4"/>
  <c r="E182" i="4"/>
  <c r="H181" i="4"/>
  <c r="F181" i="4"/>
  <c r="E181" i="4"/>
  <c r="H180" i="4"/>
  <c r="F180" i="4"/>
  <c r="E180" i="4"/>
  <c r="H179" i="4"/>
  <c r="F179" i="4"/>
  <c r="E179" i="4"/>
  <c r="H178" i="4"/>
  <c r="F178" i="4"/>
  <c r="E178" i="4"/>
  <c r="H177" i="4"/>
  <c r="F177" i="4"/>
  <c r="E177" i="4"/>
  <c r="H176" i="4"/>
  <c r="F176" i="4"/>
  <c r="E176" i="4"/>
  <c r="H175" i="4"/>
  <c r="F175" i="4"/>
  <c r="E175" i="4"/>
  <c r="H174" i="4"/>
  <c r="F174" i="4"/>
  <c r="E174" i="4"/>
  <c r="H173" i="4"/>
  <c r="F173" i="4"/>
  <c r="E173" i="4"/>
  <c r="H172" i="4"/>
  <c r="F172" i="4"/>
  <c r="E172" i="4"/>
  <c r="H171" i="4"/>
  <c r="F171" i="4"/>
  <c r="E171" i="4"/>
  <c r="H170" i="4"/>
  <c r="F170" i="4"/>
  <c r="E170" i="4"/>
  <c r="H169" i="4"/>
  <c r="F169" i="4"/>
  <c r="E169" i="4"/>
  <c r="H168" i="4"/>
  <c r="F168" i="4"/>
  <c r="E168" i="4"/>
  <c r="H167" i="4"/>
  <c r="F167" i="4"/>
  <c r="E167" i="4"/>
  <c r="H166" i="4"/>
  <c r="F166" i="4"/>
  <c r="E166" i="4"/>
  <c r="H165" i="4"/>
  <c r="F165" i="4"/>
  <c r="E165" i="4"/>
  <c r="H164" i="4"/>
  <c r="F164" i="4"/>
  <c r="E164" i="4"/>
  <c r="H163" i="4"/>
  <c r="F163" i="4"/>
  <c r="E163" i="4"/>
  <c r="H162" i="4"/>
  <c r="F162" i="4"/>
  <c r="E162" i="4"/>
  <c r="H161" i="4"/>
  <c r="F161" i="4"/>
  <c r="E161" i="4"/>
  <c r="H160" i="4"/>
  <c r="F160" i="4"/>
  <c r="E160" i="4"/>
  <c r="H159" i="4"/>
  <c r="F159" i="4"/>
  <c r="E159" i="4"/>
  <c r="H158" i="4"/>
  <c r="F158" i="4"/>
  <c r="E158" i="4"/>
  <c r="H157" i="4"/>
  <c r="F157" i="4"/>
  <c r="E157" i="4"/>
  <c r="H156" i="4"/>
  <c r="F156" i="4"/>
  <c r="E156" i="4"/>
  <c r="H155" i="4"/>
  <c r="F155" i="4"/>
  <c r="E155" i="4"/>
  <c r="H154" i="4"/>
  <c r="F154" i="4"/>
  <c r="E154" i="4"/>
  <c r="H153" i="4"/>
  <c r="F153" i="4"/>
  <c r="E153" i="4"/>
  <c r="H152" i="4"/>
  <c r="F152" i="4"/>
  <c r="E152" i="4"/>
  <c r="H151" i="4"/>
  <c r="F151" i="4"/>
  <c r="E151" i="4"/>
  <c r="H150" i="4"/>
  <c r="F150" i="4"/>
  <c r="E150" i="4"/>
  <c r="H149" i="4"/>
  <c r="F149" i="4"/>
  <c r="E149" i="4"/>
  <c r="H148" i="4"/>
  <c r="F148" i="4"/>
  <c r="E148" i="4"/>
  <c r="H147" i="4"/>
  <c r="F147" i="4"/>
  <c r="E147" i="4"/>
  <c r="H146" i="4"/>
  <c r="F146" i="4"/>
  <c r="E146" i="4"/>
  <c r="H145" i="4"/>
  <c r="F145" i="4"/>
  <c r="E145" i="4"/>
  <c r="H144" i="4"/>
  <c r="F144" i="4"/>
  <c r="E144" i="4"/>
  <c r="H143" i="4"/>
  <c r="F143" i="4"/>
  <c r="E143" i="4"/>
  <c r="H142" i="4"/>
  <c r="F142" i="4"/>
  <c r="E142" i="4"/>
  <c r="H141" i="4"/>
  <c r="F141" i="4"/>
  <c r="E141" i="4"/>
  <c r="H140" i="4"/>
  <c r="F140" i="4"/>
  <c r="E140" i="4"/>
  <c r="H139" i="4"/>
  <c r="F139" i="4"/>
  <c r="E139" i="4"/>
  <c r="H138" i="4"/>
  <c r="F138" i="4"/>
  <c r="E138" i="4"/>
  <c r="H137" i="4"/>
  <c r="F137" i="4"/>
  <c r="E137" i="4"/>
  <c r="H136" i="4"/>
  <c r="F136" i="4"/>
  <c r="E136" i="4"/>
  <c r="H135" i="4"/>
  <c r="F135" i="4"/>
  <c r="E135" i="4"/>
  <c r="H134" i="4"/>
  <c r="F134" i="4"/>
  <c r="E134" i="4"/>
  <c r="H133" i="4"/>
  <c r="F133" i="4"/>
  <c r="E133" i="4"/>
  <c r="H132" i="4"/>
  <c r="F132" i="4"/>
  <c r="E132" i="4"/>
  <c r="H131" i="4"/>
  <c r="F131" i="4"/>
  <c r="E131" i="4"/>
  <c r="H130" i="4"/>
  <c r="F130" i="4"/>
  <c r="E130" i="4"/>
  <c r="H129" i="4"/>
  <c r="F129" i="4"/>
  <c r="E129" i="4"/>
  <c r="H128" i="4"/>
  <c r="F128" i="4"/>
  <c r="E128" i="4"/>
  <c r="H127" i="4"/>
  <c r="F127" i="4"/>
  <c r="E127" i="4"/>
  <c r="H126" i="4"/>
  <c r="F126" i="4"/>
  <c r="E126" i="4"/>
  <c r="H125" i="4"/>
  <c r="F125" i="4"/>
  <c r="E125" i="4"/>
  <c r="H124" i="4"/>
  <c r="F124" i="4"/>
  <c r="E124" i="4"/>
  <c r="H123" i="4"/>
  <c r="F123" i="4"/>
  <c r="E123" i="4"/>
  <c r="H122" i="4"/>
  <c r="F122" i="4"/>
  <c r="E122" i="4"/>
  <c r="H121" i="4"/>
  <c r="F121" i="4"/>
  <c r="E121" i="4"/>
  <c r="H120" i="4"/>
  <c r="F120" i="4"/>
  <c r="E120" i="4"/>
  <c r="H119" i="4"/>
  <c r="F119" i="4"/>
  <c r="E119" i="4"/>
  <c r="H118" i="4"/>
  <c r="F118" i="4"/>
  <c r="E118" i="4"/>
  <c r="H117" i="4"/>
  <c r="F117" i="4"/>
  <c r="E117" i="4"/>
  <c r="H116" i="4"/>
  <c r="F116" i="4"/>
  <c r="E116" i="4"/>
  <c r="H115" i="4"/>
  <c r="F115" i="4"/>
  <c r="E115" i="4"/>
  <c r="H114" i="4"/>
  <c r="F114" i="4"/>
  <c r="E114" i="4"/>
  <c r="H113" i="4"/>
  <c r="F113" i="4"/>
  <c r="E113" i="4"/>
  <c r="H112" i="4"/>
  <c r="F112" i="4"/>
  <c r="E112" i="4"/>
  <c r="H111" i="4"/>
  <c r="F111" i="4"/>
  <c r="E111" i="4"/>
  <c r="H110" i="4"/>
  <c r="F110" i="4"/>
  <c r="E110" i="4"/>
  <c r="H109" i="4"/>
  <c r="F109" i="4"/>
  <c r="E109" i="4"/>
  <c r="H108" i="4"/>
  <c r="F108" i="4"/>
  <c r="E108" i="4"/>
  <c r="H107" i="4"/>
  <c r="F107" i="4"/>
  <c r="E107" i="4"/>
  <c r="H106" i="4"/>
  <c r="F106" i="4"/>
  <c r="E106" i="4"/>
  <c r="H105" i="4"/>
  <c r="F105" i="4"/>
  <c r="E105" i="4"/>
  <c r="H104" i="4"/>
  <c r="F104" i="4"/>
  <c r="E104" i="4"/>
  <c r="H103" i="4"/>
  <c r="F103" i="4"/>
  <c r="E103" i="4"/>
  <c r="H102" i="4"/>
  <c r="F102" i="4"/>
  <c r="E102" i="4"/>
  <c r="H101" i="4"/>
  <c r="F101" i="4"/>
  <c r="E101" i="4"/>
  <c r="H100" i="4"/>
  <c r="F100" i="4"/>
  <c r="E100" i="4"/>
  <c r="H99" i="4"/>
  <c r="F99" i="4"/>
  <c r="E99" i="4"/>
  <c r="H98" i="4"/>
  <c r="F98" i="4"/>
  <c r="E98" i="4"/>
  <c r="H97" i="4"/>
  <c r="F97" i="4"/>
  <c r="E97" i="4"/>
  <c r="H96" i="4"/>
  <c r="F96" i="4"/>
  <c r="E96" i="4"/>
  <c r="H95" i="4"/>
  <c r="F95" i="4"/>
  <c r="E95" i="4"/>
  <c r="H94" i="4"/>
  <c r="F94" i="4"/>
  <c r="E94" i="4"/>
  <c r="H93" i="4"/>
  <c r="F93" i="4"/>
  <c r="E93" i="4"/>
  <c r="H92" i="4"/>
  <c r="F92" i="4"/>
  <c r="E92" i="4"/>
  <c r="H91" i="4"/>
  <c r="F91" i="4"/>
  <c r="E91" i="4"/>
  <c r="H90" i="4"/>
  <c r="F90" i="4"/>
  <c r="E90" i="4"/>
  <c r="H89" i="4"/>
  <c r="F89" i="4"/>
  <c r="E89" i="4"/>
  <c r="H88" i="4"/>
  <c r="F88" i="4"/>
  <c r="E88" i="4"/>
  <c r="H87" i="4"/>
  <c r="F87" i="4"/>
  <c r="E87" i="4"/>
  <c r="H86" i="4"/>
  <c r="F86" i="4"/>
  <c r="E86" i="4"/>
  <c r="H85" i="4"/>
  <c r="F85" i="4"/>
  <c r="E85" i="4"/>
  <c r="H84" i="4"/>
  <c r="F84" i="4"/>
  <c r="E84" i="4"/>
  <c r="H83" i="4"/>
  <c r="F83" i="4"/>
  <c r="E83" i="4"/>
  <c r="H82" i="4"/>
  <c r="F82" i="4"/>
  <c r="E82" i="4"/>
  <c r="H81" i="4"/>
  <c r="F81" i="4"/>
  <c r="E81" i="4"/>
  <c r="H80" i="4"/>
  <c r="F80" i="4"/>
  <c r="E80" i="4"/>
  <c r="H79" i="4"/>
  <c r="F79" i="4"/>
  <c r="E79" i="4"/>
  <c r="H78" i="4"/>
  <c r="F78" i="4"/>
  <c r="E78" i="4"/>
  <c r="H77" i="4"/>
  <c r="F77" i="4"/>
  <c r="E77" i="4"/>
  <c r="H76" i="4"/>
  <c r="F76" i="4"/>
  <c r="E76" i="4"/>
  <c r="H75" i="4"/>
  <c r="F75" i="4"/>
  <c r="E75" i="4"/>
  <c r="H74" i="4"/>
  <c r="F74" i="4"/>
  <c r="E74" i="4"/>
  <c r="H73" i="4"/>
  <c r="F73" i="4"/>
  <c r="E73" i="4"/>
  <c r="H72" i="4"/>
  <c r="F72" i="4"/>
  <c r="E72" i="4"/>
  <c r="H71" i="4"/>
  <c r="F71" i="4"/>
  <c r="E71" i="4"/>
  <c r="H70" i="4"/>
  <c r="F70" i="4"/>
  <c r="E70" i="4"/>
  <c r="H69" i="4"/>
  <c r="F69" i="4"/>
  <c r="E69" i="4"/>
  <c r="H68" i="4"/>
  <c r="F68" i="4"/>
  <c r="E68" i="4"/>
  <c r="H67" i="4"/>
  <c r="F67" i="4"/>
  <c r="E67" i="4"/>
  <c r="H66" i="4"/>
  <c r="F66" i="4"/>
  <c r="E66" i="4"/>
  <c r="H65" i="4"/>
  <c r="F65" i="4"/>
  <c r="E65" i="4"/>
  <c r="H64" i="4"/>
  <c r="F64" i="4"/>
  <c r="E64" i="4"/>
  <c r="H63" i="4"/>
  <c r="F63" i="4"/>
  <c r="E63" i="4"/>
  <c r="H62" i="4"/>
  <c r="F62" i="4"/>
  <c r="E62" i="4"/>
  <c r="H61" i="4"/>
  <c r="F61" i="4"/>
  <c r="E61" i="4"/>
  <c r="H60" i="4"/>
  <c r="F60" i="4"/>
  <c r="E60" i="4"/>
  <c r="H59" i="4"/>
  <c r="F59" i="4"/>
  <c r="E59" i="4"/>
  <c r="H58" i="4"/>
  <c r="F58" i="4"/>
  <c r="E58" i="4"/>
  <c r="H57" i="4"/>
  <c r="F57" i="4"/>
  <c r="E57" i="4"/>
  <c r="H56" i="4"/>
  <c r="F56" i="4"/>
  <c r="E56" i="4"/>
  <c r="H55" i="4"/>
  <c r="F55" i="4"/>
  <c r="E55" i="4"/>
  <c r="H54" i="4"/>
  <c r="F54" i="4"/>
  <c r="E54" i="4"/>
  <c r="H53" i="4"/>
  <c r="F53" i="4"/>
  <c r="E53" i="4"/>
  <c r="H52" i="4"/>
  <c r="F52" i="4"/>
  <c r="E52" i="4"/>
  <c r="H51" i="4"/>
  <c r="F51" i="4"/>
  <c r="E51" i="4"/>
  <c r="H50" i="4"/>
  <c r="F50" i="4"/>
  <c r="E50" i="4"/>
  <c r="H49" i="4"/>
  <c r="F49" i="4"/>
  <c r="E49" i="4"/>
  <c r="H48" i="4"/>
  <c r="F48" i="4"/>
  <c r="E48" i="4"/>
  <c r="H47" i="4"/>
  <c r="F47" i="4"/>
  <c r="E47" i="4"/>
  <c r="H46" i="4"/>
  <c r="F46" i="4"/>
  <c r="E46" i="4"/>
  <c r="H45" i="4"/>
  <c r="F45" i="4"/>
  <c r="E45" i="4"/>
  <c r="H44" i="4"/>
  <c r="F44" i="4"/>
  <c r="E44" i="4"/>
  <c r="H43" i="4"/>
  <c r="F43" i="4"/>
  <c r="E43" i="4"/>
  <c r="H42" i="4"/>
  <c r="F42" i="4"/>
  <c r="E42" i="4"/>
  <c r="H41" i="4"/>
  <c r="F41" i="4"/>
  <c r="E41" i="4"/>
  <c r="H40" i="4"/>
  <c r="F40" i="4"/>
  <c r="E40" i="4"/>
  <c r="H39" i="4"/>
  <c r="F39" i="4"/>
  <c r="E39" i="4"/>
  <c r="H38" i="4"/>
  <c r="F38" i="4"/>
  <c r="E38" i="4"/>
  <c r="H37" i="4"/>
  <c r="F37" i="4"/>
  <c r="E37" i="4"/>
  <c r="H36" i="4"/>
  <c r="F36" i="4"/>
  <c r="E36" i="4"/>
  <c r="H35" i="4"/>
  <c r="F35" i="4"/>
  <c r="E35" i="4"/>
  <c r="H34" i="4"/>
  <c r="F34" i="4"/>
  <c r="E34" i="4"/>
  <c r="H33" i="4"/>
  <c r="F33" i="4"/>
  <c r="E33" i="4"/>
  <c r="H32" i="4"/>
  <c r="F32" i="4"/>
  <c r="E32" i="4"/>
  <c r="H31"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B11" i="4"/>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H8" i="4"/>
  <c r="I8" i="4" s="1"/>
  <c r="AH7" i="4"/>
  <c r="I6" i="4" s="1"/>
  <c r="H7" i="4"/>
  <c r="H6" i="4"/>
  <c r="AH5" i="4"/>
  <c r="H5" i="4"/>
  <c r="I5" i="4" s="1"/>
  <c r="B62" i="3" a="1"/>
  <c r="B62" i="3" s="1"/>
  <c r="B55" i="3" a="1"/>
  <c r="B55" i="3" s="1"/>
  <c r="B45" i="3" a="1"/>
  <c r="B45" i="3" s="1"/>
  <c r="B35" i="3" a="1"/>
  <c r="B35" i="3" s="1"/>
  <c r="B30" i="3" a="1"/>
  <c r="B30" i="3" s="1"/>
  <c r="E27" i="3" a="1"/>
  <c r="E27" i="3" s="1"/>
  <c r="E25" i="3" a="1"/>
  <c r="E25" i="3" s="1"/>
  <c r="E23" i="3" a="1"/>
  <c r="E23" i="3" s="1"/>
  <c r="B17" i="3" a="1"/>
  <c r="B17" i="3" s="1"/>
  <c r="E14" i="3" a="1"/>
  <c r="E14" i="3" s="1"/>
  <c r="D14" i="3" a="1"/>
  <c r="D14" i="3" s="1"/>
  <c r="E12" i="3" a="1"/>
  <c r="E12" i="3" s="1"/>
  <c r="D12" i="3" a="1"/>
  <c r="D12" i="3" s="1"/>
  <c r="H10" i="3" a="1"/>
  <c r="H10" i="3" s="1"/>
  <c r="F10" i="3" a="1"/>
  <c r="F10" i="3" s="1"/>
  <c r="C10" i="3" a="1"/>
  <c r="C10" i="3" s="1"/>
  <c r="H7" i="3" a="1"/>
  <c r="H7" i="3" s="1"/>
  <c r="F7" i="3" a="1"/>
  <c r="F7" i="3" s="1"/>
  <c r="C7" i="3" a="1"/>
  <c r="C7" i="3" s="1"/>
  <c r="C5" i="3" a="1"/>
  <c r="C5" i="3" s="1"/>
  <c r="Q6" i="4" l="1" a="1"/>
  <c r="Q6" i="4" s="1"/>
  <c r="R6" i="4" s="1"/>
  <c r="U7" i="4"/>
  <c r="V7" i="4" s="1"/>
  <c r="AC7" i="4"/>
  <c r="AD7" i="4" s="1"/>
  <c r="AC6" i="4"/>
  <c r="AD6" i="4" s="1"/>
  <c r="U5" i="4"/>
  <c r="V5" i="4" s="1"/>
  <c r="Q7" i="4" a="1"/>
  <c r="Q7" i="4" s="1"/>
  <c r="R7" i="4" s="1"/>
  <c r="Q5" i="4" a="1"/>
  <c r="Q5" i="4" s="1"/>
  <c r="R5" i="4" s="1"/>
  <c r="Y5" i="4"/>
  <c r="Z5" i="4" s="1"/>
  <c r="AC5" i="4"/>
  <c r="I7" i="4"/>
  <c r="AH6" i="4"/>
  <c r="Q8" i="4" l="1"/>
  <c r="R8" i="4" s="1"/>
  <c r="Y7" i="4"/>
  <c r="Z7" i="4" s="1"/>
  <c r="AD5" i="4"/>
  <c r="AC8" i="4"/>
  <c r="AD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62" authorId="0" shapeId="0" xr:uid="{00000000-0006-0000-0300-000001000000}">
      <text>
        <r>
          <rPr>
            <sz val="10"/>
            <color rgb="FF000000"/>
            <rFont val="Arial"/>
            <scheme val="minor"/>
          </rPr>
          <t>플밍으로 변경</t>
        </r>
      </text>
    </comment>
    <comment ref="M75" authorId="0" shapeId="0" xr:uid="{00000000-0006-0000-0300-000002000000}">
      <text>
        <r>
          <rPr>
            <sz val="10"/>
            <color rgb="FF000000"/>
            <rFont val="Arial"/>
            <scheme val="minor"/>
          </rPr>
          <t>플밍 고민</t>
        </r>
      </text>
    </comment>
    <comment ref="M79" authorId="0" shapeId="0" xr:uid="{00000000-0006-0000-0300-000003000000}">
      <text>
        <r>
          <rPr>
            <sz val="10"/>
            <color rgb="FF000000"/>
            <rFont val="Arial"/>
            <scheme val="minor"/>
          </rPr>
          <t>예비</t>
        </r>
      </text>
    </comment>
    <comment ref="M80" authorId="0" shapeId="0" xr:uid="{00000000-0006-0000-0300-000004000000}">
      <text>
        <r>
          <rPr>
            <sz val="10"/>
            <color rgb="FF000000"/>
            <rFont val="Arial"/>
            <scheme val="minor"/>
          </rPr>
          <t>플밍으로 변경</t>
        </r>
      </text>
    </comment>
  </commentList>
</comments>
</file>

<file path=xl/sharedStrings.xml><?xml version="1.0" encoding="utf-8"?>
<sst xmlns="http://schemas.openxmlformats.org/spreadsheetml/2006/main" count="4428" uniqueCount="1847">
  <si>
    <t>wnwo</t>
  </si>
  <si>
    <t>이메일 주소</t>
  </si>
  <si>
    <t>1. 이름</t>
  </si>
  <si>
    <t>2. 성별</t>
  </si>
  <si>
    <t>3. 나이</t>
  </si>
  <si>
    <t>4. 최종학력 체크</t>
  </si>
  <si>
    <t xml:space="preserve">5. 본 과정과 연관하였을 때 여러분은 전공자인가요 ? </t>
  </si>
  <si>
    <t>6. 학교와 전공</t>
  </si>
  <si>
    <t>7. 1분 자기소개를 작성해주세요.</t>
  </si>
  <si>
    <t xml:space="preserve">8. 본 과정에 참여를 신청한 이유는 무엇인가요? </t>
  </si>
  <si>
    <t>9. 지금까지 게임과 관련된 학습 및 업무 경험이 있습니까?</t>
  </si>
  <si>
    <t>10. 과정과 관련된 취업 분야를 알고 있는만큼 적어주세요.</t>
  </si>
  <si>
    <t xml:space="preserve">11. 수료 후 자신의 목표를 작성해주세요. </t>
  </si>
  <si>
    <t>12. 화상 수업을 위한 캠 + 마이크 보유사항을 체크해주세요</t>
  </si>
  <si>
    <t xml:space="preserve">13. 본인이 앓고 있는 지병 혹은 질환이 있나요? </t>
  </si>
  <si>
    <t>(13번 질문에 예를 선택하신 경우)지병 혹은 질환이 있다면 어떤 상황인지, 복용하고 있는 약이 있다면 간략히 작성해주세요. 장기 훈련 과정을 진행하기에 앞서 도움을 드리기 위해 파악됩니다.</t>
  </si>
  <si>
    <t>14. 타인과의 갈등 속에서 당신은 어떻게 대처하나요?</t>
  </si>
  <si>
    <t xml:space="preserve">15. 여러분은 자신의 실수나 실패에 대체로 어떻게 대응하시나요? </t>
  </si>
  <si>
    <t>16. 타인의 부족한 부분을 보았을 때 어떻게 대처하시나요?</t>
  </si>
  <si>
    <t>17. 본 과정은 장기 훈련과정입니다. 참여에 영향을 줄 경제적인 어려움이 있나요?
(추가적인 정부 지원 안내를 위해 활용됩니다.)</t>
  </si>
  <si>
    <t>(17번 질문에 예를 선택하신 경우)어려움이 있다면 어떤 상황인지 간략히 작성해주세요.</t>
  </si>
  <si>
    <t>18. 지인 중에 게임 업계 관련 종사자가 있습니까?</t>
  </si>
  <si>
    <t>19. 추천을 받았다면 누구에게 받았습니까 ?</t>
  </si>
  <si>
    <t>20. 궁금한 부분이 있거나 과정 참여 시 걱정되는 부분이 있다면 자유롭게 작성해주세요.</t>
  </si>
  <si>
    <t>이름</t>
  </si>
  <si>
    <t>작성일자</t>
  </si>
  <si>
    <t>개인정보 수집 및 이용에 동의하십니까?</t>
  </si>
  <si>
    <t>이름 2</t>
  </si>
  <si>
    <t>작성일자 2</t>
  </si>
  <si>
    <t>개인정보 처리방침에 동의하십니까?</t>
  </si>
  <si>
    <t>kny6900@gmail.com</t>
  </si>
  <si>
    <t>강나영</t>
  </si>
  <si>
    <t>여</t>
  </si>
  <si>
    <t>26살(00년생)</t>
  </si>
  <si>
    <t>대학교 졸업 유예 (수료완료)</t>
  </si>
  <si>
    <t>비전공자</t>
  </si>
  <si>
    <t>한양대학교 경영학과</t>
  </si>
  <si>
    <t>안녕하세요, 게임기획을 처음 배우기 위해 신청하게 된 강나영입니다.
아직 기획에 대해서는 아는 것이 많지 않지만 제가 좋아하는 게임을 단순히 즐기는 것에 그치지 않고, 직접 만들어보고 제작 과정에 참여해 보고 싶다는 생각이 들어 이 과정을 신청하게 되었습니다.
처음이라 부족한 점이 많겠지만, 하나씩 배워가며 기본부터 확실히 익히고 배우고 싶습니다. 
이 과정을 통해 제 아이디어를 구체화하고 실행할 수 있는 능력을 기르고, 꾸준히 성장하는 기획자가 되고 싶습니다. 감사합니다.</t>
  </si>
  <si>
    <t xml:space="preserve"> 처음에는 단순히 게임을 즐기는 취미활동에만 관심을 가지다가 이러한 게임들이 어떻게 만들어지고, 다양한 아이디어가 구체화되는 과정에 궁금증을 가지게 되었습니다. 아직 게임 제작 과정이 정확히 어떻게 이루어지는지 잘 모르지만, 이번 과정을 통해 기획의 기본부터 천천히 배워가고 싶습니다. 특히 아이디어를 실제 기획 문서로 구체화하는 과정과, 팀원들과의 협업을 통해 결과물을 완성하는 경험을 해보고 싶어서 신청하게 되었습니다. 처음 배우는 만큼 막히는 부분도 많겠지만 배우고, 노력하면서 성장해 나가겠습니다. 이 과정을 통해 게임 제작 과정에 대해 배우고, 의미 있는 경험을 줄 수 있는 기획자로 성장하고 싶습니다.</t>
  </si>
  <si>
    <t>직접적으로 관련된 경헙은 없습니다.</t>
  </si>
  <si>
    <t>기획 분야에는 레벨 디자인, 밸러스 기획, BM 기획, 콘텐츠 기획, 시스템 기획, 시나리오 기획 등이 있는 것으로 알고 있습니다.</t>
  </si>
  <si>
    <t>수료 후 배운 내용을 바탕으로 게임회사에 입사해 기획팀의 일원으로 일하고 싶습니다. 아직 정확히 어떤 분야에 일하고 싶은지는 정하지 못했지만, 팀과 함께 완성도 높은 게임을 만드는 기획자로 일하고 싶습니다.</t>
  </si>
  <si>
    <t>보유</t>
  </si>
  <si>
    <t>아니오</t>
  </si>
  <si>
    <t>대화와 타협을 통한 해결</t>
  </si>
  <si>
    <t>배움과 성장으로 받아들임</t>
  </si>
  <si>
    <t>문제 해결에 필요한 실질적 도움 제공</t>
  </si>
  <si>
    <t>아니요</t>
  </si>
  <si>
    <t>없음</t>
  </si>
  <si>
    <t>과정에 참여하기 전에 미리 준비 또는 학습하면 좋은 것이 무엇이 있을까요?</t>
  </si>
  <si>
    <t>동의함</t>
  </si>
  <si>
    <t>yumin.k1023@gmail.com</t>
  </si>
  <si>
    <t>강유민</t>
  </si>
  <si>
    <t>남</t>
  </si>
  <si>
    <t>32살(93년생)</t>
  </si>
  <si>
    <t>대학교 졸업</t>
  </si>
  <si>
    <t>청주대학교 만화애니메이션 학과 / 한국영화아카데미 애니메이션 전공</t>
  </si>
  <si>
    <t>내러티브 콘텐츠 기획, 강유민입니다.
한국영화아카데미에서 애니메이션 시나리오 작성부터 장면 설계, 연출을 훈련했습니다.
이후 상업과 독립 현장의 IP를 기획, 개발하며 세계관과 캐릭터, 
시나리오, 스토리보드, 연출, 피치덱 등 제작 총괄을 진행하여 실무 역량을 쌓았습니다.
Netflix, Warner Bros, Disney, Bilibili 등 글로벌 시리즈와 메이플스토리, 마비노기 등 게임 PV에 프리프로덕션부터 메인제작까지 참여하며, 다 문화권 제작 환경의 협업을 통해
제작 프로세스와 프로젝트 관리, 커뮤니케이션 역량을 쌓았습니다.
또한, 독립 애니메이션 [창가로 나온 사람들], [푸름보다 흐린]을 연출했으며,
두 작품 모두 감독으로서 기획부터 후반작업까지 제작 전 과정을 총괄했습니다.
특히 [창가로 나온 사람들]은 오스카 스튜던트 애니메이션 세미파이널리스트,
DYTIATKO 국제 미디어 페스티벌 파이널리스트, 상상마당 단편영화제, 부천국제애니메이션페스티벌 등
국내외 영화제에서 작품성을 인정받았으며, 현재 [푸름보다 흐린] 또한 국내외 영화제의 심사를 받고 있습니다.
저는 단순히 글을 쓰는 것이 아니라, 서사와 시각적 연출이 융합된 관객과 유저의 체험이 될 수 있는 인터렉티브한 내러티브 콘텐츠를 만드는 것을 지향하고 있으며,
제 경험과 역량을 통해 글로벌 시장에서 통할 수 있는 IP 기획에 도전해 보고자 합니다.</t>
  </si>
  <si>
    <t>저는 영화와 애니메이션을 제작하면서 관객들이 결과물을 수동적으로 받아들이는 한계를 느끼곤 했습니다. 창작자가 아무리 의도와 의미를 담아도 그것이 온전히 전달되지 않는 경우가 있습니다. 게임도 어떤 면에선 동일한 한계가 있을 수 있으나, 유저가 캐릭터를 움직이고 선택하고 성취하는 과정에서 스스로 이야기를 써내려가는 경험을 하게 됩니다. 제작자가 만든 세계에서 유저가 직접 주체가 될 수 있는 이런 구조는 창작자와 유저의 거리를 좁히고 훨씬 몰입할 수 있게 합니다.
저는 단순히 글을 쓰는 것을 넘어서 서사와 시각적 연출이 결합된 내러티브 콘텐츠를 만드는 것을 지향하고 있습니다. 그렇기에 유저가 서사를 체험할 수 있는 게임의 특수성은 매력적으로 다가왔습니다. 어떻게 하면 매력적인 이야기의 콘텐츠를 만들 수 있을까 알아보던 중 온라인 게임 기획자 부트캠프를 알게 되어 신청하게 되었습니다.</t>
  </si>
  <si>
    <t>게임의 PV애니메이션을 제작한 경험과 고등학생 시절 게임기획 공모를 했던 경험은 있으나 그외 게임과 직접적인 연관이 되는 학습 및 업무경험은 거의 무방합니다.</t>
  </si>
  <si>
    <t>전투기획, 레벨디자인, 시나리오, 퀘스트기획, 콘텐츠기획,</t>
  </si>
  <si>
    <t>오랫동안 관객이 세계관의 주인공이 되어 특별한 페이소스를 느낄 수 있는 내러티브 콘텐츠를 만드는 것에 노력했습니다. 수료 후 저는 유저가 체험할 수 있는 형태의 내러티브 콘텐츠를 만드는 것을 목표로 하여, 가지고 있는 IP로 직접 게임을 만들어보고 싶습니다.</t>
  </si>
  <si>
    <t>미보유</t>
  </si>
  <si>
    <t>예</t>
  </si>
  <si>
    <t>면접 봤던 회사의 면접관님</t>
  </si>
  <si>
    <t>게임업계로 취업을 목표로 하나, 게임을 제작해본 경험이 전무하여 아주 기초적인 부분부터 쌓아야 합니다. 해당 교육은 게임과 관련된 작업을 해본 경험이 있으신 분들이 대부분이라고 생각되어, 교육 이해도나 학업 성취면에서 차이가 발생할 것으로 생각합니다. 이 부분이 걱정되지만 교육을 잘 이수하여 취업해보겠습니다.</t>
  </si>
  <si>
    <t>jaeseunggang283@gmail.com</t>
  </si>
  <si>
    <t>강재승</t>
  </si>
  <si>
    <t>고등학교 졸업</t>
  </si>
  <si>
    <t>인문계 &gt; 위탁 제과제빵과</t>
  </si>
  <si>
    <t>안녕하세요 저는 게임을 좋아하고 여러 게임을 즐기다 나도 다수의 사람들이 재밌게
즐길 수 있는 게임을 만들고 싶다는 생각해 온라인 게임 기획자 부트캠프에 지원한 강재승입니다.</t>
  </si>
  <si>
    <t>저는 비전공자 이지만 제가 생각하기에 개발에 대한 지식이 있다면 게임 기획 쪽 에서
큰 메리트가 될 수 있다고 생각합니다
예를 들면 기획 과정 중 비용 또는 개발 기술을 고려한 현실적인 기획이 가능하다고 생각합니다
또한 개발자와의 소통이나 문제가 생겼을 경우 원인 파악과 해결에도 메리트가 있다고 생각합니다
그렇기에 이곳 부트캠프 프로그램에서 개발도 배울 수 있다고 생각해 지원했습니다.</t>
  </si>
  <si>
    <t>지금까지는 없습니다</t>
  </si>
  <si>
    <t>시스템 기획, 컨텐츠 기획, 경제 기획, 레벨 디자이너, 라이브 기획이 있다고 알고 있습니다</t>
  </si>
  <si>
    <t>희망사항은 RPG 장르를 주로 다루는 회사에서 시스템 기획자가 되고 싶습니다</t>
  </si>
  <si>
    <t>분노나 감정을 억누르고 침착함을 유지</t>
  </si>
  <si>
    <t>자신을 비난하고 자책하는 경향</t>
  </si>
  <si>
    <t>타인에게 엄격한 편이지만 굳이 얘기하지 않음</t>
  </si>
  <si>
    <t>최선을 다해서 노력하겠습니다</t>
  </si>
  <si>
    <t>soldnover@gmail.com</t>
  </si>
  <si>
    <t>강준호</t>
  </si>
  <si>
    <t>25살 (01년생)</t>
  </si>
  <si>
    <t>숭실대학교 심리학과</t>
  </si>
  <si>
    <t>개인적으로 게임 개발하고 싶은 아이디어와 버킷리스트가 있었는데 그걸 이룰 기회가 와서 이루어 볼려고 합니다</t>
  </si>
  <si>
    <t>결벽증을 심하게 앓고 있어서 외출이 너무나도 힘들고 괴로워서 현재 휴학을 하게 됬습니다. 헌데 휴학 기간이 길어지니 나이먹는게 무서워지고 아직 이룬것이나 준비된것이 하나 없는데 나이먹는게 너무 무섭게 다가와서 뭐라도 해보자 하는 심정으로 신청하게 됬습니다. 노트북 지원에 월마다 일정금액 지원, 온라인 수업을하고 강의 영상이 제공된다는 점이 저에겐 참으로 고맙게 다가왔습니다. 그래서 이 기회를 놓치면 안돼겠다 싶어서 신청했습니다.</t>
  </si>
  <si>
    <t>아뇨 전혀 없습니다.1부터 시작해야해요</t>
  </si>
  <si>
    <t>알고 있는게 전혀 없습니다.</t>
  </si>
  <si>
    <t>내가 만들고자 한 게임을 만들고 그걸 기업에 팔아서 나오는 수익의 일정 %를 받고 유유자적하게 사는것</t>
  </si>
  <si>
    <t>결벽증입니다.</t>
  </si>
  <si>
    <t>상황에 대한 이해와 위로</t>
  </si>
  <si>
    <t>기초생활수급자 입니다.</t>
  </si>
  <si>
    <t>아침에 일어나는 것이 힘든데 그게 가능할지 걱정됩니다</t>
  </si>
  <si>
    <t xml:space="preserve">강준호 </t>
  </si>
  <si>
    <t>24살(01년생)</t>
  </si>
  <si>
    <t>안녕하세요. 저는 강준호라 합니다. 인스타를 보던중에 광고로 경일it 캠프에 대해 알게되었습니다. Pc에 대한 사양이 낮아서 바꿔야하는데 노트북 4050 지급과 더불어 ai를 통한 교육이라 제게는 비전공이라 얘기만 들어본 c언어나 언리얼 엔진을 접할 기회가 되면서 pc 사양까지 높일수있는 더할 나위 없는 계기가 되었습니다. 또한 게임을 좋아해서 이런 게임있었으면 좋겠다. 생각한게 있는데 비슷한것 조차 아직 시중에 나온건 없더라구요. 그걸 내손으로 만들어볼수있다는게 놓치면 안될것 같아서 지원했습니다.</t>
  </si>
  <si>
    <t>게임한번 만들어보는게 버킷리스트로 있었는데 전공도 비전공이고 관련 지식도 전혀없고 유니티나 언리얼 엔진은 한번 해볼까? 하는 마음으로 결제하기엔 너무 터무니 없는 금액이고 pc사양도 안돼서 여러모로 포기하고 있었는데 본과정이 ai를 이용하고 노트북도 지급해서 할수있지 않을까? 하는 마음으로 신청했습니다.</t>
  </si>
  <si>
    <t>없어요.</t>
  </si>
  <si>
    <t>게임기획자, 개발자, qa</t>
  </si>
  <si>
    <t>내가 만든 게임을 기업에 팔아서 나오는 수익의 일정퍼센테이지 만큼 받는것</t>
  </si>
  <si>
    <t>결벽증(강박증)</t>
  </si>
  <si>
    <t>기초생활수급자고 알바도 한적이 없기에 돈이 없읍니다.</t>
  </si>
  <si>
    <t>만약에 강의를 듣고 취업하지 못하면 다시는 못듣는건가요?</t>
  </si>
  <si>
    <t>xotjd209@gmail.com</t>
  </si>
  <si>
    <t>강태성</t>
  </si>
  <si>
    <t>27살(99년생)</t>
  </si>
  <si>
    <t>전공자</t>
  </si>
  <si>
    <t>장안대학교 게임컨텐츠과</t>
  </si>
  <si>
    <t>비록 전공자이긴 하나 부족한 부분이 많습니다
그렇기 때문에 많이 배우고 갈고닦겠습니다 감사합니다.</t>
  </si>
  <si>
    <t>순전히 우연이었습니다.
인터넷에 뜬 광고를 보아 신청을 하긴 했는데
직원분과 통화하며, 또 직접 알아보며 이번 과정에 대해 살펴보니 
생각보다 좋은 기회라 여겨 참여를 희망하게 된것 같습니다.</t>
  </si>
  <si>
    <t>장안대 게임컨텐츠과 졸업했습니다.
분과는 기획으로 나왔고 유니티와 프로그래밍의 기초적인 부분은 얼추 알고 있다 생각합니다.
학과 내 게임잼을 통해 사람들과 게임을 제작해본적도 있습니다.</t>
  </si>
  <si>
    <t>밸런스 기획자, ui/ux 기획자, 시스템 기획자, 퀘스트 기획자</t>
  </si>
  <si>
    <t>솔직히 목표라는걸 잘 안세워두는 편이라
뭐라 적어야 할지 잘 모르겠는데요.
적당히 취직이나 해서 부모님한테 잔소리는 덜 듣고 싶네요.</t>
  </si>
  <si>
    <t>논리적인 논쟁으로 해결</t>
  </si>
  <si>
    <t>열심히 하겠습니다</t>
  </si>
  <si>
    <t>seungjoo9611@gmail.com</t>
  </si>
  <si>
    <t>고승주</t>
  </si>
  <si>
    <t>30살(96년생)</t>
  </si>
  <si>
    <t>서울시립대학교(국어국문학, 도시문화컨텐츠학)</t>
  </si>
  <si>
    <t>안녕하십니까 온라인 게임 기획자 부트캠프 4기 지원자 고승주입니다. 
대학시절에는 국문학과 도시문화 컨텐츠학을 복수전공하며 컨텐츠 제작의 꿈을 키웠습니다.
대학시절 게임 동아리를 창설해 현재까지 PC 및 다양한 콘솔 기반의 게임 문화에 대한 관심을 꾸준히 이어온 바 한가지 장르에 국한되지 않는 다양한 게임에 대한 시야를 길러왔다고 자부합니다.
대학 졸업 이후 들어간 “해태제과”에서 영업사원으로 2년 반 동안 근무하며 B2B 영업에 관한 경험을 쌓았으며, 이를 통해 시장 분석, 행사 기획 등에 대한 경험을 쌓았습니다.
이번 부트캠프를 통해 게임 기획자로의 성공적인 커리어 전환을 이루고 장차 사용자들의 기억에 남는 게임 기획으로 게임 문화와 산업 발전에 이바지하고 싶습니다.</t>
  </si>
  <si>
    <t>평소 즐겨보던 유튜브"G식백과"를 통해 본 프로그램에 대한 인지는 전부터 있었습니다.
게임과는 상관없는 업계에서 커리어를 시작하여 일을 배울수록 해당 업계 및 적성에 대한 회의가 생겼고, 그 결과 게임업계에 대한 커리어 전환을 목표로 하게 되었습니다. 
비전공자인 동시에 관련 경험도 부족하였기에 신뢰있는 기관의 교육과정을 통해 관련 경험 및 전문성을 확보하고자 하였습니다.
본 과정의 취업률 및 커리큘럼 소개 등을 통해 신뢰감을 가질수 있었기에 신청을 결정하게 되었습니다.</t>
  </si>
  <si>
    <t>대학시절 평생교육원을 통해 개설된 '리그 오브 레전드' 실력 향상과 관련된 강의를 수강한 적은 있으나 게임과 관련된 업무 및 개발과 관련된 학습 경험은 없습니다.</t>
  </si>
  <si>
    <t>세계관 및 설정 기획, 컨텐츠 기획, 시스템 기획, QA</t>
  </si>
  <si>
    <t>이번 부트캠프 수료를 통해 게임 기획자로의 커리어 전환을 이루고, 장차 국내외의 유명 게임사에서 근무할 수 있는 기반을 쌓고 싶습니다. 나아가 게임 제작 전반에 대한 이해를 키워나가며 주도적으로 개발한 게임을 출시하는 것이 목표입니다.</t>
  </si>
  <si>
    <t>성공적인 커리어 전환과 훌륭한 게임을 만들고 싶은 개인적인 꿈을 위해 이번 커리큘럼에 꼭 참여하고 싶습니다. 잘 부탁드립니다.</t>
  </si>
  <si>
    <t>wyvern741@gmail.com</t>
  </si>
  <si>
    <t>곽용준</t>
  </si>
  <si>
    <t>23살(03년생)</t>
  </si>
  <si>
    <t>대학교 휴학</t>
  </si>
  <si>
    <t>울산대학교, 생명과학부</t>
  </si>
  <si>
    <t>울산대학교에 휴학을 한 23살 3학년 곽용준입니다
군대는 어릴 적 수술로 인해 5급인 상태입니다
프로그래밍 언어는 고2 시절 C언어만 배운 상황입니다
물론 지금은 거의 다 까먹었지만 기획 단계에서도 C언어가 필요하다면 그 부분까지 다시 열심히 배울 자신이 있습니다
어린 시절의 불우한 삶을 게임에 녹여서 인생의 역경을 극복하는 주인공의 멋진 서사로 만들고 싶었습니다
비록 세계관이 어둡고 암울하더라도 빛나는 주인공의 모습을 보고 나도 저런 게임, 저렇게 주변인들한테 귀감이 되고 싶다는 생각을 했었고 그에 따른 게임의 스토리를 만들고 싶어서 지원을 했습니다</t>
  </si>
  <si>
    <t>어릴 때 겪은 불우한 삶을 시와 글로 써서 책을 만들다가 문득 애니메이션, PC 게임, 서브컬쳐 모바일 게임이라는 것을 접하게 되었고 그 중에서 서브컬쳐 모바일 게임의 스토리를 보면서 불우한 삶, 역경을 멋지게 극복한 사례가 있구나 나도 저런 멋있는 스토리를 만들어보고 싶다는 목표와 나도 저렇게 멋있게 역경을 극복해보고 주인공같은 삶을 살아보고 싶다는 생각이 들었고 힘들수록 나중에 더 많은 것을 얻게 될 수 있다는 경험으로 생각해서 게임 기획에 제 인생이 녹아들 수 있도록 열심히 임할 자신이 있습니다
단순한 관심에서 취미, 취미에서 인생이 녹아들만한 게임을 기획해보고 싶다는 꿈을 이뤄보고 싶습니다</t>
  </si>
  <si>
    <t>이번이 처음입니다...</t>
  </si>
  <si>
    <t>게임기획자</t>
  </si>
  <si>
    <t>기승전결 구조가 완벽한 게임 개발 스토리 작성
인물들간의 서사 구조가 완벽하며 각 인물들의 감정선이 명확한 스토리 작성
게임 기획에 있어서 어떻게하면 몰입감 있게 컨텐츠를 제작할 수 있을지 기획안을 설정해보고
회사 입사 및 추후에 있을 1인 개발 도전</t>
  </si>
  <si>
    <t>뇌출혈 경험(09년 당시)</t>
  </si>
  <si>
    <t>네이버 카페 멤버</t>
  </si>
  <si>
    <t>역경을 극복하여 모두의 귀감이 된 게임 속 주인공처럼 저도 역경을 극복하여 이 과정을 게임에 녹아들게 한 다음 모두한테 귀감이 될 수 있는 멋진 스토리를 작성하고 다양한 컨텐츠를 제작하여 지속적으로 플레이어 분들이 관심을 가지도록 할 수 있는게 목표입니다</t>
  </si>
  <si>
    <t>qqweeqqw@gmail.com</t>
  </si>
  <si>
    <t>구준모</t>
  </si>
  <si>
    <t>28살(98년생)</t>
  </si>
  <si>
    <t>신안산대학교 사무비서행정과</t>
  </si>
  <si>
    <t>대학 졸업과 동시에 로드매니저 반년, 프로야구 마스코트 1년 후 복싱코치로 2년간 일을 하다가 체육관 사정때문에 2025년 1월 권고사직을 당한 뒤 현재까지 취준생활을 이어가고 있습니다. 여러 직군과 회사에 지원을 해보았으나 어려움을 겪었고 국비지원이라는 좋은 제도를 이용하여 취업을 하고자 지원하였습니다</t>
  </si>
  <si>
    <t>주변에 게임 회사를 다니는 지인이 게임 업계에 대해 알려주었고 게임 회사에 최근 관심이 생겨 지원하게 되었습니다. 전문대 졸 그리고 취업과는 관련 없던 일자리로 스펙과 학력이 부족했던 저에게 마지막 취업의 문과도같아 지원하게 되었습니다</t>
  </si>
  <si>
    <t>없습니다</t>
  </si>
  <si>
    <t>게임기획자, 마케팅, 영업까지 전부 궁금합니다</t>
  </si>
  <si>
    <t>목표는 작은 회사에 취업하게 되면 역량을 키워 큰회사로 처음부터 중견이상에 가게 되면 정년퇴직까지 오래오래..</t>
  </si>
  <si>
    <t xml:space="preserve">복싱코치 권고사직 후에 퇴직금을 주식에 넣었으나 청산을 다하고 배달을 하며 보험료,통신비,월세,관리비, 카드 할부,생활비(식비)를 벌어 겨우 생계 유지중.. </t>
  </si>
  <si>
    <t>지인</t>
  </si>
  <si>
    <t>사실 최대한 빠르게 취업하여 돈을 벌고 싶습니다</t>
  </si>
  <si>
    <t>koohyunmo352@gmail.com</t>
  </si>
  <si>
    <t xml:space="preserve">구현모 </t>
  </si>
  <si>
    <t>22살(03년생)</t>
  </si>
  <si>
    <t>경남대학교입니다 전공은 컴퓨터공학부 입니다</t>
  </si>
  <si>
    <t>안녕하세요 게임직종을 희망하는 구현모 학생입니다
제가 예전부터 게임직종을 희망하는 하고 있었습니다
처음에 게임잡이나 마산에 있는 취업정보센터에서 찾아봤습니다</t>
  </si>
  <si>
    <t>제가 예전부터 게임직종을 관련된 직종을 희망하고 있어요 사람인 홈페이지에서 많이 찾았습니다 처음에 초등학생때 부터 게임이라는 것에 취미를 붙였습니다.
유명한 게임회사의 정보과 절차 등 홈페이지에서 직접 찾으면서 이 직종에 관심이 많아서 많이 지원을 했습니다.</t>
  </si>
  <si>
    <t>IT쪽입니다</t>
  </si>
  <si>
    <t>게임밸런스는 캐릭터들의 생김새,npc 등 게임에 나타나는 과정이기도 합니다</t>
  </si>
  <si>
    <t>저는 나중에 외국에서 게임관련 직종과 기타직종을 희망하고 있습니다.</t>
  </si>
  <si>
    <t>대학교수님</t>
  </si>
  <si>
    <t>구현모</t>
  </si>
  <si>
    <t>viliv8177@gmail.com</t>
  </si>
  <si>
    <t>권수빈</t>
  </si>
  <si>
    <t>29살(97년생)</t>
  </si>
  <si>
    <t>한국해양대 영어영문학과</t>
  </si>
  <si>
    <t>이번 부트 캠프에 합류하여 게임 기획자에 대해 제대로 배워 보고 싶습니다. 그리고 저 또한 게임을 사랑하는 한 명의 유저 로서, 유저의 시선에서 재미와 몰입을 설계하는 기획자가 되고 싶습니다.</t>
  </si>
  <si>
    <t>지금까지 다양한 게임을 플레이하며 자연스레 게임 기획자에 대한 관심이 깊어졌습니다. 하지만 독학으로는 한계를 느껴, 기초부터 실무까지 체계적으로 배우고 싶고, 다양한 협업 과정을 경험해 보고 싶어 이 과정에 참여하게 되었습니다.</t>
  </si>
  <si>
    <t>없습니다.</t>
  </si>
  <si>
    <t>시나리오 기획자, 컨텐츠 기획자, 벨런스 기획자, 전투 기획자</t>
  </si>
  <si>
    <t>유저의 시선으로 바라보며, 재미와 몰입을 선사하는 기획자가 되고 싶습니다.</t>
  </si>
  <si>
    <t>다른 이유나 환경을 도출하려는 경향</t>
  </si>
  <si>
    <t>제게 기회가 주어진다면 열심히 배우겠습니다.</t>
  </si>
  <si>
    <t>cocohyeonmin@gmail.com</t>
  </si>
  <si>
    <t>권현민</t>
  </si>
  <si>
    <t>27(99년생)</t>
  </si>
  <si>
    <t>국민대학교 영상디자인학과</t>
  </si>
  <si>
    <t>게임이 좋아서 예체능을 전공했습니다. 게임 기획을 제대로 배워서 원하는 직무로 일하고 싶습니다</t>
  </si>
  <si>
    <t>게임 시나리오 라이터 또는 퀘스트 디자이너를 준비해왔으며, 기존 포트폴리오에서 게임 기획의 실무 경험이 부족하다고 생각했고,  기획 실무를 배우고  보강해서 취업에 성공하고 싶어 신청했습니다</t>
  </si>
  <si>
    <t>학교 내에서 개설된 언리얼 과목을 수강했습니다. 공부학원이나 부트캠프를 참여한 적은 없습니다.</t>
  </si>
  <si>
    <t>퀘스트 디자이너, 레벨 디자이너, 전투 시스템 디자이너, 시나리오 라이터, 밸런스 기획자</t>
  </si>
  <si>
    <t>문서만 존재했던 포트폴리오에 실제 프로젝트를 첨부해서 취업 성공하고 싶습니다</t>
  </si>
  <si>
    <t xml:space="preserve">지난 취업 준비 기간동안 준비가 미흡했던 것을 깨닫고, 마지막 기회라고 생각하고 교육에 임하겠습니다. </t>
  </si>
  <si>
    <t>khal0429@gmail.com</t>
  </si>
  <si>
    <t>김경민</t>
  </si>
  <si>
    <t>33살(92년생)</t>
  </si>
  <si>
    <t>강릉원주대 법학과</t>
  </si>
  <si>
    <t>안녕하세요. 게임 기획자 부트캠프 4기 교육과정에 지원하게된 김경민이라고 합니다. 잘 부탁드립니다.</t>
  </si>
  <si>
    <t>게임개발과정을 구체적으로 배우고 이해하기 위해 지원 했습니다. 어렸을 때 부터 게임에 관심이 많았지만 게임의 구성에 대한 지식은 단편적이고 개발과정에 대해서도 파편적으로 밖에 알지 못 합니다. 이 교육과정을 통해 게임 개발과정에 대해 보다 세세히 배우고 싶습니다.</t>
  </si>
  <si>
    <t>게임 기획자</t>
  </si>
  <si>
    <t>이 교육과정을 통해 게임 기획관련 직종에 종사해보고 싶습니다.</t>
  </si>
  <si>
    <t>약 15년전 허리디스크 적출 수술을 함. 현재 진행중인 치료는 없음.</t>
  </si>
  <si>
    <t>혹시 오프라인 일정이 있다면 어디서 진행되는지 알고 싶습니다.</t>
  </si>
  <si>
    <t>bangtore77@gmail.com</t>
  </si>
  <si>
    <t>김도윤</t>
  </si>
  <si>
    <t>32(94년생)</t>
  </si>
  <si>
    <t>인하대학교 고분자 공학과</t>
  </si>
  <si>
    <t xml:space="preserve">[기획 분야 지원 이유]
저는 다양한 분야의 일을 경험하며 살아왔습니다. 공부, 식품 관련 업무, 물류 운반, 보드게임 카페 등 여러 서비스직 업무를 맡으며 노력했지만, 시간이 흐를수록 `내가 진정 하고 싶은 일은 무엇일까’라는 질문이 가슴에 남아있었습니다. 잦은 직종 변경을 해왔던 이유도 아마 이 이유가 원인이 된 것 같습니다. 그러던 중 나의 일을 찾고 싶다는 생각을 하였고, 열정을 갖고 해왔던 게임에 대해 본격적으로 공부를 하기 시작했습니다.
게임을 하면서 관심있게 봤던 부분은 게임을 즐겁게 하는 요소들에 대한 것이었습니다. 특히 전투 방법, 전투 밸런스, 캐릭터의 역할과 보상 구조에 관심을 가졌고, 게임 기획 분야에 관심을 갖는 계기가 되었습니다.
[목표]
처음엔 작은 업무에서부터 시작하여 팀원들이 신뢰하는 동료가 되는 것이 목표입니다. 큰 프로젝트에 앞서 전체 구조와 업무의 흐름을 이해하는 것이 우선이라고 생각하기 때문입니다. 사용자 피드백 정리, 간단한 단발성 이벤트 기획 등 작은 업무를 맡아 책임감 있게 성실히 수행하려고 합니다. 이런 일들을 반복하여 수행하다 보면 자연스럽게 신뢰를 쌓을 수 있다고 생각합니다.
이 과정에서 유저가 만족할 만한 게임을 만드는 방법을 배우고 싶습니다. 단순한 성과를 확인하는 것이 아닌, 유저의 반응을 세밀하게 관찰하여 어떤 부분이 재미있는 요소였는지, 어떤 부분이 불만족스러웠는지를 파악하고자 합니다. 또한 협업 과정에서 다른 부서와의 커뮤니케이션 능력을 키우고 일을 알아가며 단순히 게임을 기획하는 기획자가 아닌 프로젝트 전체를 연결하는 기획자가 되고 싶습니다. 작은 일들을 반복하다 보면 자연스럽게 이루어질 것이라고 생각합니다.
장기 목표로는 한국의 문화를 알릴 수 있는 대형 게임 제작에도 도전해보고 싶습니다. 한옥이 주는 매력이나, 무속 신앙, 화랑과 같은 특징적인 요소를 지닌 문화를 현대적으로 해석해 게임에 담아 새로운 매력으로 전 세계 유저들에게 한국의 이야기를 전달하고 싶습니다.
</t>
  </si>
  <si>
    <t xml:space="preserve">게임 기획이라는 업무가 독학으로 준비하기에 어떤 준비를 해야하는지 감이 오지 않았습니다. 하지만 경일 아카데미의 커리큘럼을 보고 보다 체계적으로 기획 업무를 배울수 있고, 요즘 취업에 필요하다고 생각했던 ai를 활용할 수 있는 곳이라는 생각에 지원하였습니다. </t>
  </si>
  <si>
    <t>설명회 느낌으로 한두번 다닌적 있습니다.</t>
  </si>
  <si>
    <t>밸런스 기획, 전투 기획, 레벨 디자인, 시스템 기획, 몬스터 기획, 개발 pm, 사업 pm, 시나리오 라이터</t>
  </si>
  <si>
    <t>최종 목표는 평생 일할 수 있는 직장을 찾는 것입니다. 작게는 포트폴리오, 게임 개발 경험을 얻고 싶습니다.</t>
  </si>
  <si>
    <t>나이와 취업기간이 어느정도 되는지. 경력이 없어도 되는지. 게임 개발 경험을 쌓을수 있는지 궁금합니다.</t>
  </si>
  <si>
    <t>zpswls2005@gmail.com</t>
  </si>
  <si>
    <t>김도형</t>
  </si>
  <si>
    <t>디자인</t>
  </si>
  <si>
    <t>안녕하십니까. 게임 기획의 꿈을 가지고 이 자리에 서게 된 김도형 입니다.
저는 정규 대학 과정 대신 실무 역량으로 목표를 이뤄낸 경험이 있습니다. 과거 디자인 취업 학원에서 누구보다 성실하게 임했고, 그 결과 우수한 포트폴리오를 만들어 디자인 회사에 취업에 성공했습니다.
이후 디자인 경력을 쌓는 동안, 저는 사용자의 니즈를 분석하고, 아이디어를 시각화하며, 실제로 구현될 수 있도록 구체화하는 능력을 키웠습니다. 이 모든 과정이 결국 게임의 '재미'를 설계하는 기획의 기본기와 맞닿아 있다는 확신을 갖게 되었습니다.
새로운 도전을 위해 디자인 경력을 내려놓고, 이제 게임 기획이라는 목표에 집중하려 합니다. 저는 이론적인 배경보다는, 직접 부딪혀 성과를 만들어내는 실행력을 강점으로 가지고 있습니다.
이 아카데미에서 저의 창의적인 에너지와 실무 경험을 융합하여, 사용자에게 깊은 몰입감을 선사하는 기획자로 거듭나겠습니다. 감사합니다.</t>
  </si>
  <si>
    <t>저는 어릴 때부터 게임을 매우 좋아해왔고, 지금도 직장 생활을 하면서 틈틈이 비디오게임을 즐기고 있습니다. 주변 친구들이 사회생활로 인해 게임을 멀리하게 되었지만, 저는 여전히 새로운 게임 소식을 놓치지 않으려 노력하며 높은 이해력과 넓은 시야로 게임을 분석하고 즐깁니다. 이러한 경험 덕분에 사람들의 반응을 빠르게 파악하고 분위기를 주도하는 능력을 길렀습니다. 저는 사람들에게 즐거움과 재미를 전달하는 일에 큰 보람을 느끼며, 이를 게임이라는 매개체를 통해 실현하고자 본 과정에 지원하게 되었습니다.</t>
  </si>
  <si>
    <t>무</t>
  </si>
  <si>
    <t xml:space="preserve">게임기획자_시나리오, 세계관, 밸런스, 던전, 보스, 퀘스트, 기획서 작성 </t>
  </si>
  <si>
    <t>취업을 하여 최대한 많은 경험을 쌓을 계획입니다 그리고 기회가 된다면 개인으로 아니면 작은 팀으로 인디게임도 제작해 보고 대회도 나가볼 계획입니다.</t>
  </si>
  <si>
    <t>큰 어려움은 아니지만 부유하지 않아서 지원을 받을 수 있다면 최대한 받고 싶습니다.</t>
  </si>
  <si>
    <t>궁금한건 전화 상담 때 친절하게 알려주셔서 없습니다.</t>
  </si>
  <si>
    <t>girin0179@gmail.com</t>
  </si>
  <si>
    <t>김도훈</t>
  </si>
  <si>
    <t>국립부경대학교 컴퓨터·인공지능공학부 컴퓨터공학전공</t>
  </si>
  <si>
    <t>안녕하세요, 경일게임아카데미 온라인 게임 기획자 부트캠프 4기에 지원한 김도훈입니다. 타 학원에서 기초 과정을 이수했으며, 좀 더 실무에 가까운 기획을 공부해보고자 지원하게 되었습니다. 기존 학원에서 공부할 당시에 깊이에 대한 고민을 많이 했습니다. 어느 정도의 깊이로 파고들어야 설득력이 생길지, 혹은 너무 깊은 정보를 담아 오히려 이해에 혼란을 주진 않을까 등 적당한 깊이를 찾고자 노력하고 있습니다. 또한, 스스로 터득하고자 하는 자기주도적인 학습을 지향하여 기존 학원에서 배우지 않았던 여러 가지 시도를 혼자 해보곤 했습니다. 위의 태도는 경일게임아카데미의 부트캠프 과정 중에서도 큰 도움이 될 거라고 생각합니다.</t>
  </si>
  <si>
    <t>기존 학원에서는 원론적인 부분, 이론에만 매진해서 불만을 느꼈고, 실제로 실무에 지원함에 있어 부족한 점이 많다고 느꼈습니다. 또한, 과제의 양의 부족, 포트폴리오 제작 주제의 제한, 명료하게 알려주는 부분이 적어 강의력 자체에도 아쉬움을 많이 느꼈습니다. 부트캠프를 통해 취업 준비의 과정, 포트폴리오 제작에 많은 시간을 쏟고 싶습니다.</t>
  </si>
  <si>
    <t>SBS게임아카데미 게임기획 과정 8개월 {2025.01.~2025.11 (2개월 휴학)}</t>
  </si>
  <si>
    <t>게임 기획자에는 시나리오, 시스템, 콘텐츠, 레벨, 전투, 밸런스, BM, 경제 등 다양한 기획자가 있습니다. 저는 특히 시스템 기획과 전투, 밸런스 기획에 관심이 있습니다.</t>
  </si>
  <si>
    <t>부트캠프 활동 중에 우수한 성적을 띄고, 가능하다면 수료 이전에 대기업 취업을 목표로 하고 있습니다. 수료 후에도 부트캠프 당시의 배움과 기억을 살려 빠른 시일 내에 취업하고 싶습니다.</t>
  </si>
  <si>
    <t>초심을 잃지않고 수료까지 열심히 나아가겠습니다. 감사합니다.</t>
  </si>
  <si>
    <t>ehdghrn154@gmail.com</t>
  </si>
  <si>
    <t>김동호</t>
  </si>
  <si>
    <t>32살(94년생)</t>
  </si>
  <si>
    <t>전문학사졸</t>
  </si>
  <si>
    <t>정석항공과학고 / 항공정비</t>
  </si>
  <si>
    <t>비전공이기에 오히려 처음부터 기술을 쌓아갈 수 있는부분이 장점이라 생각합니다.
비전공자도 전공자보다 더 잘 할 수 있다는 것을 보여드리겠습니다.</t>
  </si>
  <si>
    <t>전공을 살려서 취업하려 했지만 상황이 여의치 않았기에 먼저 뭘 잘하고 뭘 좋아하는지부터 생각해 봤습니다. 
현재 32년이라는 삶을 살면서 좋아하는 일만을 할 수는 없다는 생각이었어서 게임회사는 아주 먼 꿈이라고만 생각했었습니다.
하지만 지금나이에서도 충분히 교육을 받고 내가 흥미를 잃지만 않는다면 꿈꿨던 게임회사에 취직할 수 있다는 생각이 너무나 들었습니다.
그렇기에 이런 좋은 기회를 놓치고 싶지 않아 신청하게 되었습니다.</t>
  </si>
  <si>
    <t>게임 기획 및 개발과는 거리가 멀지만 TDCX KOREA란 회사에서 게임관련 CS업무를 한 경험이 있습니다.</t>
  </si>
  <si>
    <t>게임 개발자, 게임 기획자, 게임 UI/UX 디자이너, 캐릭터 디자이너, 게임 관리자</t>
  </si>
  <si>
    <t>대기업에 취직하면 좋겠지만 저를 필요로 하는 게임회사가 있다면 언제든지 최선을 다하겠습니다.</t>
  </si>
  <si>
    <t>대출 빚</t>
  </si>
  <si>
    <t>항상 열심히 수업에 임하고 최종적으로 게임회사 입사까지 모든 노력을 동원해 앞으로의 미래를 위해서 최선을 다하겠습니다.</t>
  </si>
  <si>
    <t>ahtmxmtpwndksl@gmail.com</t>
  </si>
  <si>
    <t>김민서</t>
  </si>
  <si>
    <t>24살(02년생)</t>
  </si>
  <si>
    <t xml:space="preserve">안녕하십니까 트렌드에 대한 감각과 창의적인 기획력을 바탕으로 성실하게 결과를 만들어가는 게임 기획자 김민서입니다.
저는 어릴 때부터 게임을 좋아해 직접 카드나 규칙을 만들어 친구들과 놀며
게임의 구조나 재미에 대해 자연스럽게 관심을 가지게 되었습니다
대학교 시절에는 스터디와 학우회 여러 활동을 통해 여러 사람들과 협력하는 경험을 쌓았고 그 과정에서 의견을 조율하고 분위기를 만드는 주도적인 역할을 맡았습니다.
게임 기획에 대해 공부를 시작한 뒤에는 여러 문서를 작성하고 팀프로젝트를 진행하면서
게임을 단순히 즐기는 것을 넘어서 “왜 이런 경험이 만들어지는가”를 고민하는 습관이 생겼습니다 또한 꾸준히 기록하고 분석하는 루틴을 통해 하루하루 성장하는 기획자가 되기 위해 노력하고 있습니다.
저는 앞으로도 게임의 재미를 중심에 두고 책임감 있게 결과물을 만들어 팀에 신뢰를 주는 기획자로 성장하고 싶습니다. 면접 잘 부탁드리겠습니다.
</t>
  </si>
  <si>
    <t>제 목표인 라이브 서비스 게임은 지속적인 서비스와 지표 관리가 필수적이라고 생각합니다.
이번 과정에서 학습하는 ai와 같은 툴을 활용하여 데이터를 분석하고 시스템의 개선 방향을 도출하는 데이터 기반 기획 능력을 배우고 싶습니다. 또한 시스템 구조를 명확한 데이터 테이블과 로직으로 시각화 하는 실무역량을 키우고 개발팀과의 원활한 커뮤니케이션을 통해 제 실력을 한층 키우고 성장하고 싶어 지원하였습니다.</t>
  </si>
  <si>
    <t>학원</t>
  </si>
  <si>
    <t xml:space="preserve">모바일 sng ux-ui 레벨기획 컨셉 게임기획 시나리오 퀘스트 성장밸런스 경제밸런스 시스템 컨텐츠 전투 bm 경제 사업pm 전투기획 이벤트기획 캐릭터전투 캐릭터컨셉   </t>
  </si>
  <si>
    <t>수료 후 저의 목표는 회사에 취업하여 성장을 멈추지않는 기획자로서 회사에 실질적인 성과를 가져오는것입니다. 포트폴리오에 제시된 비전을 단기/중기/장기 로드맵으로 통합하여 말씀드리겠습니다.
입사 초기에는 조직에 빠르게 적응하여 신뢰를 쌓는것에 집중하겠습니다.
맡은 업무를 기간 내 완벽히 수행하여 믿고 일을 맡길 수 있는 신뢰도 높은 팀원이 되고싶습니다.
또한 팀에 사소한 아이디어라도 논리적인 근거를 갖춰 제안하여 팀에 도움이 되도록 노력하겠습니다.
중기적으로는 프로젝트에 깊이 기여하는 기획자가 되고싶습니다.
하나의 기획을 책임지고 설계하여 성공적으로 런칭시키는 경험을 쌓고싶습니다.
지표를 직접 분석하고 유저의 패턴을 읽어내어 시스템에 개선 방향을 도출하겠습니다.
궁극적으로는 팀을 이끌고 새로운 재미를 선사하는 리드 기획자가 되는 것입니다.
신규 프로젝트를 성공적으로 런칭하는 리드 기획자가 되고싶습니다. 유저에 대한 깊은 이해도를 바탕으로 프로젝트의 비전을 제시하며 저의 경험과 지식을 공유하여 뛰어난 후배 기획자들을 양성하고
시너지를 창출하는 팀을 만들어 회사에 기여하고싶습니다.
저는 성장을 멈추지않는 기획자로서 이 로드맵을 반드시 달성하여 핵심 인재가 되고싶습니다.</t>
  </si>
  <si>
    <t>공책에 게임을 만들던 아이는 ‘재미’의 본질을 찾는 게임 기획자를 꿈꾸게 되었습니다.
하지만 길을 걷다 보니 게임과 관련된 길과 멀어지게 되었고 
“이 진로가 맞을까 나는 게임개발을 꿈꿔왔는데?” 같은 고민에 빠지게 되었습니다.
꿈과 현실 사이 고민하던 저에게 많은 위로와 힘이 되어주었던 게임은 저에게 앞으로 나갈 힘을 주었습니다.
제가 게임을 통해 받았던 ‘원동력‘을 통해 목표가 분명해졌고
제가 느낀 원동력을 더 많은 유저들도 경험했으면 좋겠다는 목표가 생겼습니다.
그 꿈을 위해 저는 가만히 머무르지 않고 시스템을 분석하고 구조화 하는 훈련을 했습니다.
‘왜’ 라는 질문에 답하기 위해서 계속해서 고민하고 생각했습니다.
앞으로도 끊임없이 배우고 증명하는 자세로
 냉철한 분석과 명확한 근거를 바탕으로 재미를 설계하는 기획자로 성장하고 싶습니다.</t>
  </si>
  <si>
    <t>wlgns30617@gmail.com</t>
  </si>
  <si>
    <t>김민수</t>
  </si>
  <si>
    <t>00년생</t>
  </si>
  <si>
    <t>동서울대학교 게임콘텐츠학과</t>
  </si>
  <si>
    <t xml:space="preserve">안녕하십니까, 맡은 일 책임감 있게 하는 김민수입니다.
저는 동아리, 팀프로젝트를 항상 팀장을 맡아 진행하며 책임감있게 완수한 경험이 있으며,
아르바이트를 할 때도 단순한 돈벌이가 아닌
책임감 있게 일하며 자아실현을 목표로하며
리뷰 확인, 피드백, 자기개발을 멈추지 않았습니다.
만약 프로그램에 참여한다면 언제나 책임감 있게 멈추지 않고 자기개발하는 학생이 되어 성실히 프로그랳을 이수하겠습니다. </t>
  </si>
  <si>
    <t>운좋게 취업에 성공하며 자만하며 시간을 지내왔는데, 배움이 부족하다고 생각이 되어 지원하게 되었습니다. 부트캠프의 커리큘럼이 제가 부족하다고 느낀 가려운 부분을 긁어줄 수 있다고 생각하게 되어 신청하게 되었습니다.</t>
  </si>
  <si>
    <t xml:space="preserve">SBS게임아카데미 , 펄어비스 </t>
  </si>
  <si>
    <t>밸런스 기획자, 콘텐츠 기획자, 라이브 기획자</t>
  </si>
  <si>
    <t>프로그램 수료에 안주하지 않고 프로그램을 통해 배운 것을 이용하여 공부하여 인재로 거듭나는 것이 목표입니다.</t>
  </si>
  <si>
    <t>허리디스크가 있지만 심하지 않아 지속적으로 케어하고 있어서 과정에 문제 없습니다.</t>
  </si>
  <si>
    <t>실력은 몰라도 노력은 1등하겠습니다</t>
  </si>
  <si>
    <t>kmjzzang0808@gmail.com</t>
  </si>
  <si>
    <t>김민제</t>
  </si>
  <si>
    <t>만 28살(97년생)</t>
  </si>
  <si>
    <t>한국외국어대학교 일본어전공 (방송 영상 뉴미디어 이중전공)</t>
  </si>
  <si>
    <t xml:space="preserve">일본어와 방송 영상을 전공하여 항상 스토리 컨텐츠를 만들고 싶었습니다. 영화, 드라마도 있지만 게임은 더욱 다양한 요소가 합쳐진 멀티미디어 컨텐츠라고 생각합니다. 재미와 감동을 주는 게임을 만들고싶습니다. 젤다의 전설, 소울류, 문명, 바이오쇼크, 용과 같이, 파이널판타지, 클레어 옵스퀴르 33 등등 다양한 장르의 싱글 플레이어 게임을 좋아합니다. </t>
  </si>
  <si>
    <t xml:space="preserve">저는 항상 이야기를 만들고 싶었던 것 같습니다. 그래서 전공도 일본어, 방송 영상을 선택을 하였고 몇번 영상도 찍고 대본도 만들고 기획도 하였습니다만, 돌이켜보니 저는 국내 영상 매체에 그다지 흥미를 못느꼈었고, 정말 훌륭한 게임들을 하면서 게임이야말로 복합적 문화 예술 컨텐츠라고 생각하게 되었습니다. 그러다보니, 한번 저런 것들을 만들어보고 싶다라는 욕구가 생기게 되었습니다. AI와 그래픽 기술등의 발달들로 점차 기획의 한계는 사라지고 있기에 이미 나올것은 다 나왔다는 의견과는 반대로 앞으로도 무궁무진하게 게임 산업은 발달할 것이라고 생각합니다. 
이에, 솔직히 말씀드리자면, 경일 아카데미에 대해서 모르고 있었던 때, 우선 MBC 컴퓨터 아카데미에서 4일정도 수강을 했습니다. 수업은 따라가겠으나, 자택이 왕복으로 4시간이 걸리는 용인시였기에, 후에 포트폴리오 작업을 하는데 지장이 클 것이라고 판단, 고민하던 중에 귀사의 온라인 게임 기획자 부트캠프에 대해 알게되었습니다. 훌륭한 교수진과 좋은 후기들, 그리고 온라인으로 행해진다는 것은 너무나 매력적이였습니다. 따라서, 단호히 MBC 아카데미를 자퇴, 귀사의 본 과정에 지원하게 되었습니다. 감사합니다. </t>
  </si>
  <si>
    <t>MBC 컴퓨터 아카데미에서 4일, 스파르타 코딩 클럽에서 무료 강의 2회, 3D 프린팅 자격증 취득 (3D 모델링 경험 유)</t>
  </si>
  <si>
    <t>시스템 기획자, 시나리오 기획자, 콘텐츠 기획자, 밸런스 기획자, 레벨 디자이너, 클라이언트 개발자, 게임 엔진 개발자, 서버 개발자, 게임 원화가</t>
  </si>
  <si>
    <t xml:space="preserve">수업은 물론이고, 포트폴리오를 충실히 쌓아 국내 대기업 및 중견기업에 입사, 최종적으로는 일본 게임회사로 가고 싶습니다. 포트폴리오 관련해서는 수업을 들으면서 방향성을 찾아갈 수 있다고 생각합니다. 최종적으로는 만들고 싶은 게임을 만드는 게임 디렉터가 되고 싶습니다. </t>
  </si>
  <si>
    <t xml:space="preserve">존경하는 미야자키 히데타카 감독께서도 30살이 되어서야 게임 업계에 들어가셨습니다. 저도 조금 늦은 감이 없지 않지만, 용기를 내어 열심히 배우고 익히고 만들고자 합니다. 감사합니다. </t>
  </si>
  <si>
    <t>overman623@naver.com</t>
  </si>
  <si>
    <t>김범진</t>
  </si>
  <si>
    <t>37살(89년생)</t>
  </si>
  <si>
    <t>가천대학교 컴퓨터공학과</t>
  </si>
  <si>
    <t>안녕하세요! 저는 항상 새로운 것을 배우고 성장하려 노력하는 사람입니다. 긍정적인 태도로 다양한 경험을 즐기며 꾸준한 자기 계발을 통해 더 나은 모습을 만들어가고자 합니다. 이번 교육과정을 통해 평소에 관심이 있었던 게임 자체를 배우게 되는 기회로 삼고 있습니다.</t>
  </si>
  <si>
    <t>게임을 스스로 만들어보기 위해 여러 방면으로 시도를 한 적이 있고, 간단한 미니 게임 정도는 만들 수 있을 것 같았지만, 만들고 난 결과물 확인해보니, 게임에 대한 이해 자체가 부족하다고 생각되었습니다. 결국 게임을 만드는건 하나의 세계를 만드는 것과 같은데 개발만으로는 이해할 수 없는 영역이 있기 때문에 게임 기획 수업을 찾고 있었습니다.</t>
  </si>
  <si>
    <t>인터넷 강의로 유니티 엔진을 독학한 적이 있습니다.</t>
  </si>
  <si>
    <t>클라이언트 개발자, 서버 개발자, 밸런스 기획자, 컨텐츠 기획자, 퀘스트 기획자, 시스템 기획자, 아트</t>
  </si>
  <si>
    <t>게임 자체에 대한 이해도를 높여 게임과 관련된 일을 하는 사람들과 새로운 관계를 맺고 싶습니다.</t>
  </si>
  <si>
    <t>유튜브</t>
  </si>
  <si>
    <t>해당하는 교육 과정을 수강하여 게임을 이해하는데 도움이 되도록 하겠습니다.</t>
  </si>
  <si>
    <t>papalagioj@gmail.com</t>
  </si>
  <si>
    <t>김서현</t>
  </si>
  <si>
    <t>동서울대학교, 게임콘텐츠과</t>
  </si>
  <si>
    <t>안녕하십니까. 시스템의 의도를 파악하고 데이터를 구조화하여 재미를 설계하는 기획자 지망생, 김서현입니다. 저는 동서울대학교의 게임콘텐츠 전공 과정을 통해 기획을 비롯한 게임 개발의 전반적인 기초를 다졌으며, 게임의 본질은 유저에게 납득 가능한 도전을 제시하는 의도된 균형에 있다고 믿습니다. 경일게임IT아카데미에서 저의 열정과 지식을 증명하고 싶습니다.
저의 가장 큰 강점은 데이터 기반의 구조화 능력입니다. 전공 지식 외에도, 저는 7년간 파이널판타지14 레이드에서 공대장을 맡아 로그를 분석하여 직업별 밸런스와 시너지의 성공률을 정량화하고 조율하는 실습을 지속해왔습니다. 특히 스프레드시트 함수를 활용해 복잡한 실무 데이터를 90% 이상 효율화한 경험은, 복잡한 게임 시스템의 밸런스 테이블을 자동화하고 검증하는 능력으로 직결된다고 믿습니다.
저는 단순한 플레이를 넘어 시스템 설계의 의도를 분석하고 재구성하는 균형의 설계자가 되고 싶습니다. 니어 오토마타의 경주 퀘스트처럼, 유저가 시스템의 틀을 스스로 해석하고 새로운 규칙을 따르도록 선택의 여지를 설계하는 서브 시스템에 대한 깊은 애정이 있습니다. 또한, 공대장 경험을 통해 유저의 동기와 숙련도를 고려한 협력형 퀘스트 서사를 만드는 중요성을 체득했습니다.
부트캠프를 통해 이 분석적 사고와 실행력을 심화하고, 최종적으로 유저의 행동과 동기를 예측하며 의도와 균형이 명확한 시스템을 설계하는 기획자로 거듭나겠습니다. 감사합니다.</t>
  </si>
  <si>
    <t>저는 20년도에 대학을 졸업하고, 졸업시기에 맞춰 코로나19의 발생으로 취업의 문이 좁아졌습니다. 가정형편상 오랜기간 구직활동을 할 수 없었기에 게임 기획자의 꿈을 잠시 내려놓고, 사회의 경험을 쌓게 되었습니다. 그럼에도 저는 꿈을 포기하지 않고, 꾸준히 다양한 게임을 즐기며 기획서를 작성하거나 분석을 해왔습니다.
하지만 긴 공백기 탓에 다시 전공을 살려 구직활동을 해왔지만 혼자서 취업의 트렌드를 파악하기 어려웠고, 오랜기간 사용하지 않은 용어들을 잘 기억하지 못하는 등의 문제가 있었습니다.
이에 대한 도움을 받고자, 경일IT아카데미의 부트캠프를 신청하게 되었습니다.</t>
  </si>
  <si>
    <t>2년제 전문대학에서 게임을 전공했으며, 게임 기획서와 졸업 프로젝트를 만들며 졸업했습니다.</t>
  </si>
  <si>
    <t>시스템 기획자, 콘텐츠 기획자, 레벨 디자이너, UI/UX 기획자, 시나리오 라이터, 설정 기획자, 전투 기획자, 몬스터 기획자 ...</t>
  </si>
  <si>
    <t>이번 부트캠프를 통해, 기초의 기반을 더 탄탄하게 쌓고, 더 견고하고 완성도 높은 포트폴리오 기획서를 작성하여 게임 회사에 기획자로 취업하고자 합니다. 데이터 분석 기반의 시스템 설계 능력을 심화하고, 균형과 의도가 명확한 포트폴리오 기획서를 완성하여 현업 시스템 기획자로 취업하는 것이 목표입니다.</t>
  </si>
  <si>
    <t>부트캠프를 통해 저의 분석적 사고와 실행력을 심화하고, 최종적으로 유저의 행동과 동기를 예측하며 의도와 균형이 명확한 시스템을 설계하는 기획자로 거듭나겠습니다.
그 외로는 개인 포트폴리오 작업물을 별도로 피드백 받을 수 있을지가 궁금합니다.
감사합니다.</t>
  </si>
  <si>
    <t>se7471@naver.com</t>
  </si>
  <si>
    <t>김성현</t>
  </si>
  <si>
    <t>대학교(중퇴)</t>
  </si>
  <si>
    <t>동신대,전기공학과</t>
  </si>
  <si>
    <t>이번  경일아카데미로  공부하게되면서 게임쪽에 관심을 가지고있는 생각을 좀 어느정도 할수있을수도 있겠구나 하게 될것같습니다 
감사합니다</t>
  </si>
  <si>
    <t>게임을 경험이 있는 입장이였고 뭔가 게임을 만든다?라는 생각을 접해본게 방송인분들이 여러게임을 하시는거 보면서 관심도 좀 가지게 되었습니다 그래서 한번으로는 게임관련 시스템글을 읽어보던가도 했었던것 같고요
다른쪽으론 이걸 이런식으로 가는건 어떨까?하는 생각도 해보았기도 했고요
그러다 이런 교육을  광고로도 보기도했는데 막상 선택은 못했었는데.. 유튜버 분께서 여기 추천해주는 글을 올리시는거 보고 신청하게 되었습니다
감사합니다</t>
  </si>
  <si>
    <t>따로는 없고..그냥 정보만 대충 흩어만보았습니다</t>
  </si>
  <si>
    <t>게임 개발자,게임 디자인 개발자,게임 기획자,게임 모션 그래픽 디자인?,</t>
  </si>
  <si>
    <t>게임쪽에서 한번 일해보는건으로 통해
이런저런 경험을 가지고 좀더 진취적인 앞길을 갈수있으면 어떨까 합니다</t>
  </si>
  <si>
    <t>우울증이 좀 있고,공황이 좀 있습니다
약먹을 정도까지 갔지만 
한 2년전부터는 호전이되는것 같아 먹지 않게되었습니다.</t>
  </si>
  <si>
    <t>유튜버ㆍ지식백과</t>
  </si>
  <si>
    <t>얼굴보고 하기가 좀 낯설겠지만..수료하게된다면 노력해보겠습니다</t>
  </si>
  <si>
    <t>tarrot00@gmail.com</t>
  </si>
  <si>
    <t>김수환</t>
  </si>
  <si>
    <t>33살(93년생)</t>
  </si>
  <si>
    <t xml:space="preserve">한국외국어 대학교 사회과학전공 </t>
  </si>
  <si>
    <t>안녕하세요, 저는 2년 정도 게임 QA로 근무하면서 게임의 완성도와 서비스 안정성을 검수하는 일을 해왔습니다. 업무 중에 디자인 업무에도 참여하게 되면서 자연스럽게 게임 시스템 설계나 콘텐츠 구조에 관심이 생기게 되었습니다. 그 경험을 계기로 기획자로 커리어를 전환해보고 싶다는 생각이 들어 이번 부트캠프에 지원하게 되었습니다. AI를 활용한 기획에 대해 배우고, 실제 포트폴리오까지 만들어보면서 제 방향성을 좀 더 구체화하고 싶습니다. 잘 부탁드립니다.</t>
  </si>
  <si>
    <t>2년간 게임 QA로 근무하며 개발 전반의 품질 관리와 콘텐츠 구조를 검수하는 과정에서 자연스럽게 기획 업무에 관심을 가지게 되었습니다. 생성형 AI를 활용한 기획 방법을 배우고, 이를 통해 창의적이고 효율적인 게임 기획 역량을 키우기 위해 본 과정에 지원했습니다.</t>
  </si>
  <si>
    <t xml:space="preserve">회사 게임 디자인 업무 진행 </t>
  </si>
  <si>
    <t xml:space="preserve">전투 기획자, 콘텐츠 기획자, 시스템 기획자 </t>
  </si>
  <si>
    <t>수료 후에는 배운 기획 지식과 AI 활용 능력을 바탕으로 실제 게임 개발 현장에서 창의적이고 데이터 기반의 기획자로 성장하는 것이 목표입니다.</t>
  </si>
  <si>
    <t>과거의 실수와 연관지어 자신감 상실</t>
  </si>
  <si>
    <t xml:space="preserve">취업준비를 병행하면서 수업에 참여할 예정이어서 그런 부분에 있어서 면접이나 자기소개서 작성 등 취업에 시간을 할애하여야 할 때 교육을 어떻게 참여하면 될지 궁금합니다. </t>
  </si>
  <si>
    <t>tldhswls123@gachon.ac.kr</t>
  </si>
  <si>
    <t>김시온</t>
  </si>
  <si>
    <t>24(02년생)</t>
  </si>
  <si>
    <t>컴퓨터공학과</t>
  </si>
  <si>
    <t>안녕하세요. 플레이어의 선택과 감정을 설계하는 내러티브 지향 게임 디자이너 지망생 김시온입니다.
대학교 게임 제작 동아리에서 무박 2일 게임잼에 5번 이상 참여했고, 2024년에는 동서대학교에서 진행한 딥다이브 게임잼에도 참가했습니다.
제가 만든 게임을 초면인 사람들이 직접 플레이하면서 재밌다고 말해줄 때 가장 큰 보람을 느꼈고, 그 경험 덕분에 ‘나는 플레이 경험을 설계하는 일을 계속 하고 싶다’는 확신을 갖게 됐습니다.
최근에는 GameAIfy 게임 공모전에 팀을 꾸려 PM 겸 총괄 기획으로 참여했는데, 그 과정에서 데이터 구조나 기획 문서 작성 역량이 아직 많이 부족하다는 걸 느꼈습니다.
이번 부트캠프에서는 이 부분을 체계적으로 보완해서, 팀과 더 잘 소통하고 실제 구현까지 고려하는 게임 디자이너로 성장하고 싶어 지원했습니다.</t>
  </si>
  <si>
    <t>최근 GameAIfy에서 주최한 AI 에셋 활용 게임잼에 참여하면서, AI가 게임 기획 작업의 효율을 크게 높일 수 있다는 것을 체감했습니다. 특히 현업 기획자 분께 멘토링을 받으며 GPT-머메이드를 활용해 스크립트 구조도와 관계도를 정리해 보니, 머릿속에서만 고민하던 아이디어를 훨씬 빠르게 시각화하고 검증할 수 있다는 점에서 제 작업 방식의 방향성이 많이 달라졌습니다.
이번 부트캠프에서는 AI를 활용해 효율적으로 기획 문서를 작성하고 아이데이션하는 방법을 체계적으로 배우고, 동시에 AI에게 더 나은 질문을 던지기 위해 필요한 게임 기획 기초 지식을 쌓고자 지원했습니다.</t>
  </si>
  <si>
    <t>스나이퍼 팩토리에서 진행한 10주 완성 유니티 프로젝트 과정에 참여하며 C# 기반 유니티 프로그래밍 역량을 키웠습니다. 이 과정에서 웅진의 스마트올 프로젝트 과제에 PM으로 참여해 일정 관리와 커뮤니케이션을 담당했고, 결재용 문서와 발표용 PPT, 스토리 및 퀘스트 스크립트 작성 업무를 수행했습니다. 다만 실제 게임 시스템 설계나 밸런싱과 같은 기획 핵심 영역에 깊게 관여하지 못한 아쉬움이 있었고, 이를 계기로 기획의 기초를 체계적으로 쌓아야겠다고 느꼈습니다.
지난 4년간 학교 게임 제작 동아리 활동을 하면서 여러 스터디와 미니게임 제작에 참여했지만, 역할은 기획자보다는 프로그래머일 때가 더 많았습니다. 덕분에 아이디어를 프로토타입으로 구현하고, 플레이 가능한 형태로 빠르게 옮기는 경험은 많이 쌓을 수 있었습니다.
지금은 기획자의 기초가 충분히 구조화되어 있다고 말하긴 어렵지만, 이번 과정을 통해 기획 기본기를 다진다면, 프로그래밍 역량과 프로젝트 경험을 함께 가진 기획자로 성장할 수 있는 잠재력은 분명하다고 생각합니다.</t>
  </si>
  <si>
    <t>시스템 기획자, 레벨 디자이너, PM, PO, PMO, 시나리오 기획자, 퀘스트 기획자, 전투 기획자, UI기획자,  AI 기획자, AI 기술 기획자, 컨텐츠 기획자, 클래스 디자이너, 밸런스 기획자, 몬스터 디자이너</t>
  </si>
  <si>
    <t>기획자라고 부를 수 있을 만큼 빠르고 명확한 기획 문서 작성 능력을 갖는 것을 제일 원합니다. 이를 통해 최종적으로 뜻이 맞고 상황이 되는 사람을 모아 3개월 내에 핵심 재미를 검증하고, 1년내에 인디게임을 만들어 스팀에 출시하는 것이 목표입니다.</t>
  </si>
  <si>
    <t>목디스트와 손목에 건초염이 발생하여 물리치료를 자주 받아야 함. 알러지성 비염이 있어 환절기에는 비염약을 먹어야함.</t>
  </si>
  <si>
    <t>공부를 하느라 바쁘긴 하겠지만 개인적으로 기획중이거나 구상중인 게임에 대한 피드백도 받을 수 있는 기회가 있음좋겠습니다.</t>
  </si>
  <si>
    <t>rladudeh6055@gmail.com</t>
  </si>
  <si>
    <t>김영도</t>
  </si>
  <si>
    <t>25살(01년생)</t>
  </si>
  <si>
    <t>대학 졸업예정자</t>
  </si>
  <si>
    <t>한신대학교 한중문화콘텐츠학과</t>
  </si>
  <si>
    <t>저는 어릴적부터 다양한 콘텐츠를 좋아해서 그런 콘텐츠를 기획해보고 싶다는 생각을 가지고 살았습니다. 드라마 영화 만화 등 여러가지 콘텐츠를 좋아하고 즐겼지만, 가장 좋아했던건 게임이었습니다. 게임이랑 장르는 재미있고 흥미로운 스토리를 기반으로 나의 선택과 경험이 세계의 모습을 바꿀 수 있다는 점이 저에게 매력적으로 다가왔습니다. 저는 그 때문에 게임을 기획하는 기획자의 길을 가고 싶다는 생각을 했습니다. 게임에 대한 흥미와 열정은 남들보다 더 강하리라는 확신을 가지고 있습니다.</t>
  </si>
  <si>
    <t xml:space="preserve">저는 앞서 말한 것처럼 게임에 대한 애정과 흥미는 깊지만, 당장 게임을 기획하고 그것을 실제로 만들어나가는 기술과 지식이 없다는 것이 저의 단점이라고 생각했습니다. 이런 단점을 보안하고 싶다는 생각이들었고 그렇기 때문에 이번 과정을 참여하고 싶다는 생각이 들었습니다. </t>
  </si>
  <si>
    <t>학교에서 콘텐츠 기획에서 게임에 대한 기획을 해본적은 있지만, 명확한 지식과 기술없이 기획만 해본 적은 있습니다.</t>
  </si>
  <si>
    <t>게임기획 (콘텐츠 기획자, 레벨 디자이너, 전투디자인, 시스템 기획자)</t>
  </si>
  <si>
    <t>제가 이 과정을 수료한 이후에는 이곳에서 배운 지식을 통하여 취업에 대한 목표와 계획에 대해서 더 세부적으로 준비할 생각입니다.</t>
  </si>
  <si>
    <t>콘텐츠에 대한 이해와 스토리텔링에 대해서는 전공자이기 때문에 어느정도 이해하고 있지만, 게임업계에 대한 구체적 상황이나 프로그램을 다룬다는 점에서는 조금 걱정됩니다. 하지만 시작한 이상 열심히 참여하고 배운 내용을 통해 취업까지 이어진다면 좋겠다는 생각을 합니다.</t>
  </si>
  <si>
    <t>yungjingim@gmail.com</t>
  </si>
  <si>
    <t>김용진</t>
  </si>
  <si>
    <t>32세(93년생)</t>
  </si>
  <si>
    <t>대학교 2학년중퇴</t>
  </si>
  <si>
    <t>극동대학교 만화애니메이션학과</t>
  </si>
  <si>
    <t>원래는 만화와 게임이 좋아서 일러스트작가나 캐릭터디자인으로 꿈꿨지만 개인적인 사정으로 다른 회사에서 8년 일하다가 이제와서 하고싶은 일에 도전해봅니다. 항상 꿈꿔왔던, 하고싶었던것을 할수있는 기회가 왔다고 생각해 다시 도전하고싶습니다. 
잘부탁드립니다.</t>
  </si>
  <si>
    <t xml:space="preserve">제가 구독중인 G식백과 김성회님의 영상을 시청중에 협업으로 광고중에 나와서 관심을 갖게 되었고, 
하고싶었던 일에 다시 도전하게끔 만드는 계기가 되었습니다. 또한 대학에서는 만화 애니학과에서 
기획하고싶었던 게임과 설정 캐릭터들이 있어서 
늘 만들고 싶었습니다. 
</t>
  </si>
  <si>
    <t>게임기획자(게임 세계관 및 스토리 관련)</t>
  </si>
  <si>
    <t xml:space="preserve">말그대로 수려한 후에는 여기서 배운 지식과 정보를 통해서 제가 예전부터 꿈꿨던 게임을 기획하고싶습니다. </t>
  </si>
  <si>
    <t>열심히하겠습니다아아!</t>
  </si>
  <si>
    <t>gimyungyu9@gmail.com</t>
  </si>
  <si>
    <t>김윤규</t>
  </si>
  <si>
    <t>대학교 재학중</t>
  </si>
  <si>
    <t>광주대학교 경찰행정학과</t>
  </si>
  <si>
    <t>저는 운동을 좋아하고 활발하머 긍정적인 에너지를 가지고 주변 사람들과의 소통을 즐기는 사람입니다. 새로운 환경에서도 빠르게 적응하고 주변 사람들과의 좋은 관계를 유지하는데 장점이 있습니다.
평소 어떤 일이든 완벽하게 해내고자 하는 성향이 강해 맡은 일은 끝까지 책임지고 세심하게 처리하는 편입니다 계획을 세우고 효율적으로 실행하는 것을 선호하고 디테일한 부분까지 놓치지 않기 위해 지속적으로 점검하는 성격을 가지고 있습니다
또한 외국어에 대한 흥미와 강점을 가지고 있습니다. 일본어와 영어를 꾸준히 학습하였으며 언어를 통해 다양한 문화와 사고방식을 이해하려 노력해왔습니다 이러한 경험은 새로운 사람들과의 커뮤니케이션 능력을 키우는 데 큰 도움이 되었습니다</t>
  </si>
  <si>
    <t>어릴 적부터 게임은 제 삶의 큰 부분을 차지해왔습니다. 단순히 즐기는 것을 넘어, 다양한 장르의 게임을 접하면서 ‘이 게임은 왜 재미있을까’, ‘어떤 점이 개선되면 더 좋을까’라는 생각을 자연스럽게 하게 되었습니다. 이러한 경험을 통해 게임의 구조, 밸런스, 스토리 전개 등 세부 요소에 대한 막연하게나마 분석하는 습관을 키울 수 있었습니다.
게임을 단순한 소비자가 아닌 창작자의 시선에서 바라보게 되면서, 게임 기획에 대한 관심이 깊어졌습니다. 좋은 게임은 플레이어에게 재미뿐 아니라 감정적 몰입과 특별한 경험을 선사한다고 생각합니다. 저 역시 그런 경험을 제공하는 기획자가 되고 싶습니다.</t>
  </si>
  <si>
    <t>시스템 기획자, 콘텐츠 기획자, 기술 기획자</t>
  </si>
  <si>
    <t>수료 후 게임기획자로서의 취업을 목표로 열심히 도전할 것입니다. 이 과정을 통해 배운 것을 토대로 목표하고자 하는 기업에 인재상에 도달할 수 있게 게임 기획에 있어서 필요한 지식들을 더 공부하며 포토폴리오 또한 더욱 완벽하게 준비할 수 있도록 노력할 것입니다.
결국 이 과정을 수료하는 것은 취업에 목적을 두고 있기 때문에 수료 후 게임기획자로서의 취직을 위해 디테일 한 부분 놓치지 않고 준비할 것입니다</t>
  </si>
  <si>
    <t>아무래도 온라인이기 때문에 전문적인 수업과 관리에 대한 우려가 조금은 있습니다.
기획자가 되고싶다는 욕심이 크다보니 더욱 열심히 수업의 내용를 배우고 싶고 포토폴리오에 관해서도 더 잘 준비하고 싶은 부분이 있는 것 같습니다.
물론 잘 이끌어주시겠지만 시작의 길에 있다보니 막연한 걱정도 조금은 있는 것 같슴니다..!!</t>
  </si>
  <si>
    <t>dbsgml430@gmail.com</t>
  </si>
  <si>
    <t>김윤희</t>
  </si>
  <si>
    <t>28 (98년생)</t>
  </si>
  <si>
    <t>중졸</t>
  </si>
  <si>
    <t>안녕하세요 28살 김윤희 입니다
취업제대로 해본적도 없고 자기소개도 처음 써보는데 이때까지 살아오면서 뭘 해보자한게 없었습니다 처음으로 해보고자해서 지원했습니다 잘부탁드립니다</t>
  </si>
  <si>
    <t xml:space="preserve">아직 뭘 한번도 배워본적도 없고 제가 뭘해야할지도 모르는 상황에서 알바생활만 하다가 유튜브광고를 통해 신청하게되었습니다 뽑아만 주신다면 안빠지고 열심히 공부하고 배우겠습니다 
정말 모르는게 많지만 잘부탁드리겠습니다 </t>
  </si>
  <si>
    <t>아니요 없습니다</t>
  </si>
  <si>
    <t>잘모룹니다!</t>
  </si>
  <si>
    <t xml:space="preserve">수료후엔 관련된 회사들로 취업을 하고싶습니다 
취직이 되어 배운것들을 잘 활용해 보고싶니다
</t>
  </si>
  <si>
    <t>만약에 돈이 너무 없어서 알바를 해야하는 상황이 오면 어쩌나요?</t>
  </si>
  <si>
    <t>eogks3681@gmail.com</t>
  </si>
  <si>
    <t>김재환</t>
  </si>
  <si>
    <t>28(98년생)</t>
  </si>
  <si>
    <t>메카트로닉스</t>
  </si>
  <si>
    <t>평소에 게임에 관심이 많은 상태에서 
게임 관련 유튜브에서 소식을 듣게되었습니다
이걸 좋은 기회로 생각하여 게임 업계로 취업하고 싶은 
취업준비생 김재환 입니다</t>
  </si>
  <si>
    <t>주말마다 Wixoss라는 오프라인 카드게임을 취미로 즐기고 있었습니다
어느날 Wixoss를 하면서 친해진 사람 중 게임업계에 있는 사람이 많다고 알게되어 게임업계에 흥미가 생겼습니다 그러다 유튜브에서 본 과정을 알게되 신청하였습니다</t>
  </si>
  <si>
    <t xml:space="preserve">게임 기획자는 게임의 제작 필요한 작업을 하는 사람입니다
시나리오, 레벨, 컨텐츠, 전투, 밸런스, 시스템 등에 세부 직군이 있다고 알고있습니다
저는 건물이나 몬스터의 위치 및 양으로 게임의 난이도를 조절하는 레벨 디자인에 흥미를 가지고 있습니다 </t>
  </si>
  <si>
    <t xml:space="preserve">
수료 후 목표 1위는 당연히 취업 입니다
늦었다고 생각하지만 부모님이 나이가 많으셔서 빠른 자립을 위해서 입니다</t>
  </si>
  <si>
    <t xml:space="preserve">12번에서 캠은 없고 마이크만 있은 경우에는 무엇을 선택하면 되나요 
본 과정 전부 비대면 온라인 수업입니까?
수업에 늦거나 개인용무로 빠지면 어떻게 됩니까? 녹화본이 있나요?
</t>
  </si>
  <si>
    <t xml:space="preserve">김재환 </t>
  </si>
  <si>
    <t>oberstmarkts@gmail.com</t>
  </si>
  <si>
    <t>김종우</t>
  </si>
  <si>
    <t>35살(91년생)</t>
  </si>
  <si>
    <t>대학원 졸업</t>
  </si>
  <si>
    <t>부산대학교 경영학 재무관리</t>
  </si>
  <si>
    <t>안녕하세요. 저는 비전공자로서 게임 개발에 첫발을 내딛고자 온라인 게임 기획자 부트캠프 4기에 지원하는 김종우입니다. 경영학을 공부하고 여러 차례 창업을 경험하며 전략·재무·데이터를 다뤄 왔지만, 결국 제가 오래 붙잡고 고민한 것은 ‘사람들이 왜 몰입하고, 무엇에 보상을 느끼는가’였습니다. 그 질문이 저를 게임으로 데려왔고, 이제는 플레이어 심리와 시스템 설계를 결합해 즐거운 경험을 만드는 기획자가 되고자 합니다.
제가 걸어온 길은 다양합니다. 스타트업에서 비즈니스 모델을 설계하고, 제품·웹서비스를 직접 만들며 A/B 테스트와 퍼널을 개선했습니다. 해군 장교 복무로 팀을 이끌고, 위기 상황에서 의사결정과 커뮤니케이션을 단련했습니다. 출판·커머스·소프트웨어 등 여러 현장을 오가며 배운 것은 “가설을 세우고 빠르게 검증하는 루프”와 “유저의 목소리를 데이터로 번역하는 법”이었습니다. 전공은 다르지만, 이 역량은 곧 게임 기획의 기본 역량—코어 루프 정의, 온보딩·난이도·경제 밸런스, 라이브옵스 지표 관리—와 맞닿아 있습니다.
저는 특히 시스템 기획과 경제 밸런싱에 관심이 큽니다. 재화의 생성·소각 사이클, 인플레이션 방지 장치, 보상 곡선과 피로도 관리 같은 이슈를 데이터 기반으로 설계하고 싶습니다. 유저 세그먼트별 동기(경쟁·수집·협동)를 맥락화하여 이벤트를 설계하고, 장기 리텐션을 해치지 않는 과금 UX를 고민하겠습니다. “공정하지만 도전적인 게임”을 만들기 위해 윤리적 수익화 원칙을 지키는 것도 약속드립니다.
비전공자로서의 겸손함도 잊지 않겠습니다. 부트캠프에 합류한다면, 저는 “작게 만들고 자주 검증하는 팀”을 지향하겠습니다. 실패를 숨기지 않고 기록하며, 동료들의 기획 의도를 존중하는 태도로 팀의 속도를 지키겠습니다. 플레이어의 하루를 더 재미있게 만드는 시스템을 설계하고, 팀과 함께 배워 성장하겠습니다. 온라인 게임 기획자 부트캠프 4기에서 저의 첫 걸음을 시작할 수 있도록 기회를 부탁드립니다. 감사합니다.</t>
  </si>
  <si>
    <t>1. 데이터 기반 플레이 경험 최적화
플레이어 심리와 지표를 바탕으로 가설→실험→검증 루프를 돌려 몰입을 설계하고 싶습니다.
2. 시스템·경제 밸런싱 역량 전환
재화 생성–소각, 보상 곡선, 피로도·인플레 관리 등
수치 설계를 통해 공정한 재미와 수익을 함께 달성하고자 합니다.
3. 작은 실험의 반복 + 라이브옵스
코어 루프·튜토리얼·이벤트를 작게 빠르게 만들고,
1/7일차 리텐션·ARPDAU로 즉시 개선하는 운영 근육을 기르고 싶습니다.
4. 협업과 커뮤니티 공진화
기획–아트–개발–QA 협업을 통해 완성도를 높이고,
유저 피드백과 메타 변화에 민첩하게 대응하는 문화를 만들고자 합니다.
5. 장기 커리어 비전
시스템 기획→밸런스/라이브
→프로덕션 리드로 성장해, 오래 사랑받는 윤리적 서비스와 IP를 만드는 것이 목표입니다.</t>
  </si>
  <si>
    <t>경제학수업-게임이론.
앱개발 4개월 과정(부산_SBS아카데미)
한국표준협회 블록체인 교육과정
그외, 홈페이지 개발이나 웹을 활용한 창업 등</t>
  </si>
  <si>
    <t>1. 경제·밸런스 기획 (Economy Designer)
적합: 재무·수치 감각 → 재화 생성·소각, 보상 곡선 설계에 직결
입문 과제: 코어 루프 가정 후 밸런스 테이블(엑셀)과 시뮬 시트 1종
2. 라이브옵스 기획 (LiveOps)
적합: 운영/그로스 경험 → 이벤트 캘린더·패치 사이클 설계
입문 과제: 4주 라이브 캘린더 + 1/7일차 리텐션 개선 가설·지표판
3. 수익화/과금 기획 (Monetization)
적합: BM 설계·윤리적 수익화 원칙 보유
입문 과제: 배틀패스/번들 2안, A/B 가설표(가격·확률·피로도 가드레일 포함)
4. 게임 PM/프로덕트 매니저
적합: 다프로젝트 리드 경험 → 로드맵·KPI·협업 허브 역할
입문 과제: 미니 MRD/PRD 1세트 + 마일스톤/리스크 로그
5. 데이터 애널리스트(게임)
적합: 퍼널/코호트 분석 경험 풍부
입문 과제: 텔레메트리 이벤트 스키마 초안 + 가짜데이터 리포트(코호트/ARPDAU)</t>
  </si>
  <si>
    <t>3년(0–36개월): “입문→핵심 파트 소유”
주니어 경제·밸런스 디자이너 또는 라이브옵스 기획 → 2년차에 미들 레벨 도전
보조 역량: 수익화 문서화, 데이터 분석(기초 SQL), PM 보조
5년(37–60개월): “시니어 코어 소유 → 미니 리드”
시니어 경제/라이브 기획 또는 수익화 리드 후보
소규모 스쿼드(2–4명) 리딩, 주니어 코칭 1–2명
10년(61–120개월): “제품 책임/조직 설계 → IP 확장”
리드 시스템/경제 디자이너, 라이브옵스 책임, 프로덕트 리드 또는 소규모 스튜디오 공동 창업
포트폴리오 IP 1–2개 장기 운영(시즌형·크로스 플랫폼)</t>
  </si>
  <si>
    <t>신속채무조정과정에 있습니다.</t>
  </si>
  <si>
    <t>비전공자라서 두 배로 준비했습니다. 저는 ‘작게 만들고 빨리 검증’하는 태도로 코어 루프–튜토리얼–밸런싱을 반복 개선하고, 데이터(리텐션·ARPDAU)와 플레이테스트를 근거로 판단하겠습니다. 화려한 역할보다 필요한 일을 먼저 맡겠습니다—리서치, 로그 정리, 밸런스 시트, 패치 노트까지. 공정한 수익화와 장기 재미를 함께 지키며 팀의 속도를 높이겠습니다. 결과가 틀리면 가설을 바꾸고, 실패는 회고로 남기겠습니다. 3년 내 미들레벨 기획자로 성장해 시즌 운영을 책임지고, 5년 차에는 경제·라이브 영역의 미니 리드를 목표로 하겠습니다. 첫걸음의 무게를 알고 있습니다. 기회를 주신다면 끝까지 책임지겠습니다.</t>
  </si>
  <si>
    <t>kjs627480@gmail.com</t>
  </si>
  <si>
    <t>김준섭</t>
  </si>
  <si>
    <t>목원대학교 아트미디어학과(현재는 자퇴)</t>
  </si>
  <si>
    <t>안녕하세요!충청남도 당진에 거주 중인 김준섭이라고 합니다!저는 긴장도 많이하고 낯을 많이 가려 도전 정신이 많이 부족했던 사람이었습니다.하지만 아르바이트와 군대를 다녀오며 사회생활을 배워오며 사람들 앞에서 긴장감과 낯을 가리는 것이 많이 줄어들었고 소극적인 태도로는 제 꿈에 다가가기 힘들다고 생각되어 이번 G식백과 김성회님의 게임제작 부트캠프 게시물을 확인하고 이 기회를 무조건 잡고 적극적으로 참여하며 배우며 성장해야한다고 느꼈습니다!이번 부트캠프에 참여해 한 사람의 몫을 하는 사람이 되고싶습니다!</t>
  </si>
  <si>
    <t>저는 평소에도 다양한 게임을 해보며 한번쯤은 나도 게임을 제작해보고 싶다고 생각하던 사람이었습니다.그리고 이번에 G식백과 김성회님의 게임제작 부트캠프의 게시물을 보고 꼭 게임업계에서 일하고 싶다고 생각을 하던 저에게 이 기회를 무조건 잡아야 된다고 생각하고 지원하게 되었습니다!현재까지도 관심있는 출시되는 게임을 직접해보고 즐겨보며 오프라인 행사도 참여해보며 유저의 입장에서 어떤 점이 즐겁고 민감한지 배우고 있습니다!많이 부족한 사람이지만 이번 게임제작 부트캠프에 적극적으로 참여해 부족한 저를 선생님들의 배움으로 부족한 부분을 고쳐가며 정말 마지막 기회라고 생각하고 열심히 배우고 노력하며 게임업계에 취업해서 꿈을 향해 달려가고 싶습니다!긴글 읽어주셔서 감사합니다!
현재 하고있는 게임: 리그오브레전드,이터널리턴,림버스컴퍼니,브라운더스트2,스텔라소라,스타세이비어 등이 있습니다!</t>
  </si>
  <si>
    <t>게임관련된 학습에 경험이 없지만 이번 부트캠프에서 모든걸 배우며 시작하고 싶습니다!</t>
  </si>
  <si>
    <t>제일 배우고 싶은건 게임의 규칙과 스토리,시스템을 설계하고 싶은 게임기획자가 되고 싶고 게임기획자가 꿈인 만큼 이번 부트캠프로 게임업계에 관련된 다양한 분야들을 더 세세히 정확하게 알고싶습니다!</t>
  </si>
  <si>
    <t>저는 수료 후 부트캠프에서 배운 모든 것들을 활용하며 게임을 제작해서 저의 꿈의 목표에 가장 가까운 림버스컴퍼니를 만드신 김지훈 디렉터님 처럼 훌륭하고 유저와 소통하며 친화적인 게임 업계인이 되는것이 목표입니다!</t>
  </si>
  <si>
    <t>상황을 피하는 경향</t>
  </si>
  <si>
    <t>상대방이 고칠 수 있도록 충고</t>
  </si>
  <si>
    <t>게임제작 부트캠프로 제 인생의 전환점으로 삼아 변하고 노력하는 사람이 되어 부끄럼없이 한 사람의 몫을 하는 사람이 되고 싶습니다!</t>
  </si>
  <si>
    <t>jhk920707@gmail.com</t>
  </si>
  <si>
    <t>김지훈</t>
  </si>
  <si>
    <t>대학교 중퇴</t>
  </si>
  <si>
    <t>경희대 한방재료공학과</t>
  </si>
  <si>
    <t>뉴미디어 엔터테인먼트, 주로 유튜브에서 10년 가까이 일했습니다. 최신 경향의 스타트업을 하다보니, 3d 애니메이션도 하게 되었는데 갈수록 현업에서 메타버스의 시대가 오고 있는 것이 느껴졌습니다. 그리고 메타버스의 끝은 결국 게임에 맞닿아있는 것 같아, 게임 교육을 받으려했으나 마음에 드는 과정을 찾지 못 했습니다. 경일아카데미가 커리큘럼이 좋은 건 알고 있었는데, 마음에 드는 과정이 나와 신청하게 되었습니다.</t>
  </si>
  <si>
    <t xml:space="preserve">많은 직무교육을 찾아봤지만 AI시대에 대체되지 않을 내용을 찾기 어려웠습니다. 게임 기획은 아직 인간이 할 수 있는 부분이 많고, 인디게임도 오히려 AI도움을 받아 더 활성화될 거라 생각합니다. 무엇보다 가장 고관여의 콘텐츠를 직접 만들어보고 싶습니다. </t>
  </si>
  <si>
    <t>게임PM, GM, 게임 기획자</t>
  </si>
  <si>
    <t xml:space="preserve">게임을 만드는 법을 배워 제가 마음에 드는 게임을 만들고 싶습니다. </t>
  </si>
  <si>
    <t>허리와 목이 안 좋아 온라인 과정을 신청하게 됐습니다. 우울증 약과 ADHD약도 적지 않게 복용 중입니다.</t>
  </si>
  <si>
    <t xml:space="preserve">마음에 드는 온라인 과정을 찾기 힘들었는데, 드디어 찾아서 최대한 수료하고 싶습니다. </t>
  </si>
  <si>
    <t xml:space="preserve">김지훈 </t>
  </si>
  <si>
    <t>linon1596@gmail.com</t>
  </si>
  <si>
    <t>김태형</t>
  </si>
  <si>
    <t>서울호서직업전문학교 / 인테리어 디자인</t>
  </si>
  <si>
    <t>안녕하세요 28살 김태형입니다 평소 학교와 취업을 했을때 지각을 해본적이 없었으며 일을 할때도 항상 맡은 일은 열심히 해왔습니다 또한 모르는 일이나 잘 안풀리는 일을 할때에는 사람들에게 물어봐가면서 해결을 하였고 다른 사람들과 잘 지냈습니다 비전공자이지만 새로운 경험을 해보고 싶었으며 게임을 자주하여서 어떻게 게임을 만드는지 궁금하여서 지원을 해보았습니다</t>
  </si>
  <si>
    <t>취업준비중에 친구가 알려주어서 지원을 하게 되었습니다 저 또한 새로운 경험을 시도해보고 싶었으며 게임을 좋아하여 어떻게 만드는 건지 궁금하였고 무언가를 만드는걸 좋아하였는데 게임은 만들어 본적이 없으며 혼자서 만들려고 하여도 경험이 없고 여러 자료를 보아도 무슨 말인지 알수가 없어서 포기하였습니다 하지만 이런 기회가 생겨서 도전해보고 싶어져서 지원을 하게 되었습니다.</t>
  </si>
  <si>
    <t>게임 회사에 들어가보고 많은 경험을 쌓으면서 여때까지 쌓은 경험으로 저의 실력으로 게임을 제작해 보고 싶습니다</t>
  </si>
  <si>
    <t>친구</t>
  </si>
  <si>
    <t>열심히 배워보겠습니다</t>
  </si>
  <si>
    <t>areagate34@gmail.com</t>
  </si>
  <si>
    <t>김태환</t>
  </si>
  <si>
    <t>27살(98년생)</t>
  </si>
  <si>
    <t>건국대학교 컴퓨터공학</t>
  </si>
  <si>
    <t>대학교에서 배운 기본적인 프로그래밍 능력, 그리고 음악 및 글쓰기 활동을 통한 예술지식을 토대로 게임을 만들어가는 개발자, 디자이너 모두와 소통하는 기획자가 되고 싶습니다.</t>
  </si>
  <si>
    <t>대학과정에서 프로젝트를 진행할 때 기획 분야에서 큰 흥미를 느꼈습니다. 이후 기획자로 취업을 준비하였지만, 혼자서 과정을 진행하기에는 어려움이 많았습니다. 전문적으로 기획을 배워본 것도 아니며 준비하고 있는 과정이 실무와 얼마나 닿아있는지, 이런 형태의 포트폴리오를 회사에서 원하는 것인지 알기 어려웠습니다. 이런 과정을 여러번 반복하면서 자연스럽게 게임기획이라는 목표에서 멀어지고 말았습니다. 이번 기회를 통해 실제 기획이라는 분야의 전문성을 높이고 실질적인 경험을 토대로 자신만의 게임을 만들고 싶습니다.</t>
  </si>
  <si>
    <t>대학교 과정중 진행한 프로젝트 2~3회</t>
  </si>
  <si>
    <t>밸런스 기획, 전투 기획, 시나리오 기획, 동선 및 맵구조 디자인, 시스템 기획, 레벨 디자인</t>
  </si>
  <si>
    <t>볼륨이 크지 않더라도 모두에게 여운을 남길 수 있는 작품을 만들고 싶습니다.</t>
  </si>
  <si>
    <t>모니터의 위치상 카메라의 각도 조절이 어려운 상황입니다. 때에 따라 상반신 전체가 나오지 않을 수 있습니다.</t>
  </si>
  <si>
    <t>dpfvpfxmlove@gmail.com</t>
  </si>
  <si>
    <t>김태훈</t>
  </si>
  <si>
    <t>만 24살 (2001년생)</t>
  </si>
  <si>
    <t>충청대학교 바이오분석학과</t>
  </si>
  <si>
    <t>이번 게임기획자 과정에 참여하게 된 김태훈입니다. 
지금까지는 단순히 게임하는 것을 좋아하는 사람이었다면, 이번 기회를 통해 내가 진짜 하고 싶은 직무를 습득해서 덕업일치를 이루고 싶습니다.</t>
  </si>
  <si>
    <t xml:space="preserve">지금까지 게임을 즐기기만 했고, 현생과는 다른 세계라고 생각했었습니다.
우연히 유튜브에서 아카데미를 접하게 되었는데, 내가 배운 전공이랑 거리가 있지만 단순히 전공을 따라가 취업하는 것 보다는 내가 진짜 관심있고, 하고 싶은 업을 배우는 것이 더 중요하다고 생각했고, 이번에 좋은 기회가 왔다고 생각해서 신청하게 되었습니다. </t>
  </si>
  <si>
    <t>프로듀서, 운영자, 게임 디렉터, (시스템, 레벨)디자이너, 아트팀, 음향팀 등</t>
  </si>
  <si>
    <t>아카데미 과정을 잘 수료하여 단순히 직장에 취업한다는 것이 아닌, 내가 즐기면서 일할 수 있고 내가 원하는 게임을 만들고, 이끌어나가는 사람이 되고 싶습니다.</t>
  </si>
  <si>
    <t>1. 추가 입학하게 되어 진도를 따라갈 수 있을까 다소 걱정되지만, 노력해서 따라갈 수 있도록 하겠습니   다.
2. 마이크는 보유중이지만 캠이 없는데, 문제가 된다면 말씀해주시면 감사하겠습니다.</t>
  </si>
  <si>
    <t>baoo88000@gmail.com</t>
  </si>
  <si>
    <t>장안대 게임컨텐츠과</t>
  </si>
  <si>
    <t>게임을 좋아하고 재밌는 게임을 만들고 싶어서 지원하였습니다.  다른사람들에게도 게임의 재미를 느낄수 있는 게임을 만들고싶습니다!</t>
  </si>
  <si>
    <t>학교에서 어느정도를 배웠지만 게임 기획관련 직무를 더욱더 알고싶어 신청하게 되었습니다. 또한 같은 직군을 준비하는 분들과 함께 팀플등을 하며 의견공유 등을 할 수 있을거라 생각해 신청하게 되었습니다.</t>
  </si>
  <si>
    <t>학교에서 기초적인 학습을 하였고 동아리를 들어가 개발을 6개월 정도 해보았습니다.</t>
  </si>
  <si>
    <t>게임기획자 중 시스템기획자나 게임 밸런스 디자이너, 레벨 디자이너 정도를 생각하고 있습니다.</t>
  </si>
  <si>
    <t>수료후 배운 지식을 바탕으로 게임 기획자로 취업을 성공하는것이 목표입니다!</t>
  </si>
  <si>
    <t>과정에 성실하게 참여하고 많을걸 배워가겠습니다</t>
  </si>
  <si>
    <t>youtoo1729@gmail.com</t>
  </si>
  <si>
    <t>김현우A</t>
  </si>
  <si>
    <t>26살</t>
  </si>
  <si>
    <t>졸업 예정</t>
  </si>
  <si>
    <t>시각정보디자인</t>
  </si>
  <si>
    <t>저는 비록 게임이 전공도 아니며 게임업계에 대해서 아는것이 없지만 저의 열정은 누구보다 높다고 자부하며 반드시 게임업계에 취업해서 게임개발자 라는 타이틀을 얻고싶습니다</t>
  </si>
  <si>
    <t>게임업계 취업 희망하며 게임이 현재 자신과 가장 적성에 맞다고 판다하여 본과종에 참여하여 자신의 능력을 향상시켜서 게임업계 진출을 위한 능력을 습득하고 나아가 실제 게임업계에 취업을 희망하여 본 과정에 참여를 신청함</t>
  </si>
  <si>
    <t>전무</t>
  </si>
  <si>
    <t>게임 기획자(벨런스, 경제, 콘텐츠, 스토리), 원화가, 모델가, 개발자</t>
  </si>
  <si>
    <t>게임기확자를 희망하고 있으며 기획자주에서도 가급적 스토리 기획자를 희망하여 실제 게임 기획자로서 취업을 목표로 하고 있음</t>
  </si>
  <si>
    <t>성실히 과정에 임할것을 각오합니다</t>
  </si>
  <si>
    <t>김현우</t>
  </si>
  <si>
    <t>gustlrdn3@gmail.com</t>
  </si>
  <si>
    <t>김현우B</t>
  </si>
  <si>
    <t>하얼빈공업대학교 컴퓨터공학과</t>
  </si>
  <si>
    <t>안녕하세요. 저는 어릴 때부터 게임을 하면서 이건 왜 이렇게 만들어졌을까?, 저건 왜 이런 구조일까? 라는 궁금증을 많이 가졌습니다. 단순히 플레이하는 것을 넘어서, 게임이 만들어지는 과정과 구조를 이해하고 싶다는 생각이 커졌고,  그 호기심이 결국 기획자가 되고 싶은 목표로 이어졌습니다. 이제는 유저로서 느꼈던 의문들을 기획 관점에서 분석하고, 더 나은 경험을 설계하는 기획자가 되고자 노력하고 있습니다.</t>
  </si>
  <si>
    <t xml:space="preserve">
여러 부트캠프 후기를 찾아보고 비교했을 때 이 과정이 가장 체계적이고 실무 중심이라는 느낌을 받았습니다. 또한 앞으로는 AI를 활용할 줄 아는 기획자가 더욱 중요해질 것이라 판단해서 생성형 AI를 실제로 활용해보는 커리큘럼에 큰 매력을 느껴 참여하게 되었습니다. </t>
  </si>
  <si>
    <t>전문적인 게임 기획 교육을 받은 경험은 아직 없지만, 메이플스토리 등 여러 게임들을 플레이하며 시스템 구조와 유저 경험에 대해 분석해 본 경험이 있습니다. 이번 과정을 통해 실제 실무 중심의 기획 역량을 체계적으로 쌓고 싶습니다.</t>
  </si>
  <si>
    <t>시스템 기획자, ux/ui기획자, 밸런스 기획자, 컨텐츠기획자, QA, 시나리오기획자, 게임bm기획자</t>
  </si>
  <si>
    <t>본 과정을 통해 쌓은 개발자와 원활히 소통하며 실무에 적용 가능한 게임기획 역량을 갖추어 취업하는 것입니다.</t>
  </si>
  <si>
    <t>허리디스크가 있습니다. 지금은 호전되어서 약도 안먹고 일상생활에 문제없습니다.</t>
  </si>
  <si>
    <t>노트북의 내장된 카메라와 마이크로 화상수업 참여가능한지 궁금합니다. 
과정을 충실히 수행하며 기획자로서 성장할 수 있도록 최선을 다하겠습니다</t>
  </si>
  <si>
    <t>tigerlow0723@gmail.com</t>
  </si>
  <si>
    <t>김흥규</t>
  </si>
  <si>
    <t>강남대학교/소프트웨어</t>
  </si>
  <si>
    <t>게임 기획자의 길을 갈구하는 남자 김흥규라고 합니다. 기획 실력은 아직 서투르지만 기획을 할 때의 열정은 뛰어나다고 생각합니다. 좋은 환경이 주어진다면 제 능력을 어디까지 뿜어낼 수 있는지 한계를 넘어 도전해 보고 싶습니다. 책임을 지겠다는 말이 굉장히 민감하게 들릴 수도 있는 부분이지만 남에게 피해를 주는 걸 굉장히 싫어하는 사람으로서 한 번 맡은 바는 끝까지 책임감을 갖고 임하겠습니다. 사실 전문적인 도움을 받아본 적이 없어 지금 하고 있는 것들이 잘하고 있는 것인지를 몰라 스스로에게 의문을 품으면서 게임 기획자에 대한 열정이 조금씩 식어가고 있었습니다. 그러다 이번에 이렇게 좋은 기회를 발견하게 되었고 가슴 한 편에 게임 기획자를 갈구하던 열정이 다시 타오르기 시작했습니다. 꼭 이 한 몸 불 싸지르며 게임 기획자의 꿈을 밟아보고 싶습니다. 게임 기획자 도전!!!</t>
  </si>
  <si>
    <t>친구들과 게임 프로젝트를 처음 진행하게 되었을 때 팀장인 친구가 “너 아이디어도 많은 거 같은데 기획 한 번 해보는 거 어때?”에서 호기롭게 시작을 하여 기획을 맡게 되었습니다. 만들어지는 과정에서 여러 힘든 점도 많았지만 그래도 제 손으로부터 그림이 그려지며 게임이 점차 한 단계씩 쌓아 올려지는 게 보이면서 그 속에서 뿌듯함을 느낄 수 있었습니다. 1인 개발자가 아닌 이상 회의를 진행하고 사람들끼리 의견을 주고받으며 상대를 설득시킬 수 있어야 한다고 생각하는데 이 속에서 여러 의견을 종합하여 서로를 설득하고 달아오른 분위기를 완화될 수 있게 제 스스로 감정에 요동치지 않고 객관적으로 회의 때마다 좋은 결과를 도출해 낼 수 있는 능력을 제가 어느 정도 갖고 있다고 생각합니다. 게임을 만들어가는 사람이 되어 누군가 즐길 수 있게 될 거라는 생각에 크게 흥미를 느끼게 되었고 작업을 진행하는 데에도 하는 작업은 어려울 수 있어도 차근차근 게임 만들어지는 모습에 만족감을 느낄 수 있었습니다. 또한 사람들과 유하게 지내는 데에 재능이 있다고 생각하여 게임 기획자를 하겠다는 꿈을 확실하게 갖게 되었습니다. 그래서 이번에 이 과정에 참여하여 이제는 전문적인 과정과 함께 게임 기획자의 꿈을 꼭 실천해 보고 싶어 신청하게 되었습니다.</t>
  </si>
  <si>
    <t xml:space="preserve">학교 친구들과 함께 교외활동으로 취업을 위한 게임 프로젝트를 하나 진행한 적이 있습니다. 거기서 기획을 맡았고 2D 로그라이크 게임을 진행하면서 주마다 회의를 거쳐 레벨 디자인, 컨텐츠 기획, 몬스터 기획과 아트 기획 등 거의 모든 부문들 도맡아 기획을 하였습니다. 그러나 학기 중부터 시작해 시험 기간이 되면 진행 속도가 현저히 느려졌었고 그러다 나중에 취업을 하게 된 인원들이 나타나며 결국 프로젝트가 무산되어 아쉽게 끝마치지 못하고 그만둘 수밖에 없게 됐습니다. </t>
  </si>
  <si>
    <t>레벨 디자이너, 밸런스 디자이너, 서버 개발자, bm 기획자, 컨텐츠 기획자, 모델러</t>
  </si>
  <si>
    <t xml:space="preserve">과하다고 생각하실 수도 있지만 남들이 충분히 알 만한 기업의 게임 기획자로 들어가고 싶습니다. 모바일도 좋지만 pc쪽으로 가는 걸 좀 더 생각하고 있습니다. </t>
  </si>
  <si>
    <t>8개월 동안 열심히 배우고 거기서 멈추는 게 아니라 스스로 더 노력을 하여 꼭 게임 기획자로 취업을 하고 싶습니다!</t>
  </si>
  <si>
    <t>mangjihun6224@gmail.com</t>
  </si>
  <si>
    <t>맹지훈</t>
  </si>
  <si>
    <t>29살 (97년생)</t>
  </si>
  <si>
    <t>시화공업고등학교 시스템제어전기과</t>
  </si>
  <si>
    <t>현실때문이란 변명으로 미루고 포기한 뒤 소비자로서만 즐기다
우연히 눈에 들어온 부트캠프 소식에 이게 마지막 기회일 수 있을거란 생각으로
다시 꿈을 이루기위해 지원하게 된 게임 기획자 지망생 맹지훈이라고 합니다.</t>
  </si>
  <si>
    <t>제가 본 과정에 참여를 신청한 계기는 꿈에 대한 도전을 처음이자 마지막으로 싶기 때문입니다.
고등학생 시절 다문화 센터의 봉사활동 중 ui 디자이너를 지망하던 대학생분과 만난적이 있었습니다.
그분은 당시 제가 말하는 상상속 게임 디자인에 관련한 잡담들을 진지하게 들어주다.
저에게 자신이 다니는 대학교에 입학하여 함께
게임에 관련한 교육을 받아보는 게 어떠냐는 권유를 해주셨었습니다.
그 당시 저는 산업체로 이미 공장에 취업이 확정난 상황이라 게임 기획에 대해 관심이 생겼음에도
긴 고민을 한 이후 현실이란 이유로 진학을 포기하고 공장에서 일하는 것을 선택했습니다.
이후에 다시 그분의 말이 계기가 되어 마음속에 있던 관심이 꿈이 된 시기가 있었지만
이마저도 또 다시 마주한 현실을 변명삼아 눈을 돌리고 어린 시절의 허망한 꿈이라 스스로를 속이며
앓고 있는 후회섞인 마음을 애써 부정해왔습니다.
그렇게 약 10년이 지나 다니던 회사를 관두고 집에서 휴식하던 중
김성회님의 유튜브에 올라온 부트캠프관련 게시글을 보게 되었습니다.
이전이라면 예전 추억을 곱씹으며 넘길 글이었지만 부정해왔던 관심이 다시 솟기 시작했습니다.
글을 보고 몇일을 고민하던 저는 스스로에게 질문을 던졌습니다.
늘 변명만 하고 도망치던 것에 대하여, 처음이자 마지막으로 도전해보면 안되는 걸까
질문에 대한 답은 시도하자, 도전해보자였습니다.
내가 상상만 하던 콘텐츠, 보스, 캐릭터들의 디자인을 실현시켜보자고
제가 본 과정에 참여하는 이유와 이후 게임 기획자로서 취업하고 싶어하는 이유는
상상만 하던 꿈을 현실을 이유로 대며 변경하고 도망치는 것이 아닌
상상속의 게임을 현실에서 마주하고 싶다는 욕구때문입니다.</t>
  </si>
  <si>
    <t>전혀 없습니다.</t>
  </si>
  <si>
    <t>시나리오 기획자, 밸런스 기획, ui/ux 기획, 시스템 기획자, 전투 기획자</t>
  </si>
  <si>
    <t>이곳에서 배운 지식을 기반으로 취업한 회사에서 경험을 쌓은 뒤 능률을 인정받아
프로젝트의 개발을 처음부터 끝, 더 나아가 정식 서비스 까지
사람들에게 자랑스럽게 내놓을 수 있는 게임을 만들어 내는 것입니다.</t>
  </si>
  <si>
    <t>긴장성 두통을 앓고 있으며 관련한 진통제와 근육이완제가 집에 구비되어 있습니다.</t>
  </si>
  <si>
    <t>현재 무직 상태로 모아둔 돈을 통해 최소한의 개인 지출은 충당하고 있으나
이외 생활비는 모두 가족에게 기대고 있는 상황입니다.</t>
  </si>
  <si>
    <t>교육을 성실히 참여하고 배운 뒤 제 것으로 만들어 내려 노력하겠습니다.
부족한 부분들은 메모하고 참고하여 같은 실수가 나오지 않도록
지적받지 않은 부분은 제가 이해한 방향성이 맞다고 인지하되 그 이유가 무엇인지 파악하고
더 나아가기 위한 준비를 할 것입니다.</t>
  </si>
  <si>
    <t>mose94444@gmail.com</t>
  </si>
  <si>
    <t>박경태</t>
  </si>
  <si>
    <t>21살(05년생)</t>
  </si>
  <si>
    <t>원광대학교 뷰티디자인학부</t>
  </si>
  <si>
    <t>안녕하세요. 경일 게임 아카데미에 지원하게 된 박경태입니다.
저는 평소에 어떤 것을 접하면 ‘왜 이렇게 만들었을까’ ‘다르게 만들면 어떨까’를 자연스럽게 생각하는 습관이 있었습니다.
그런 생각들이 쌓이면서 단순히 게임을 즐기는 것보다 만드는 과정에 더 관심이 생겼고 자연스럽게 기획자가 되고 싶다는 마음이 생겼습니다.
기획이라는 일은 아이디어를 정리하고, 구조를 만들고, 다른 사람들과 조율하면서 완성해가는 과정이라고 알고 있습니다
저는 무언가에 몰입해서 오래 고민하는 걸 좋아하고, 의견을 주고받으며 더 나은 방향을 찾아가는 과정이 편한 사람이라 기획이라는 역할이 제 성향과 잘 맞는다고 느꼈습니다.
아직 배워야 할 점이 많지만 경일에서 차근차근 배우면서 멋진 기획자로 성장하고 싶습니다.</t>
  </si>
  <si>
    <t>기획을 해보고 싶다는 마음은 있었지만, 막상 혼자 공부하려고 하니까 어디서부터 어떻게 시작해야 할지 감이 잘 잡히지 않았습니다.
기본도 제대로 모르면서 혼자만 고민하는 데는 한계가 있다고 느껴서, 기초부터 차근차근 배울 수 있는 곳을 찾게 됐습니다.
그래서 확실하게 방향을 잡고 싶다는 마음으로 경일 게임 아카데미에 신청했습니다.</t>
  </si>
  <si>
    <t>아직 없습니다</t>
  </si>
  <si>
    <t>밸런스 기획자, UI 기획자, 컨텐츠 기획자등 여러분야의 기획자와 개발자가 있는 것으로 알고 있습니다</t>
  </si>
  <si>
    <t>수료 후에는 기획의 기초를 확실히 다지고 실제로 작은 프로젝트라도 스스로 완성할 수 있는 실력을 갖추는 것을 목표로 하고 있습니다
그 과정에서 제 성향과 맞는 기획 분야를 더 정확하게 찾고 포트폴리오를 만들어 게임 회사에 지원할 수 있는 준비를 갖추고 싶습니다</t>
  </si>
  <si>
    <t>먼저 멋진 기회 주셔서 감사합니다
배울 수 있는 동안 성실하게 임하고, 주어진 과정들을 끝까지 열심히 해내겠습니다.
부족하더라도 꾸준히 나아가겠습니다.</t>
  </si>
  <si>
    <t>gg.ikane13@gmail.com</t>
  </si>
  <si>
    <t>박기은</t>
  </si>
  <si>
    <t>연성대학교 시각디자인과</t>
  </si>
  <si>
    <t>게임 기획자를 꿈꾸는 박기은 입니다! 고등학생 때부터 게임을 좋아해 게임 업계에 종사하고 싶다는 마음으로 게임 캐릭터 디자이너를 목표로 잡았습니다. 고등학생 2학년부터 미술 실기를 준비했지만 원하는 대학에 들어가지 못해 시각디자인과로 학교를 졸업하게되었습니다. 하지만 캐릭터디자이너에 대한 로망이 남아있어 대학 졸업 후 캐릭터디자인 전문 학원에서 수업을 받았었지만 제 생각 만큼의 성과가 나오지 않았고 그대로 방황하며 앞으로의 길에 대해 고민하고있었습니다. 하지만 게임업계에서 일하고싶다는 생각은 변하지 않았었고 여러가지 일들을 찾아보던 와중 게임 기획자라는 직업이 굉장히 매력적으로 다가왔습니다. 이번에야 말로 반년간 경일아카데미에서 열심히 공부해서 꼭 게임 제작의 꿈을 이루고싶습니다.</t>
  </si>
  <si>
    <t>제 최종 목표는 게임을 만드는 능력을 길러 모두가 재미있게 플레이 할 수 있는 게임을 만드는 것입니다. 좋은 퀼리티의 게임을 만들기 위해서는 팀 내의 모두와 적극적인 커뮤니케이션과 기획 단계에서 부터 멀리 보고 옳은 길로 게임을 이끌어 갈 수 있는 능력이 가장 중요하다고 생각합니다. 이 과정을 통해 그러한 능력을 향상 시킬 수 있다고 느껴서 신청하게되었습니다. 특히 학원 내 다른 분들과 함께 게임을 만드는 커리큘럼이 있는 게 굉장히 매력적이었습니다!</t>
  </si>
  <si>
    <t>고등학생때 코딩에 관심이 있어 JAVA코딩 동아리에 가입해 JAVA의 기초에 대해 부원들과 함께 공부했었습니다.(게임관련 코딩은 아니었습니다..) 대학생때에도 교양수업으로 코딩을 선택해 배웠으며 대학 졸업 후에는 1년반 정도 게임캐릭터디자인 학원에 다녔습니다.(sbs아카데미)</t>
  </si>
  <si>
    <t>밸런스 기획자, 컨셉 기획자, 시스템 기획자, 시나리오 기획자</t>
  </si>
  <si>
    <t>수료 후 최대한 빠르게 취직해서 경력을 쌓고 언젠간 제가 원하는 게임을 만들고 싶습니다. 그리고 모두가 즐겁게 플레이 할 수 있는 게임들을 많이 만들고 싶습니다.</t>
  </si>
  <si>
    <t>커리큘럼에서 기대되는 것도 많고, 저에게 정말 좋은 경험이 될 것 같습니다! 1년간 열심히 공부하겠습니다.</t>
  </si>
  <si>
    <t>bustajmahal@gmail.com</t>
  </si>
  <si>
    <t>박도원</t>
  </si>
  <si>
    <t>31살(95년생)</t>
  </si>
  <si>
    <t>부산대학교 만화애니메이션 전공</t>
  </si>
  <si>
    <t>만화, 애니메이션을 전공하고 영상제작 및 모션그래픽, 애니메이션 동화 작업 등 영상계열 업무를 진행하다 게임 기획을 준비중인 박도원 이라고 합니다. 잘 부탁드립니다.</t>
  </si>
  <si>
    <t>기존 영상 및 애니메이션 업계의 낮은 임금 및 AI 발전에 따른 미래 불안정성 등으로 인해 해당 계열의 미래가 불투명하다고 느껴졌으며, 
기존부터 기획 및 조정 등의 업무에 대해 흥미가 있었고 게임 개발또한 예전부터 꿈꿔오던 길이었기에 진로를 변경하고자 신청을 바랍니다.</t>
  </si>
  <si>
    <t>SBS 서울 게임 아카데미에서 게임 기획자 기초반을 국비지원 과정으로 수료하였습니다.
또한 현재는 에픽게임즈에서 스토어, 포트나이트, 폴가이즈 관련 PS 업무를 약 1년 반정도 진행중입니다.</t>
  </si>
  <si>
    <t>기획 과정과 관련된 분야로는 몬스터 전투 기획자, PVP 기획자, 레벨 디자이너, 길드 및 파티 컨텐츠 기획자, 등이 있는 것으로 알고있습니다.</t>
  </si>
  <si>
    <t>해당 과정을 수료하는 동안 열심히 배우고 좋은 포트폴리오를 제작하여 기획자로 취업하는것이 목표입니다.</t>
  </si>
  <si>
    <t>한국 게임 업계가 과거에 비해 상대적으로 침체 상태인 것으로 알고있어, 신입 채용이 적다고 하여 약간 걱정 및 불안감이 듭니다. 다만 그만큼 열심히 수료하여 취업이 되도록 노력하겠습니다.</t>
  </si>
  <si>
    <t>spiderjocker@gmail.com</t>
  </si>
  <si>
    <t>박민규</t>
  </si>
  <si>
    <t>가톨릭상지대학교 철도전기과</t>
  </si>
  <si>
    <t>24년도 12월부터 25년도 9월초 까지 게임업계 준비를 하다, 올해 하반기 면접 전형까지는 갔으나 부족한 점을 느껴 다시 배우고자 하는 학생입니다</t>
  </si>
  <si>
    <t xml:space="preserve">제 실력에 부족함을 느끼고 면접 당시 포트폴리오 부분에서 노력은 많이 한 티가 보이지만 어쩔 수 없이 신인과 무 경험자의 느낌이 난다는 이야기를 많이 받아 그것을 보완하고 더 발전 하기 위해 지원 했습니다, 또한 서브컬처 게임과 액션 게임에 특별한 애정을 가지고 있으며 추후 그런 프로젝트에 참여하기 원합니다. </t>
  </si>
  <si>
    <t>지금까지 관련 학습은 24년도 12월부터 9월초 까지 다른 학원 (메가스터디)에서 수업을 받은적이 있습니다.</t>
  </si>
  <si>
    <t>게임 기획 전형에서 컨탠츠 기획 부분과 시스템 기획 중 전투 기획 분야를 목표로 포트폴리오를 작성했으며 습작 형태이긴 하지만 전체적인 게임 기획서와 시나리오 포트폴리오를 만들어 본 경험이 있습니다.</t>
  </si>
  <si>
    <t>가장 큰 목표는 서브컬처 계열 프로젝트로 취직하는 것이 큰 목표이지만 취업이 목표입니다.</t>
  </si>
  <si>
    <t>목 디스크가 있어 주기적으로 스트레칭을 하고 있으며 그 외 질병으론 만성 어지럼증이 있으나 컨디션이 좋지 않은 경우를 제외하면 일상생활 지장 없는 정도입니다.</t>
  </si>
  <si>
    <t>개인적인 공간을 확보 하는 것이 조금 힘들지만 과정에 참여하게 된다면 반드시 해결하겠습니다.</t>
  </si>
  <si>
    <t>020513pms@gmail.com</t>
  </si>
  <si>
    <t>박민수</t>
  </si>
  <si>
    <t>전남대학교 융합생명공학과</t>
  </si>
  <si>
    <t>안녕하세요. 24살 현재 대학교 휴학중인 박민수입니다. 학교 재정상황과 여러 일이 겹쳐서 알바하면서 쉬고있습니다. 예전부터 컴퓨터공학과 생명공학 중 고민하면서 재수도 하고 편입 준비도 했습니다. 건강상 올해는 쉬고 편입 원서를 작성해보고 된다면 내년에 편입 준비를 해서 컴퓨터공학 쪽으로 공부를 해보고싶었습니다. 쉬면서 코딩에 대해 접하게 되었고 자연스럽게 광고를 보고 지원하게되었습니다. 컴퓨터에 대해 관심이 많고 관심이 있는 분야에서는 집중력과 흥미가 많아 이번 계기로 최대한 열심히 배워보고싶습니다.</t>
  </si>
  <si>
    <t>자기소개와 같이 쉬면서 코딩에 접하게 되었고 어려움을 느껴 배워보고싶어 지원하게 되었습니다. 컴퓨터공학에 관심이 점점 늘어 이번 계기로 열심히 배워보고싶고 이제는 진로에 대해 마음을 굳히고 싶습니다.</t>
  </si>
  <si>
    <t>게임개발자, 여러 소프트웨어 개발</t>
  </si>
  <si>
    <t>진로에 대한 고민을 굳히고 후에 미래에 어떻게 하는 것이 좋을지 생각해보고 취업이나 대학에 나오고 대학원까지 생각해보고싶습니다</t>
  </si>
  <si>
    <t>공황장애가 있습니다</t>
  </si>
  <si>
    <t>비용 부담이 있다면 고민을 좀 해봐야될 것 같습니다</t>
  </si>
  <si>
    <t>비용에 대한 걱정과 아무래도 비전공자이다 보니 어려움을 느끼고 막히지는 않을까 걱정입니다</t>
  </si>
  <si>
    <t>billy38p@gmail.com</t>
  </si>
  <si>
    <t>박상진</t>
  </si>
  <si>
    <t>35살</t>
  </si>
  <si>
    <t>건국대 글로컬 의용전자공학</t>
  </si>
  <si>
    <t>요즘에 유망한 직종으로 취직하고 싶어서 신청하게 되었습니다.
학습력은 뛰어나기 때문에 빠르기 익힐 것이라 자신합니다.
감사합니다.</t>
  </si>
  <si>
    <t>전도유망한 직종에 관련 기술을 배운 뒤에 취직을 하고 싶어 지원하게 되었습니다.
취직에는 특별한 기술이 필요해보여서 배우기 위해서 신청하였습니다.
마침 사람인에서 지원이 있길래 오랜 고민 끝에 신청하게 되었습니다.</t>
  </si>
  <si>
    <t>실무를 잘 배운 뒤이 관련 업종에 빠르게 취직하는 것이 목표입니다.
개발자로서 좋은 직장을 가는 것이 목표입니다.</t>
  </si>
  <si>
    <t>생활비</t>
  </si>
  <si>
    <t>기간이 긴데 수업 이후에 취직이 안 될까 두려움.</t>
  </si>
  <si>
    <t>dudtjd115@gmail.com</t>
  </si>
  <si>
    <t>박영성</t>
  </si>
  <si>
    <t>22세(04년생)</t>
  </si>
  <si>
    <t>백석문화대학교 웹툰애니메이션 학부 웹툰과</t>
  </si>
  <si>
    <t>안녕하세요 경일 아카데미 게임 기획과정에 지원하게 된 인천 서구 거주중인 박영성입니다. 어릴때부터 공상이 많고 어떤 컨텐츠에 대한 생각이 많았으며, 고등학교 이후부터 지인들과 TRPG등을 할때, 우리가 플레이하는 테마에 맞지 않는 부분의 룰 등을 변형 시켜 하우스 룰을 만들고, 이러한 경험을 살려 취미삼아 군내에서도 TRPG 룰북에 대한 기획을 해보는 등 제가 상상한 어떤 컨텐츠로 다른 사람들과 즐거움을 나누고, 제가 좋아하는 소재에 대한 관점을 공유하고 싶다는 생각이 간절했었습니다. 실제로 제가 속한 TRPG 팀에서 좋은 반응을 얻었었고, 저 혼자 만의 작업이 아닌, 소속된 플레이어들을 모아서 아이디어를 모으고, 룰에 시스템적으로 매끄럽게 포함시키기 위해 고민하고, 피드백을 종합하고 분류하여 수용하며, 테스트를 구성하여 진행하거나, 완성된 부분을 정리하여, 자료와 함께 같이 기여해준 플레이어들에게 발표하며 소개하며 큰 성취감을 느낄 수 있었던 것 같습니다. 이러한 취미 생활로서 기획을 이어 나가고 있으면서도, 제 앞으로 인생 진로에 대한 걱정과 고민이 많고 막막하던 차였는데 때 마침 지인을 통해 경일 아카데미에 대해 알게 되었고, 지인들의 권유와 추천을 받아 신청하게 되었습니다. 제가 좋아하고 즐거움을 나눈 일을 보다 체계적이고, 제대로 끝맺어 보고, 이후로도 관리하여 완성도를 올리고 수요에 반응하는 일까지 전부를 경험해보고 이를 통해 제 취미 정도 였던 경험을 다듬어 저의 능력으로 완성시켜내고 싶습니다. 늦게 참여하게 된 만큼 정말 성실하게 수업에 임할 수 있도록 하겠습니다.</t>
  </si>
  <si>
    <t xml:space="preserve">저는 평소에도 취미 생활로서 지인들과 즐기는 TRPG 등의 하우스 룰을 설계하거나, 이러한 경험을 토대로 자체적인 TRPG 룰북을 기획해보고 있었던 차 였습니다. 이 과정에서 지인들과 함께하며 지인들과 아이디어를 나누고 수용하고, 구현에 대해 각 분야에 능력을 가진 지인들과 일해 역할을 분담해보고, 어떻게 해야 지인들의 수요에 반응하고 기획자의 의도와 시너지를 내는 컨텐츠를 만들어낼 수 있을지 고민해보는 등의 과정을 거치며 실제로 TRPG에 참여하는 인원들에게 좋은 호응을 이끌어냈고, 이 과정에서 큰 성취를 느끼며 취미로서 지속해나가고 있었습니다. 그러던 차에 진로로 고민하는 제 모습을 보고 지인들이 경일 아카데미와 함께 게임 기획의 길을 추천해주었고, 제 능력을 보다 다듬고 완성된 결과물을 낼 수 있는 사람이 되어 제 컨텐츠로 저의 관점과 즐거움을 여러 사람들과 공유하고 싶어 지원하게 되었습니다. </t>
  </si>
  <si>
    <t>공적으로 인정받는 학원, 부트캠프, 학교, 회사, 전공등의 게임 관련 학습 및 업무 경험은 없습니다. 다만 주변 지인중에 게임 전공으로 유학을 진행중이던 사람이 있었고, 이 사람과 게임성에 대해 몇차례 토의를 가져 본 것과, 앞서 소개해드린 개인 취미로서의 프로젝트의 경험은 있습니다. 
또한 웹툰 애니메이션 학부를 재학하며 연출과 스토리 등의 기획적인 요소를 일부 배웠는데, 게임에 완전히 똑같이 적용되진 않더라도 어느정도 핵심적인 맥락면에서 조금 더 잘 이해할 수 있는 부분이 있지 않을까 생각합니다.</t>
  </si>
  <si>
    <t>시나리오 디자이너, 아트 디렉터, UI 설계, QA, 레벨 디자인 등에 대해 인지하거나, 그러한 직무 분야가 있다는 것을 알고 있습니다.</t>
  </si>
  <si>
    <t xml:space="preserve">경일 아카데미를 수료하여 제가 즐거움과 취미로 삼는 일이 제 능력이 될 수 있고 사회에서 요구되는 역량으로 키워나갈 수 있는지 확인하고, 실제로 성장 시켜 저의 능력과 진로로 삼아 게임 개발 업게에 종사하는 사회인으로 거듭나고, 사회와 회사가 요구하는 게임과 더불어, 제 개인 취미 생활에서의 기획자로서도 더욱 다듬어져 프로젝트를 완성도 있게 완결시키고, 제가 좋아하고 잘하는 일을 통해 저의 앞으로의 인생의 동반자로서, 취미에서도 진로에서도 게임 기획을 함께 하고 싶습니다. </t>
  </si>
  <si>
    <t>우울증과 무기력증 진단을 고등학교 1학년때 받은적은 있으나, 고등학교 2학년 부터 병원에 다니지 않고도 일상생활을 영위하고 군생활에서도 전역까지 크게 문제 된 적 없이 정상적으로 잘 지내고 있기에 큰 문제가 되진 않을것 같습니다.</t>
  </si>
  <si>
    <t xml:space="preserve">진로 문제로 혼란스럽던 차에, 제가 취미로서 어느정도 성취감을 느낄 수 있던 분야에 대해 구체적인 어떤 길을 찾아낸 것이 무척 기쁩니다. 물론 취미로 하는 것과는 전혀 다른 수준의 일일 것이고, 요구되는 것도 제가 할 수 있는 것도 다를 것이란 것은 알지만, 그러면서도 제가 평소 좋아하고 상상해오던 것들을 해낼 수 있는 역량을 갖추는 것, 지금 하고 있고 해온 것들을 더 잘할 수 있게 된다는 것에 대한 기쁨과, 이것을 사회가 요구하는 능력으로 가다듬어서 저의 능력으로 다듬어 사회에 나아갈 수 있을 것에 대한 기대감이 큽니다. 비록 아직 사회인으로서도 기획자로서도 부족한 것이 많지만, 늦게 참여하게 되는 만큼 더더욱 열심히 임할 수 있도록 하고, 뭔가 지적해주시면 배움의 기회로 삼아 나아가도록 하겠습니다. </t>
  </si>
  <si>
    <t>wonu1124@gmail.com</t>
  </si>
  <si>
    <t>박원우</t>
  </si>
  <si>
    <t>명지전문대학 정보통신공학과</t>
  </si>
  <si>
    <t>안녕하십니까 지원자 28세 박원우 입니다. 저는 명지전문대학 정보통신공학과를 졸업하고 기초적인 기술들을 학습하다 개발에 관심이 생기며 이를 기반으로 게임 개발에 관심이 생기며 학습하다 기획에 어려움에 부딪혀 지원하게 되었습니다. 현재 독자적으로 유니티 프로그램을 활용해 보려하였으나 혼자서 진행하기에는 복잡하여 여러가지를 찾아보던와중 최근 ai생성형을 기반한 개발과 기획을 진행하는 경일아카데미에 프로그램을 보고 보다 체계적인 게임기획 역량과 개발 능력을 상승시키는 경험을 배우고 기획자로 성장할수 있는 기회가 되었으면 하고자 지원하게 되었습니다. 감사합니다.</t>
  </si>
  <si>
    <t>본과정에 참여를 신청한이유는 독자적으로 개발과 기획을 학습하던중 어려움을 느끼고 어려움을 느끼던중 관심과 흥미가 더욱 생기게 되어서 타 지인들과 현재 개발 기획자로 업계종사자들 에게 자문을 구해본 결과 이러한 프로그램들이 저에게 성장의 기회와 큰 도움이 될것이라 생각했기 때문입니다.</t>
  </si>
  <si>
    <t>시스템 기획자, 콘텐츠 기획자 , 라이브 기획자, 레벨디자이너, QA 기획자</t>
  </si>
  <si>
    <t>수료후에 어엿한 기획자로 거듭하여 더욱 많은 경험을 쌓고 최종적으로는 게임을 기획 개발하여 다른 사람들이 즐길수 있는 게임을 제작하는것이 저의 목표입니다.</t>
  </si>
  <si>
    <t>현재 거주하는곳에서 단기알바 등으로 해결하는중이나 프로그램에 참여하게되면 수입원이 줄게되어 주말 또는 야간을 근무하게 될듯합니더.</t>
  </si>
  <si>
    <t>형제</t>
  </si>
  <si>
    <t>이 기회를 토대로 반드시 어엿한 게임 기획자로 성장하고싶습니다.</t>
  </si>
  <si>
    <t>iworkgiovana@gmail.com</t>
  </si>
  <si>
    <t>박유진</t>
  </si>
  <si>
    <t>34살(92년생)</t>
  </si>
  <si>
    <t>서울대학교 의학과</t>
  </si>
  <si>
    <t>부트캠프에 지원하는 박유진이라고 합니다. AI 교육을 통해 더 나은 개발자로 성장하고 기쁜 마음으로 교육에 참여하겠습니다.</t>
  </si>
  <si>
    <t>AI 수요가 점차 늘어나는 데 비해 제 개발 실력이 부족하여 반복하여 많은 공부가 필요함을 느꼈습니다. 국비지원이라는 좋은 제도를 통하여 AI 생태계의 일원으로 자리매김할 기회라는 생각을 했고 광범위한 개발 언어를 학습하고 그동안 부족했던 개발 실력을 끌어올릴 뿐만 아니라 게임 기획자로 성장할 수 있는 좋은 기회라는 생각이 들었습니다. 게임 기획이라는 분야도 블루오션으로 흥미로운 것 같습니다. 열심히 참여하여 빠른 시일 내에 취업할 수 있도록 노력하고 성심성의껏 배우겠습니다.</t>
  </si>
  <si>
    <t>아니요.</t>
  </si>
  <si>
    <t>부트캠프에서 열심히 배우고 훌륭한 게임 기획자로 성장하여 광범위한 AI 인프라의 일원으로 성장하고 싶습니다.</t>
  </si>
  <si>
    <t>회사 동료</t>
  </si>
  <si>
    <t>잘 부탁드려요.</t>
  </si>
  <si>
    <t>hyunsu112913@gmail.com</t>
  </si>
  <si>
    <t>박현수</t>
  </si>
  <si>
    <t>만 21살(03년생)</t>
  </si>
  <si>
    <t>대학교 1학년 중퇴</t>
  </si>
  <si>
    <t>전남대학교 글로벌비즈니스학부</t>
  </si>
  <si>
    <t>안녕하세요. 게임 기획자를 꿈꾸는 청년 박현수입니다. 어릴때부터 게임을 좋아했고 지금도 이 분야에 많은 관심을 가지고 있습니다. 기본을 배운다는 마음가짐으로 8개월의 교육기간동안 최대한 열심히 많이 배워가겠습니다.</t>
  </si>
  <si>
    <t>어릴때부터 게임을 굉장히 좋아했고, 관심을 가지고 있는 분야였지만 용기가 부족해 시작조차도 해보지 않았었는데 혼자만의 시간을 보내면서 많은 고민과 나의 진로에 대해 생각을 해보았습니다. 그렇게 내가 좋아했고 평소에도 가장 많이 접하고 있는 게임분야쪽에 일을 하게된다면 결과와 무관하게 후회는 하지않을거같다는 확신이 든다는 결론이 나왔습니다. 아무것도 모르는 상태에서 배우는것이기에 기본기, 기본개념을 충실하게 배우기위해서 신청하게되었습니다</t>
  </si>
  <si>
    <t xml:space="preserve">없습니다. </t>
  </si>
  <si>
    <t>게임개발자, 클라이언트 / 서버 개발자, 엔진 최적화 전문가, AI 엔지니어</t>
  </si>
  <si>
    <t>실무에서 나에게 부족한 역량이나 필요한 능력치를 기르기위해 필요한 자기계발의 시간을 가지거나 실무경험을 통하여 파악할 수 있도록 발전할 수 있는 시간을 보내기</t>
  </si>
  <si>
    <t xml:space="preserve">전화 상담간에 전공자 비율이 30%라고 들었지만 저처럼 완전히 처음 시작하는 사람이 얼마나 되는지 그리고 이런 케이스의 비중과 전망?이 어떻게 되었는지는 잘모릅니다. 그렇기에 수업이 진행되는데 강사님의 진도내용을 이해하지 못하고 흐름을 놓친다거나 팀프로젝트에서 따라가지 못하고 피해를 끼칠 수 있는 부분이 걱정이 갑니다. 그렇다고 하더라도 포기하거나 그만둘 생각은 없지만 열심히 하겠습니다. </t>
  </si>
  <si>
    <t>herobrinered327@gmail.com</t>
  </si>
  <si>
    <t>배주빈</t>
  </si>
  <si>
    <t>경일대학교, 경영학과</t>
  </si>
  <si>
    <t>22년도에 제대이후 쭉 군휴학으로 연장하다 작년에 대학교를 자퇴햇습니다. 많은 시간을 낭비햇지만 더이상은 그러고 싶지않은 생각에 작년부터 나태햇던 자신을 고치고자 하나하나 작은 것부터 시작햇습니다. 
처음엔 집안일, 그리고 옷에 관심을 가지며 자신을 가꾸는데에 이어 운동까지 하면서 망가졋던 건강을 챙기기시작햇지만…..
그런데 경제활동을 안하던 상황속에서 지출할 곳이 많아지니 점점 제가 할수잇는 것들이 경제적인 부분들에 잇어서 제한된 일이 생겨나더라구요.
이런 상황속에서.. 늦엇지만 이제서라도 일을 하고싶다는 의지가 샘솟앗습니다. 
그렇게 우연히 본 누구나 게임회사에 취직할수잇다는 어떤 학원의 광고. 
처음으로 무료 컨설팅을 받으면서 이전부터 제가 꿈꿧던 게임 기획자의 불씨를 다시 불태울수잇었던 계기가 되었지만 막상 가격을 들었을때 정말 망설여졌습니다.
하지만 저의 기획자가 되고싶은 마음은 타올라서 이곳저곳을 찾아다니며 눈에 들어온곳이 이곳입니다.
제가 꿈에 그리던 회사에 취직할 수 있도록 정말 열심히 하겠습니다.</t>
  </si>
  <si>
    <t xml:space="preserve">중학교때부터 게임을 하는것이 아닌 게임회사에 취직하여 만들어보고 싶다는 생각이 들엇습니다.
그땐 비록 저의 두루뭉실했던 생각과 빈약한 의지에 시도는 못햇지만 지금이라도 게임회사 취업에 도전하고 싶습니다.
이왕 인생을 걸것이면 제가 좋아하고 꿈에 그리던 일을 하는 것이 나을 거란 마음에 여기에 신청을 했습니다.
</t>
  </si>
  <si>
    <t>11월 3일에 이븐아이라는 학원에 컨설팅을 받은 것이 전부입니다. 그땐 상담을 받으면서 정말 좋은 학원이라는 것이 느껴졋지만, 비용에서 오는 부담감때문에 아쉬웟습니다.</t>
  </si>
  <si>
    <t>전투 개발자, 게임 디렉터, 운영자, 시나리오.</t>
  </si>
  <si>
    <t>제가 좋아하는 게임회사인 프로젝트문에 취업하여 제가 좋아하는 게임 자신또한 개발에 참여하며 플레이하고있다면 이것보다 행복한 일은 아무것도 없을 것입니다.</t>
  </si>
  <si>
    <t>일자목과 이명이 잇고 약을 먹고잇는건 이명 약을 복용하고잇습니다.</t>
  </si>
  <si>
    <t>알바를 할 곳을 구하고잇지만, 쉽게 구해지지도 않기도 하고 이것이외엔 경제적인 활동은 없기때문입니다.</t>
  </si>
  <si>
    <t>반드시 취업하고싶습니다</t>
  </si>
  <si>
    <t>eabaeh223jin8h@gmail.com</t>
  </si>
  <si>
    <t>배진희</t>
  </si>
  <si>
    <t>백석대학교 국어국문학 전공</t>
  </si>
  <si>
    <t>어릴 때 공책게임을 만든 적이 있습니다.
아이템을 팔고 시스템을 조율하며 친구들의 반응을
보는 일이 재미있었습니다.
게임을 매개로 소통하고, 불만을 듣고 해결하는 과정도 즐거웠습니다.
현금이 오가는 걸 선생님께 걸려 운영을 멈추게 되었지만, 포기하지 않고 방식을 바꿔 다시 만들기도 했습니다.
이 경험 덕분에 저는 좋아하는 일에는 끈기 있게 몰두하고, 소통으로 문제를 해결하는 사람이라는 걸 알게 됐습니다.</t>
  </si>
  <si>
    <t>명절에는 온 가족이 모여 PC방에 갈 정도로 게임을 좋아하는 부모님 밑에서, 저 역시 게임을 애정하는 사람으로 자랐습니다.
저에게 게임은 인생 그 자체로 빠질 수 없는 키워드입니다.
할 만한 게임이 없어서 각자 다른 게임을 하는 가족들을 보다가, 문득 "내가 만든 게임을 플레이하는 모습을 보고싶다." 는 생각이 들었습니다.
평생 마음 한구석에 품어만 두었던 막연한 꿈이었지만, 우연히 경일게임아카데미 광고를 보게 되었고 체계적으로 짜여진 커리큘럼과 이미 기반이 다져있는 기획반을 알게 되었습니다.
경일에서 배우면 많은 것을 얻을 수 있을 것 같고,
전문적으로 배워 보고 싶어 신청했습니다.</t>
  </si>
  <si>
    <t>없습니다.
(타 부트캠프 사전 교육 학습.)</t>
  </si>
  <si>
    <t>시나리오, 콘텐츠 퀘스트 기획자, 이벤트 기획자, 기획QA, 밸런스 기획자, 레벨 기획자 등.</t>
  </si>
  <si>
    <t>수료 후에는 게임 직군으로 취업해 현업에서 경험하며, 더 많이 배우고싶습니다.
장기적으로는 유저들이 몰두해서 즐겁게 플레이 할만한 게임을 기획하는 것이 제 목표입니다.</t>
  </si>
  <si>
    <t>정기적으로 지출하는 돈이 있어서 국민취업제도 및 아르바이트를 병행 예정입니다.
추가적인 정부 지원이 정책이 있으면 알아두고 싶습니다.</t>
  </si>
  <si>
    <t>게임 분야에 대해 아예 잘 몰라서 낯설지만, 재미를 쫓는 사람이 되고싶습니다.
호기심과 좋아하는 것에는 몰두하는 끈기를 무기 삼아 열심히 배우겠습니다.</t>
  </si>
  <si>
    <t>formelodyne@gmail.com</t>
  </si>
  <si>
    <t>서진호</t>
  </si>
  <si>
    <t>34 (91년생)</t>
  </si>
  <si>
    <t>한국게임과학고 프로그래밍</t>
  </si>
  <si>
    <t>고등학교 시절 프로그래밍을 하려고 했으나 생각하는 방식이 논리적이지 않아 개발을 잘 못했고, 아트쪽은 3D든 2D든 완전 별로였습니다. 지금에서야 돌이켜보면 이 게임이 왜 좋았는지에 대해서 생각을 하며 어떤식으로 만들었는지 게임을 해보며 역기획처럼 이게 왜, 어떻게 재미있는가에 대해서 생각을 하는 시간이 많아졌고 친구들에게도 이 게임이 "이래서 재밌더라" 라고 표현을 하면 공감을 했습니다.</t>
  </si>
  <si>
    <t>언제부턴가 1인 개발이라도 게임을 만들어보고 싶다는 생각을 줄곧 해왔습니다.
기획은 어떻게 해야 하는지, 아트는 어떻게 해야하는지, 코딩은 어떻게 할지에 대해 생각하다 보면
막연해지는 느낌이 강하게 느껴져서 포기하곤 했었습니다. 그러다가 이번에 모집하는 글을 보고
그리고 며칠을 고민했습니다. 그게 지금 한 결정에 변화를 준 과정은 아니였지만,
스스로가 얼마나 하고 싶었는지에 대해서 되돌아보는 시간은 되었다고 생각합니다.
제가 좋아하는 게임을, 제가 만들고 싶은 게임을 드디어 표현할 기회가 왔습니다.
그래서 신청했습니다. 떨어진다면 아쉽고 언젠가를 다시 노리겠지만, 그 때가 지금이 된다면
저는 지금을 즐길 준비가 되어 있습니다.</t>
  </si>
  <si>
    <t>한국게임과학고 3년을 프로그래밍으로 했었지만 기획서에 관한건 사실 생각이 안나고 대부분의 기억이 까마득합니다.</t>
  </si>
  <si>
    <t>테크니컬 디자이너, 메커니즘 룰 디자이너, 전투 기획, UI/UX 기획, 밸런스 기획, 시나리오 기획</t>
  </si>
  <si>
    <t>재미있는 게임을 만들고 싶습니다.
30년 가까이 하고있는 이 게임이라는 취미를 즐기며 제가 받은만큼
누군가에게 영감을 주고, 재미를 주고 싶습니다.
솔직히 수료 후의 제가 어떨지 지금은 정말 하나도 예상을 못하겠습니다.
회사에 취업을 할지 아닐지도 잘 모르겠습니다.
그래도 적어도 지금은 여기서 배우면서 제가 어디로 갈지에 대한 방향성은 알게 될 것 같다는 확신은 있습니다.</t>
  </si>
  <si>
    <t>우울증(약을 꾸준히 먹으면 괜찮음), 뇌경색(2025년 8월 21일 입원, 현재는 퇴원 후 집에서 회복중, 큰 지장 없음)</t>
  </si>
  <si>
    <t>최근 뇌경색으로 인해 병원에 입원하는 등의 일로 인해 현재 저축해둔 돈이 없습니다.
아르바이트도 현재 하고있지 못해 금전적인 사정이 좋지는 않지만, PC는 예전에 좋게 환경 세팅을 해뒀습니다.</t>
  </si>
  <si>
    <t>1달에 1번씩, 3달에 1번씩 병원을 가야하는데 이 경우엔 괜찮은지 여쭤봅니다.</t>
  </si>
  <si>
    <t>fkauseowkd@gmail.com</t>
  </si>
  <si>
    <t>성민재</t>
  </si>
  <si>
    <t xml:space="preserve">고려대학교 세종캠퍼스/글로벌경영학과 </t>
  </si>
  <si>
    <t>저는 플레이어 경험을 중심에 두고 고민하는 게임기획자 성민재입니다.
다양한 보드게임과 RPG를 즐기며 ‘왜 이 구조가 재미있는가’를 분석해 왔습니다.
직접 보드게임 프로토타입 제작에 참여하며 유저 피드백을 바탕으로 규칙과 밸런스를 조정했고, 그 과정에서 재미 요소를 구조적으로 해석하는 능력을 키웠습니다.
또한 데이터 기반으로 문제를 찾고 개선하는 데 익숙하며, 새로운 시스템을 배우고 적용하는 데 거리낌이 없습니다.
저는 플레이어가 자연스럽게 몰입하고, 선택의 의미를 느낄 수 있는 경험을 설계하는 기획자가 되고 싶습니다.</t>
  </si>
  <si>
    <t>게임을 좋아하는 것에서 그치지 않고, 플레이어의 경험을 설계하는 과정을 제대로 배우고 싶어서 수업에 참여합니다. 그동안 보드게임 제작에 참여하며 간단한 규칙을 만들고 피드백을 반영해 개선하는 경험을 했는데, 이를 디지털 게임기획으로 확장하고자 합니다. 체계적인 기획 방법과 실제 개발 흐름을 배우며 제 역량을 구체적으로 발전시키고 싶습니다.</t>
  </si>
  <si>
    <t>SBS에서 6개월 게임기획 공부했습니다</t>
  </si>
  <si>
    <t xml:space="preserve">게임기획자(시스템,시나리오,밸런스 등), </t>
  </si>
  <si>
    <t>직접 기획 문서를 작성해보고, 작은 프로토타입이라도 하나 완성하는 것이 목표입니다.</t>
  </si>
  <si>
    <t>기초를 탄탄히 다지고, 매 프로젝트마다 한 단계씩 성장하겠습니다.</t>
  </si>
  <si>
    <t>성민쟈</t>
  </si>
  <si>
    <t>tjdgusrb155@gmail.com</t>
  </si>
  <si>
    <t>성현규</t>
  </si>
  <si>
    <t>39(87년생)</t>
  </si>
  <si>
    <t>건양대학교, 임상병리학</t>
  </si>
  <si>
    <t>게임을 좋아하며 여러종류의 게임을 즐기며 생활하였습니다. 좋아하는 게임과 관련된 일을 한다면 재밌고 능률 좋게 일을 할수 있을것 같습니다.</t>
  </si>
  <si>
    <t>어릴적 부터 지금 까지 pc게임과 모바일 게임을 즐겨 해왔습니다. 우연히 온라인 교육과정을 알게 되었고 이번 기회를 통해 좋아하는 일을 해볼 수 있는 마지막 기회라고 생각합니다. 그리고 잘 할수 있을것 같습니다.</t>
  </si>
  <si>
    <t>게임 개발자</t>
  </si>
  <si>
    <t>큰 목표는 대기업에 들어가서 재미잇는 게임을 만드는데 보탬이 되고싶습니다.</t>
  </si>
  <si>
    <t>허리디스크, 5년전 수술 하였고 현재는 특이사항 없음</t>
  </si>
  <si>
    <t>현재 자영업중으로 고정지출이 있음.</t>
  </si>
  <si>
    <t>걱정되는 부분은 당연히 비전공자 인 부분 입니다. 전공자에 비해 뒤떨어질수 밖에없다고 생각됩니다. 수료 후 차이가 많이 날까 걱정됩니다.</t>
  </si>
  <si>
    <t>xoy1542@gmail.com</t>
  </si>
  <si>
    <t>손호진</t>
  </si>
  <si>
    <t>중부대학교 게임소프트웨어학과</t>
  </si>
  <si>
    <t>대학교 졸업 후에 다른 일도 해보고 싶었어서 전공 관련으로 쉬었다가 다시 게임 쪽으로 취업하게 되고 싶어서 정보를 찾아보았고, 이 교육을 통해 이력서나 포트폴리오를 다시 만들어서 취업을 해보려고 합니다.</t>
  </si>
  <si>
    <t>다른 아카데미는 개발쪽에 중점을 두고 기획쪽은 많이 없는 반면에, 이 곳은 다른 곳보다는 더 기획 부분에서 얻을 부분이 많아보였고, 모집과정에 생성형 AI가 들어가면서 요즘 화두인 AI또한 배워갈 수 있을 것이라 생각했습니다.</t>
  </si>
  <si>
    <t>게임기획자를 지망하고 있고, 세부 분야에 대해선 크게 희망하는건 없지만, 레벨기획과 관련해서는 저와 맞지 않는 부분이 많아서 가장 기피하고 있습니다.</t>
  </si>
  <si>
    <t>수료가 되는대로 게임회사에 지원하여 합격하는 것을 목표로 하고 있습니다.</t>
  </si>
  <si>
    <t>열심히 하겠습니다.</t>
  </si>
  <si>
    <t>a01043581218@gmail.com</t>
  </si>
  <si>
    <t>송아영</t>
  </si>
  <si>
    <t>31(94년생)</t>
  </si>
  <si>
    <t>청강문화산업대학교/만화창작</t>
  </si>
  <si>
    <t xml:space="preserve"> 반갑습니다, 저는 16년도에 졸업한 이후로 단 한 번도 전공과 관련된 일을 한 적이 없는 사람입니다.
여러가지 서비스직을 전전하던 도중 최근 게임산업 취직이 뜨는 이슈라는 사실을 알게 되었습니다.
하던 일들에 회의감을 가지고 있던 저로써는 끌리지 않을 수가 없었어요.
내가 좋아하는 게임으로도 사회에 기여할 수 있다는 사실이 매력적이었습니다.
저는 7살부터 아버지가 pc를 상대로 플레이하고 계신 스타크래프트를 구경하면서 게임에 빠져들게 되었는데요.
자기소개 안에 다 담기 어렵다고 생각될 정도로 많이 했습니다. PC게임부터 닌텐도, 닌텐도 스위치, 모바일 등등 다양한 게임을 해왔습니다.
부모님께는 늘 골칫덩이로 살아왔습니다. 게임만 너무 해서요.
혼나기만 했던 이 경험을 십분 활용할 수 있는 분야라는 점에 설레기도 합니다.
열심히 배우겠습니다. 감사합니다.</t>
  </si>
  <si>
    <t>제가 좋아하는 일과 관련된 일에 종사하고 싶습니다.
나는 비전공이니까, 할 수 있는 것 부터 해야지! 하고 시나리오 라이터를 목표로 했는데요.
시나리오 라이터도 많은 것들을 알고 있어야 되더라고요.
그래서 신청하게 되었습니다.</t>
  </si>
  <si>
    <t>취미와 관련된 경험은 있지만 학습 또는 업무경험은 없습니다.</t>
  </si>
  <si>
    <t>시나리오 라이터, 레벨 디자이너, 몬스터 디자인, 홍보/판촉 분야, QA 관련, 이벤트 기획자, UI디자이너, 
GM(유저 민심 내지 플레이 환경 파악)</t>
  </si>
  <si>
    <t>데브캣 시나리오 라이터 입사가 목표이나, 수료 과정 도중 바뀔지도 모르겠습니다.
워낙 게임 업계의 일에 대해 단편적인 면 만을 알고 있어서요.</t>
  </si>
  <si>
    <t>성인 ADHD / 콘서타, 아토목세틴 등</t>
  </si>
  <si>
    <t>게임 내 지인</t>
  </si>
  <si>
    <t>목표는 '내가 직접 짠 스토리를 대중에게 선보이고 싶다!' 는 작은 목표가 있습니다. 화이팅!!</t>
  </si>
  <si>
    <t>acaums123@gmail.com</t>
  </si>
  <si>
    <t>송찬형</t>
  </si>
  <si>
    <t>23살</t>
  </si>
  <si>
    <t>고졸</t>
  </si>
  <si>
    <t>비록 전공은 게임 디렉팅쪽과는 연관이 없지만 어릴때부터 게임에 흥미를 갖고 있었고 단순한 게임 플레이를 넘어서 저만의 게임 세상을 창조해보고 싶습니다</t>
  </si>
  <si>
    <t>이 과정에 참여를 신청한 이유는 게임에 대한 흥미를 좀 더 경제적이고 구체적으로 활용해보고 싶기 때문입니다. 그리고 무엇보다 즐겁게 배우고 싶고 한번뿐인 제 인생을 가꾸어 나가고 싶기 때문입니다</t>
  </si>
  <si>
    <t>미대 입시를 준비했습니다</t>
  </si>
  <si>
    <t>클라이언트 개발자 게임 디렉터 일러스트레이터 스토리작가</t>
  </si>
  <si>
    <t>게임 회사에 들어가 기획에 참여하고 베이스를 쌓은 후 게임 디렉팅을 총괄해보고 싶습니다</t>
  </si>
  <si>
    <t>우울증이 있습니다 하지만 현재는 많이 좋아져 거의 완치상태입니다</t>
  </si>
  <si>
    <t>현</t>
  </si>
  <si>
    <t>인스타그램</t>
  </si>
  <si>
    <t>파이팅</t>
  </si>
  <si>
    <t>jeungha89@gmail.com</t>
  </si>
  <si>
    <t>승정하</t>
  </si>
  <si>
    <t>미네소타 주립대학교 심리학과(전공), 통계학과(부전공)</t>
  </si>
  <si>
    <t xml:space="preserve">안녕하세요. 
게임을 통해 다른 사람들에게 긍정적인 영향을 주고 싶은 승정하라고 합니다. 
저는 사실 게임을 취미로만 즐겼던, 미국 심리학계 연구원이였습니다. 플레이는 장르와 플랫폼에 상관없이 다양하고 오랫동안 즐겼지만, 게임 제작은 대학교 시절 컴퓨터 공학 수업 중 제작한 간단한 게임이 다였습니다. 그러던 중 라이엇 게임즈에 재직중이던 한 친한 지인분의 권유로 연구를 통한 간접적인 영향보다는 게임을 통해 조금 더 제가 잘 체감할 수 있고, 직관적이고, 긍정적인 영향을 다른 사람들에게 주는 경험을 하기 위해 게임 업계 취업을 준비하게 되었습니다. 
제게 게임은 3살적 부모님 무릎에 앉아 시작된 제 추억이자, 오랜 유학 생활 중 세계 곳곳에 퍼져있는 제 친구들과의 연결점이자, 열정적으로 응원하는 스포츠이자, 이제는 제가 이루고 싶은 꿈입니다. </t>
  </si>
  <si>
    <t>UX/UI 디자이너 직군으로 취업 준비를 하던 중 조금 더 제 적성에 맞는 게임 업계 직군을 찾다가 신청하게 되었습니다. 제 백그라운드 특성상 데이터를 기반으로 한 기획 및 개발이 조금 더 적성에 맞다고 생각했고, 게임 제작 및 운영에 직관적인 영향을 미칠 수 있는 직군이 기획자라고 생각했습니다. 
그리고 기획자라는 직군에 대해 배우기 위해 체계적이고 확실한 게임 제작에 관한 교육과정을 찾고 있었습니다. 
제 기준은 3가지였습니다. 첫 번째로는 체계적이면서 오픈된 커리큘럼, 그리고 두 번째로는 확실한 취업 가능성, 마지막으로 실무에 준하는 경험을 할 수 있는가였습니다. 
전에 다니던 학원에서 취업 관련 지원을 전혀 받지 못해 신중하게 여러 기관을 찾아보다가 경일게임아카데미 설명회 참관 후 신청을 결심하게 되었습니다.</t>
  </si>
  <si>
    <t>대학교 3학년 때 라켓이라는 프로그래밍 언어를 이용해 간단한 게임 개발을 해본적이 있습니다. 
SBS 게임 아카데미에서 게임 UX/UI 디자인 과정을 수료했고 포트폴리오 완성까지 완료하였습니다.</t>
  </si>
  <si>
    <t xml:space="preserve">BM 관련 기획자는 이벤트나 상용화 관련 시스템 및 개선점 기획 및 제작합니다.
밸런스 기획자는 경제, 레벨, 캐릭터간의 능력치 등 균형이 필요한 여러 요소들을 분석하고 조정합니다. 플레이어들이 공정하고 재밌게 플레이 할 수 있도록 여러 새로운 패치나 버전들을 거치는 과정 속에서 게임의 밸런스를 유지합니다. </t>
  </si>
  <si>
    <t xml:space="preserve">최우선적으로는 게임 기획자로서 퀄리티 높은 프로젝트를 최소 4개 완성시키고 싶습니다. 
이 과정속에서 게임 업계에서의 협업도 배우고 좋은 팀원들도 만나고 저도 좋은 팀원이 되고 싶습니다.
그 뒤로는 누구나 아는 게임 회사에서 게임을 기획하면서 경험을 쌓고 다른 사람들에게 좋은 경험을 하게 해주는 낭만있는 게임을 만드는것이 제 최종 목표입니다. </t>
  </si>
  <si>
    <t xml:space="preserve">앞서 언급한 목표외에는 기획자 과정에서 심화과정까지 수료하는것이 개인적인 목표입니다. 게임 지표나 더 자세한 데이터를 다루고 이를 통해 더 높은 경쟁력을 보유한 게임 기획자가 되고 싶습니다. </t>
  </si>
  <si>
    <t>zeno9758@gmail.com</t>
  </si>
  <si>
    <t>신석균</t>
  </si>
  <si>
    <t>31살(94년생)</t>
  </si>
  <si>
    <t>동아대 행정학과</t>
  </si>
  <si>
    <t xml:space="preserve">게임을 만들어보고 싶어 강의를 신청하게 된 신석균이라고 합니다. 평소 가벼운 소설을 쓰면서 소설설정이나 게임설정을 만들어 보면서 깊은 흥미를 가지게 되었고 이번 기회에 제대로 게임기획에 대해서 알고 싶고 또한 이를 바탕으로 직업을 삼아서 진정으로 하고 싶은 일을 할 수 있게 되었으면 좋겠습니다.  </t>
  </si>
  <si>
    <t>평소에도 게임에 관심이 많으며 즐겨하고 있습니다. 그리고 아주 가벼운 소설등을 쓰면서 소설 설정이나 게임 설정 등을 구상하고 만들고 있었습니다. 다만 이는 아주 취미의 영역이었으나 현재 다시 일을 구하게 되면서 '내가 정말 하고 싶은 일은 무엇인가 ' 에 대해 생각하면서 평소 좋아하는 것에 대해 다시 한번 생각하게 되었습니다.
그렇게 막연하게 게임 기획이나 개발에 대해서 생각하고 있다가 무언가 체계적인 교육이나 과정등이 필요한 것 같아서 조사하던 중 본 과정을 발견하였고 이에 참가하게 되었습니다.</t>
  </si>
  <si>
    <t>안타깝게도 게임과 관련된 학습 및 업무 경험은 존재하지 않습니다.</t>
  </si>
  <si>
    <t>게임 기획자의 세부 직군은 시스템 기획,  콘텐츠 기획, 밸런스 기획자, 시나리오 기획자 등이 있는 것으로 알고 있습니다.
시스템 기획은 전체적인 시스템이 어떻게 작동할 것인지를 설계하는 업무입니다. 단순한 작동 매커니즘부터 중요한 게임 시스템을 기획하는 것입니다. 이를 수행하기 위해서는 프로그래밍에 대한 지식과 경험이 필요하며 가장 중요한 파트를 담당합니다.
콘텐츠 기획은 단순하게 게임을 하는 사람들이 소비하는 콘텐츠를 어떻게 만들지를 기획하는 곳입니다. 
밸런스 기획자는 게임 내 밸런스를 개발하고 조절하며 때로는 레벨 디자인과 맞물려 수치등을 조절하는 업무를 맡습니다. 또한 이는 콘텐츠 기획과 맞닿아 있어 긴밀한 상의가 필요합니다.
시나리오 기획은 단순하게는 그 게임의 배경 설정이나 로어 등을 만들고 더 크게는 게임의 시나리오를 만듭니다.</t>
  </si>
  <si>
    <t xml:space="preserve">이 과정을 수료 후 게임 회사에 취직을 하거나 게임 개발에 필요한 능력을 기를 수 있는 공부를 하겠습니다. </t>
  </si>
  <si>
    <t>게임 기획이나 개발에 대한 경험이나 지식이 없어서 초반에 많이 힘들것으로 예상되나 절대 포기하지 않고 끝까지 배울 것이며 어렵더라도 많은 것을 배울 수 있었으면 좋겠습니다.</t>
  </si>
  <si>
    <t>tlsdnrua97@gmail.com</t>
  </si>
  <si>
    <t>신우겸</t>
  </si>
  <si>
    <t>인제대학교 신문방송학과</t>
  </si>
  <si>
    <t>1997년 대구에서 태어난 29살 남자입니다. 초중고를 졸업하고 대학교 때부터 타지생활을 했습니다. 사회에 나와 새로운 경험을 하자라는 취지로 살아왔습니다. 다양한 경험을 하고 배우고 그러면서 적응력이 빨라진 것 같습니다. ENTJ인 만큼 계획적이고 진취적이며 새로운 것을 접하는 것을 두려워 하지 않습니다. 붙임성도 좋고 저만의 방식으로 새로운 것을 만드는 것도 좋아합니다. 집안의 장남이기도 하여 책임감도 좋습니다. 한번 부여 받은 프로젝트는 밤낮없이 마무리하는 것을 목표로 달립니다. 학업에 대한 아쉬움이 있어 학업을 더 하고 싶다는 생각을 하고 싶었는데 이번 기회에 다시 해보고 싶습니다</t>
  </si>
  <si>
    <t>평소 창의력과 아이디어가 좋다는 말을 들었습니다. 유치원때 CD로 출시된 백구게임을 시작으로 현재는 롤, 피파, 서든등 어렸을 때부터 게임하는 것을 좋아하는 편이었고 지금도 꾸준히 하는 중입니다. 몇가지 게임만 하는 것이 아니라 대부분의 게임을 접해봤습니다. FPS, RPG, STEAM 게임 등 다양한 컨셉의 게임을 접해봤기 때문에 장르마다의 장단점을 다른 사람들에 비해서 잘 파악하고 있습니다. 또한 사람을 관리하고 사람을 상대하는 영업일도, 금융일도 해보면서 사람을 분석하고 판단하는 능력이 길러져 제가 경험해봤던 것들을 게임과 접목시킨다면 새롭고 놀라운 퍼포먼스가 나올 수 있다고 생각합니다. 그리고 AI 시대라고 할 수 있을 만큼 요즘은 인공지능이 없으면 발전하기가 어려운 시대입니다. AI를 통해 디테일한 코칭이 가능하기 때문에 이 부분을 활용하는 법을 잘 배워서 희대의 레전드 게임을 만드는 것이 목표로 잡고 지원하게 됐습니다.</t>
  </si>
  <si>
    <t>UI/UX 기획자, 콘텐츠/내러티브 기획자, 시스템 기획자, 서버 프로그래머, 이펙트 아티스트 (VFX/FX)</t>
  </si>
  <si>
    <t>국내의 넥슨, NC소프트, 크래프톤 같은 대기업에서 텐센트, 소니, 마이크로스프트 같은 해외 대기업으로 더 많은 것을 배우고 세계적인 저만의 새로운 게임을 만드는 것이 목표입니다.</t>
  </si>
  <si>
    <t>재정적인 수입이 현재보다 더 떨어질 우려가 있습니다</t>
  </si>
  <si>
    <t>화상 면접때 뵙겠습니다! 잘 부탁드립니다!</t>
  </si>
  <si>
    <t>ranee0806@gmail.com</t>
  </si>
  <si>
    <t>신유진</t>
  </si>
  <si>
    <t>만23세 (01년생)</t>
  </si>
  <si>
    <t>대학교 졸업예정</t>
  </si>
  <si>
    <t>경희대/연극영화,디지털콘텐츠학</t>
  </si>
  <si>
    <t>서브컬처/시스템 특화 게임 기획자 신유진입니다.
일본에서의 생활 경험과 더불어 원신,우마무스메,명일방주 등 다양한 서브컬처 플레이경험을 바탕으로 말이 되는 기획이 아닌, 최선의 기획을 제시할 수 있는 기획자입니다.</t>
  </si>
  <si>
    <t>생성형 AI를 활용한 기획에 대한 학습을 통해 개인 역량 및 커리어 증진
이를 통한 효율적인 업무 역량을 습득하고
향후 AI시대에 유능한 기획자로 1인분이 아닌 10인분 이상을 해낼 수 있는 인재가 되기 위함</t>
  </si>
  <si>
    <t>개인 개발 경험 2건, 중소기업 2개월 경력</t>
  </si>
  <si>
    <t>기획자는 회사마다 팀마다 나누는 기준, 세부업무가 달라서 굳이 이름붙이는 의미는 없다</t>
  </si>
  <si>
    <t>AI를 활용한 레퍼런스 조사, 그래프 시각화, 반복업무 효율화 등을 해낼 수 있는 기획자</t>
  </si>
  <si>
    <t>AI활용 역량 관련해서 크래프톤제외 아직 제대로 보급조차 안된 듯합니다.
선두 주자로 합류하겠습니다.</t>
  </si>
  <si>
    <t>shinhakdo@gmail.com</t>
  </si>
  <si>
    <t xml:space="preserve">신학도 </t>
  </si>
  <si>
    <t xml:space="preserve">일본어과 </t>
  </si>
  <si>
    <t>엠게임에서 7년정도 3디 캐릭터 모델링을 했습니다. 퇴사후 모델링 외주일과 게임제작을 하고 있습니다</t>
  </si>
  <si>
    <t xml:space="preserve">모바일 게임을 만들고 있는데 유니티 사용법과 c#  프로그래밍, 그리고 시스템기획쪽이 부족해 지원하게  됬습니다. 요즘은 ai를  적극 이용하는 추세인데 그것도 많이  부족합니다. </t>
  </si>
  <si>
    <t>엠게임  7년, 외주는 현재도 하고 있습니다.</t>
  </si>
  <si>
    <t>기획쪽은 시스템, 벨런스, 시나리오 등등이  잇을거고 개발쪽은 원화, 모델러 ㅡ배경, 캐릭, 프랍 ㅡ있습니다.</t>
  </si>
  <si>
    <t>현재개발중인 게임을 좀더 다듬어  재미진  게임출시가  목표입니다.</t>
  </si>
  <si>
    <t>음  위에 써놔서 따로 할말은 없습니다.</t>
  </si>
  <si>
    <t>ansungjin9888@gmail.com</t>
  </si>
  <si>
    <t>안성진</t>
  </si>
  <si>
    <t>영남대학교 컴퓨터공학과</t>
  </si>
  <si>
    <t>저는 게임을 좋아합니다. 평범했던 일상과는 다르게 제가 원한다면 모험을 떠날 수도 있고, 얼굴도 모르는 사람과 함께 공동의 목표를 향해 나아갈 수도 있는 이러한 특별한 경험을 할 수 있다는 감정에 게임을 좋아하게 되었습니다. 제가 제 자신의 진로를 고민하는 시기가 왔을 때 제가 느꼈던 이 경험과 감정들을 다른 이들에게도 주고 싶다는 생각을 했습니다.
그렇게 처음에 게임 개발자의 꿈을 가지고 컴퓨터공학과에 진학해 학문을 쌓았습니다. 하지만 개발자의 길은 제가 추구한 게임의 이상향에 도달하기엔 아쉬움이 있었습니다. 제 자신의 생각을 게임으로 만들고 싶었던 저에겐 다른 행동이 필요했습니다. 이후 게임의 전반적인 메타, 트렌드를 공부하며 게임 기획을 접하게 되고 나서야 제가 찾던 방향이 게임 기획자라는 것을 깨닫게 되었습니다. 현재는 게임 기획자를 꿈꾸며 제가 느꼈던 것처럼 플레이하며 새로운 경험과 감정을 드리는 게임을 제작하고 싶다는 꿈이 생겼습니다. 단순히 ‘게임’이 아닌 사람들에게 각인되는 ‘경험’을 제작하는 게임 기획자라는 목표를 달성하고자 합니다.</t>
  </si>
  <si>
    <t>이번 부트캠프에 지원하는 이유는 제가 쌓아온 열정과 경험을 실무적인 역량으로 발전시키기 위해서입니다. 단순히 이론이나 문서 작성에 머무르지 않고 생성형 AI를 활용한 최신 트렌드의 게임 기획 방식과 현직자의 피드백을 통해 ‘실제로 작동하는 기획’을 배워보고 싶습니다. 또한 온라인 환경에서 협업 기반 프로젝트를 경험할 수 있다는 점이 제가 나아가고 싶은 방향이라 생각합니다.
이번 4기 과정에서는 AI, 유니티, UI/UX 등 게임 기획의 실질적인 도구를 다루며 다양한 기획 포트폴리오를 완성할 수 있다고 알고 있습니다. 저는 이 과정을 통해 제 아이디어를 구조화하고 기술적 이해도를 더해 개발자 및 아티스트와 원활히 소통하는 기획자로 성장하고 싶습니다.</t>
  </si>
  <si>
    <t>2020년부터 2021년까지 SBS아카데미 학원을 다니며 게임 기획 공부를 시작했습니다. 해당 과정에서 게임기획의 기초부터 기획서 작성까지 배우며 기초를 다졌습니다. 이후 2022년 메이플스토리월드 슈퍼해커톤에 참가해 다른 사람과의 협업을 통해 프로젝트를 진행하기 시작했습니다. 2024년에는 파이널플로라는 회사에 입사하게 되어 1년간 근무했습니다. 이후 제 자신이 조금 부족하다고 느껴 퇴사를 하고 재취업준비를 하고 있었습니다. 그러던중 이번 부트캠프를 알게되어 신청하게 되었습니다.</t>
  </si>
  <si>
    <t>시스템 기획자, 밸런스 기획자, 컨텐츠 기획자, 레벨 디자이너, 시나리오 디자이너, 세계관 기획자, UI/UX기획자, BM기획자, 이벤트 기획자, 리드 디자이너</t>
  </si>
  <si>
    <t>이번 부트캠프에서 얻은 배움을 바탕으로, 유저에게 단순한 재미를 넘어 ‘기억될 경험’을 제공하는 기획자가 되는 것이 제 목표입니다.</t>
  </si>
  <si>
    <t>현재 월세를 내며 지내고 있는데 돈을 마련할 시간이 부족할거 같음</t>
  </si>
  <si>
    <t>없습니다. 열심히 하겠습니다.</t>
  </si>
  <si>
    <t>yee8190@gmail.com</t>
  </si>
  <si>
    <t>예인해</t>
  </si>
  <si>
    <t>상업고등학교(스마트콘텐츠과)</t>
  </si>
  <si>
    <t>안녕하세요, 게임 기획을 배우고 싶은 예인해입니다.
저는 게임을 즐길 때 단순한 플레이를 넘어, 왜 이 구조가 재미를 만드는지, 어떤 밸런스가 플레이 경험을 변화시키는지 분석하는 데 큰 흥미를 느껴왔습니다.
이런 관심을 기반으로 기획에 대해 더 깊이 배우고 싶어 이번 수업에 지원했습니다. 수업을 통해 기획 사고 방식과 실제 제작 프로세스를 체계적으로 익히고, 작은 프로젝트라도 완성도 있게 만들어 보고 싶습니다.
배움에 적극적이고 탐구하는 태도를 바탕으로, 함께 성장할 수 있는 수업의 일원이 되고 싶습니다.
감사합니다.</t>
  </si>
  <si>
    <t>저는 기획 경험이 전혀 없는 상태에서 혼자 공부하며 한계를 크게 느꼈고, 기본기를 잘못 쌓는 것에 대한 두려움도 생겼습니다. 이 과정은 기초부터 실제 제작 실습까지 단계적으로 배울 수 있는 커리큘럼이 가장 잘 갖춰져 있어, 무베이스인 제가 기획자로 성장하기 위해 꼭 필요한 곳이라고 생각했습니다. 그래서 이 수업이 아니면 제대로 시작하기 어렵다고 판단해 지원했습니다.</t>
  </si>
  <si>
    <t>콘텐츠 기획자(시나리오, 레벨 디자인, 퀘스트), 시스템 기획자(벨런스, 게임 내부 경제, 레벨)</t>
  </si>
  <si>
    <t>수료 후에는 배운 기획 프로세스를 기반으로 실제 플레이 가능한 프로토타입과 기획 포트폴리오를 완성하는 것이 목표입니다. 이를 통해 신입 게임 기획자로 지원할 수 있는 실질적인 역량과 근거를 갖추고, 현업에서 바로 기여할 수 있는 준비된 인재로 성장하고자 합니다.</t>
  </si>
  <si>
    <t>처음부터 끝까지 전부 비대면으로 진행되는지 궁금합니다. 거주지 위치 상 대면 수업의 경우 약간의 애로사항이 있을 수 있습니다.</t>
  </si>
  <si>
    <t>dt8922dt8922@gmail.com</t>
  </si>
  <si>
    <t>오동건</t>
  </si>
  <si>
    <t>대학교 휴학(3학년)</t>
  </si>
  <si>
    <t>전주대 물리치료학과</t>
  </si>
  <si>
    <t>저는 타전공 3학년 휴학생입니다.
군전역 후 전공이 생각보다 맞지 않아 일하면서 하루하루를 때우던 중 수시원서를 쓸 때 소프트웨어학과에 지원했던 것이 생각났고, 제가 원래 게임을 좋아하는데 이번에 국비지원과정이란 것을 알게 되어 모든 상황이 맞아떨어져 지원하게 되었습니다.</t>
  </si>
  <si>
    <t>저는 원래 게임을 하는것과 시나리오, 웹소설 같은 이야기들을 좋아했습니다. 예전에는 롤이나 배그 같이 아무 이야기 없는 게임들만 플레이했었는데, 요즘 게임 시장에는 좋은 스토리를 가진 게임들이 많이 나오고 있습니다. 이런 게임들을 자주 즐기다 보니 자연스레 관심이 생기게 되어 게임기획에 지원하게 되었습니다.</t>
  </si>
  <si>
    <t>시나리오 기획자, 설정 기획자, 퀘스트 기획자</t>
  </si>
  <si>
    <t>시나리오, 설정 기획자가, 퀘스트 기획자가 되고 싶습니다</t>
  </si>
  <si>
    <t>국취제에 훈련비를 받으면 문제 없으나
국취제 1유형이 안되면 생활비대출이 필요합니다</t>
  </si>
  <si>
    <t>좋아하는 것을 배우는 것은 무엇보다 즐거운 일입니다.
이 마음으로 끝까지 가겠습니다</t>
  </si>
  <si>
    <t>oh8271@gmail.com</t>
  </si>
  <si>
    <t>오재욱</t>
  </si>
  <si>
    <t>항공대학교 기계공학과</t>
  </si>
  <si>
    <t>저는 어릴 때부터 다양한 게임을 해왔으며 플레이 할 때마다 조금씩 이런 부분은 고치면 좋을텐데,
또 이런 부분은 이렇게 나왔으면 좋겠다라는 생각을 늘 해왔습니다. 이번 교육으로 게임 기획자로서 큰 발전을 이루고 싶습니다.</t>
  </si>
  <si>
    <t>자격증을 공부하며 진로를 결정하고 있던 와중 우연히 인스타그램에서 국비 교육 지원 광고를 보게 되어 홈페이지에서 과정에 대해 읽어 보았습니다. 단순히 교육만 하는 것이 아닌 실습 위주라고 하여 좀 더 끌리게 된거 같습니다.</t>
  </si>
  <si>
    <t>게임플랫폼에 제가 개발한 게임을 런칭하여 유튜버들이나 스트리머들이 플레이 하고 즐거워하는것을 보고싶습니다.</t>
  </si>
  <si>
    <t>열심히 교육을 들어서 제가 얻어가는게 많았으면 좋겠습니다</t>
  </si>
  <si>
    <t>reals2006n@gmail.com</t>
  </si>
  <si>
    <t>오종호</t>
  </si>
  <si>
    <t>NAIT DMIT</t>
  </si>
  <si>
    <t>게임 기획자 지망생 오종호입니다. 저는 캐나다 영주권자이며, 어렸을때부터 서브컬쳐에 관심이 많았습니다. 덕분에 영어, 일본어가 되어 국산게임에만 한정되지 않고 다양한 게임들을 해보았으며, 커뮤니티를 통해 각 나라별 니즈를 파악하는데 유리합니다. 한가지 일에 몰두하기보다 여러가지일을 멀티로 하고 다양하게 이것저것 접하는것을 좋아합니다. 넓게 보고, 다양한 게임을 조사하고, 새로운 메타에 빠른게 적응해야하는 기획자가 저에게 잘 어울릴거라고 생각해 이번에 배워보려고 합니다.</t>
  </si>
  <si>
    <t>외국에서 살다가 한국에 돌아와서 새출발을 하게되었습니다. 이 기회에 제가 가장 좋아하고 가장 자신있는 일을 본업으로 하고 싶습니다. 유저가 진심으로 사랑에 빠질수있는 게임을 같은 마음을 가진 동료들과 함께 만들고 싶습니다. 군대 제대하고 10여년간 200에 가까운 서브컬쳐 게임을 해봤고 유저의 마음은 누구보다 잘압니다. 하지만 게임을 해본 경험만 있지 직접 프로젝트에 참여한 경력이 아직 없습니다. 외국에 익숙한 저는 어디서 어떻게 이 분야에 취직을 할 수 있는지도 막막합니다. 이 프로젝트의 도움이 절실하다고 느꼈습니다. 이곳에서 기초를 다지고 제 경험을 살려 한사람분의 기획자가 되는것이 제 목표입니다.</t>
  </si>
  <si>
    <t>PD(총괄), GM, 일러, 개발, 기획, 마케팅, 검수, 법무, 인사</t>
  </si>
  <si>
    <t>서브컬쳐 개발에 참여하는것. 가능하다면 제 의견을 신입이라고 무시하지 않고 진지하게 함께 공유할 동료들이 있는 프로젝트에 참여하고 싶습니다.</t>
  </si>
  <si>
    <t>다른 수강생들에 비해 나이가 많을거 같아서 조금 걱정이나 적응해보록 할 것.</t>
  </si>
  <si>
    <t>yong926000@gmail.com</t>
  </si>
  <si>
    <t>용혁</t>
  </si>
  <si>
    <t>여주대학교 / 보건행정</t>
  </si>
  <si>
    <t>어렸을 때부터 게임을 많이 해왔고 실제로 게임 개발 관련해서도 많은 점들이 궁금했었는데, 제 성향상 개발보다는 기획에 맞는다는 생각이 들었고 게임 기획과 운영 관련해서 많은 것들을 배워보고 싶었습니다. 친구의 추천으로 관련된 내용들이 궁금했고 이번 기회에 배워보고 싶어요</t>
  </si>
  <si>
    <t>친형과 친구들과 쉬는 시간, 남는 시간에 다양한 활동을 했지만 그 중에서도 재미있게 했던 것은 게임이었습니다. 학창 시절 친구들과 친해질 때 축구나 스포츠 활동도 있었지만 같이 게임을 하면서 많이 친해졌는데요. 그렇다보니 게임을 많이 하게 됐고, 자연스럽게 게임 소식이나 정보 공략에도 관심을 가지게 됐습니다. 고등학교를 다니면서 게임 블로그를 운영했고 다양한 게임들을 플레이 해봤고 기획이나 개발 단계에도 관심을 가지게 됐습니다. 그 중에서도 게임 기획과 운영을 전반적으로 담당할 수 있는 게임 기획 과정에 흥미를 느끼게 되서 신청하게 됐습니다!</t>
  </si>
  <si>
    <t>사실 전혀 없습니다. 그나마 게임과 관련된 부분은 게임 홍보 정도 일 것 같아요. 게임 블로그를 운영하면서 게임 소개, 플레이, 공략, 무료 배포 소식 등 다양한 소식을 전했던 것 같아요.</t>
  </si>
  <si>
    <t>GM, 콘텐츠 기획자, 이벤트 기획, 퀘스트 기획</t>
  </si>
  <si>
    <t>크래프톤, 넥슨과 같은 게임 회사에 취직하고 싶습니다.</t>
  </si>
  <si>
    <t>흥미가 생긴만큼 게임 기획을 알려주는 기간 동안 열심히 공부하고 꼭 나만의 것으로 만든 뒤에 취직하고 싶습니다!</t>
  </si>
  <si>
    <t>adamantfamily@gmail.com</t>
  </si>
  <si>
    <t>우성혁</t>
  </si>
  <si>
    <t>30살(1995년생)</t>
  </si>
  <si>
    <t>인천대학교 자연과학대학 물리학과</t>
  </si>
  <si>
    <t>게임 회사 근무 중 이직하여 재취업을 준비 중입니다. 기획은 컨셉 디자인 분야로 시작하였고, 재직 중 시스템 및 콘텐츠 디자인 분야에도 실무 경험을 얻었습니다.</t>
  </si>
  <si>
    <t>실업 후 구직 준비 상태에서 국비 지원 교육 과정을 통해 직무 능력 및 업무 진행 감각을 유지하여, 재취업 후 빠르고 안정적으로 업무를 진행할 수 있도록 준비하고자 본 과정에 참가 신청을 하게 되었습니다.</t>
  </si>
  <si>
    <t>대학교 졸업 후 단기 학원 수강을 이수한 경험이 있었고
이후 회사에 재직하여 근무했었습니다.</t>
  </si>
  <si>
    <t>클라이언트 시스템 기획, 게임 콘텐츠 기획, 전투 시스템 디자인, 인게임 밸런스 기획, 캐릭터 및 아이템 콘셉 디자인</t>
  </si>
  <si>
    <t>부트캠프 강의로 수강한 내용을 통해 구직 활동에 즉시 활용 가능한 업무 능력 및 포트폴리오를 확보하여 빠른 재취업을 시도할 예정입니다.</t>
  </si>
  <si>
    <t>수강 기간 중 구직을 위한 외부 활동(면접, 실업인정 등)이 발생하는 경우에는 어떻게 처리되는지</t>
  </si>
  <si>
    <t>woopower96@gmail.com</t>
  </si>
  <si>
    <t>우현승</t>
  </si>
  <si>
    <t>29세(96년생)</t>
  </si>
  <si>
    <t>한양대 콘서바토리(실용음악과 보컬,작곡)</t>
  </si>
  <si>
    <t>안녕하세요 저는 실용음악 보컬과 작곡을 전공했고 최근 3년정도 세무 관련 사무직으로 근무했었습니다. 어렸을때부터 만화 그리기, 캐릭터 만들기, 작곡 등 예술활동과 창작에 관심을 가져왔습니다.</t>
  </si>
  <si>
    <t>게임과 창작을 좋아하다보니 자연스럽게 나만의 게임을 만들고 싶은 마음이 있었지만,  전문적인 지식 부족과 경제활동 등의 이유로 시간을 제대로 투자하지 못했습니다. 이번 퇴사를 계기로 원하는 분야에 취업하고 싶은 목표가 생겨서 제대로 공부할수있는 좋은 기회라고 판단했습니다.</t>
  </si>
  <si>
    <t>스토리 기획자, 밸런스 기획자, 개발자, QA팀 등</t>
  </si>
  <si>
    <t>게임 제작이라는게 단순한 아이디어만으로 완성되는게 아닌 실제로 이루어지는 다양한 과정과 디테일한 기술 등을 익히고, 새로운 분야의 취업과 그를 위한 기반을 쌓고싶습니다.</t>
  </si>
  <si>
    <t>지금까지의 생활, 경제활동과는 다른 분야로서의 도전이기 때문에, 이 과정에 열심히 참여하고 공부해서 지식을 쌓고 최종적으로 취업까지 연결시키고싶습니다.</t>
  </si>
  <si>
    <t>realkevin1995@gmail.com</t>
  </si>
  <si>
    <t>유수환</t>
  </si>
  <si>
    <t>건국대학교 경영학과</t>
  </si>
  <si>
    <t>3년간 마케팅 직군에서 근무한 수강 희망생 유수환입니다.
첫 직장인 플랙스뉴럴랩스에서 콘텐츠 마케팅을 담당했으며, 현재는 콜랩코리아에서 국내 게임 브랜드들을 대상으로 인플루언서 마케팅 대행 업무를 수행하고 있습니다.
전공과 강점을 살려 마케팅 분야에서 커리어를 이어왔으나, 평소 게임 기획에 대한 열의가 커 이번 기회를 통해 직무 전환 및 개발사 취업을 이루고자 본 부트캠프에 지원했습니다.
특히 게임 기획과 Unity를 함께 학습할 수 있다는 점이 본 프로그램의 가장 큰 매력으로 다가왔습니다.
8개월간 성실히 교육에 임해 실무 역량을 쌓고, 수료 후 모바일 게임 개발사에 취업하는 것을 목표로 하고 있습니다.</t>
  </si>
  <si>
    <t>포트폴리오 측면에서, 마케팅 경력만으로는 게임 기획자로 취업하기에 다소 한계가 있다고 느꼈습니다. 이에 기획자에게 요구되는 핵심 역량을 체계적으로 쌓기 위해 본 과정에 지원했습니다. 특히 개발자로서의 기본 역량까지 함께 익힐 수 있다는 점이 큰 매력으로 다가왔습니다.
3년 전 그로스 마케팅 부트캠프를 통해 첫 취업에 성공한 경험이 있어, 교육 프로그램이 제공하는 실질적 혜택과 가능성을 잘 이해하고 있습니다. 또한 수강생의 의지에 따라 더 많은 기회를 얻을 수 있다는 점도 인지하고 있습니다.
취업이 1차 목표이지만, 인디 게임 제작에도 관심이 있어 기획 업무 전반에 대한 이해를 넓히는 것이 필요하다고 판단했습니다. 수강생 간 네트워킹과 현직자 멘토링 등 부가적인 프로그램을 통해 업계에 대한 이해도를 한층 높이고자 합니다.</t>
  </si>
  <si>
    <t>현재 재직중인 콜랩코리아에서 네오위즈, 위메이드, 조이시티 등 다양한 브랜드의 마케팅팀과 소통하며 인플루언서 마케팅을 도와드렸습니다. 브라운더스트2, 로스트소드 등의 타이틀 홍보를 목표로 북미, 유럽, 대만, 한국 등 다양한 리전에서 캠페인을 진행했으며, 인플루언서 제안 및 운영, 홍보방안 기획 업무를 중점적으로 수행했습니다. 게임 기획과는 거리가 있으나 게임 업계 및 트렌드에 대한 이해도를 높이는 데에 도움이 되었습니다.</t>
  </si>
  <si>
    <t>채용 사이트를 통해 크게 5가지 게임 기획 관련 직무를 확인했습니다. (시나리오, 콘텐츠, 레벨, 밸런스, BM)
모든 채용 가능성에 기회를 열어두고 싶으나, 구체적으로 한가지 직무를 선정해야한다면 회사의 매출에 가시적으로 기여할 수 있는 BM 기획자 역량을 훈련하는 것이 필요하다고 생각하고 있습니다.</t>
  </si>
  <si>
    <t>수료 시점인 7월부터 하반기 채용의 기회가 생길 것으로 예상됨에 따라, 6개월 이내로 취업에 성공하는 것을 단기 목표로 설정했습니다. 지인들을 통해 채용 기회가 다소 줄었다고 들은 바, 프로그램 수강 중에도 부가적인 자기계발을 통해 모바일 게임을 기획, 제작 및 출시함으로써 한층 더 완성된 포트폴리오를 만들어 보고자 합니다.
중장기적으로는 시니어 급으로 성장하여 신규 타이틀의 기획을 이끌어가고 싶습니다. 이용자 경험을 중심으로 한 기획 역량을 갖추어, 재미와 완성도를 모두 갖춘 게임을 제작하는 기획자로 성장하고자 합니다.</t>
  </si>
  <si>
    <t>궁금한 사항 및 우려사항은 별도로 없습니다.
열심히 임하겠다는 각오로 지원한 바, 앞으로 잘 부탁드리겠습니다.</t>
  </si>
  <si>
    <t>dbgocks99@gmail.com</t>
  </si>
  <si>
    <t>유해찬</t>
  </si>
  <si>
    <t>한국방송통신대학교 . 컴퓨터과학과</t>
  </si>
  <si>
    <t>누구나 즐길 수 있는 게임을 만들고 싶은 유해찬입니다. 저는 어렸을적부터 한시도 빠짐없이 게임과 함께 했습니다. 이런게임도 저런게임도 해보면서 다양한 게임을 즐겼습니다. 그러한 경험을 통해 즐거움과 짜릿함 쾌감을 느낄때마다 나중에  사람들에게 동일한 경험을 하게 해주고 싶었습니다. 게임을 어떻게 만드는지 궁금해서 무작정 취업을해 모바일게임회사에서 ui 담당 개발자 업부를 하고 외주를 통해 이런저런 경험을 통해 기획자가 없던 회사에서 기획의 중요함을 뼈저리게 느끼게되었고 훌륭한 기획자가 되고싶어 이 과정에 지원하게 되었습니다.</t>
  </si>
  <si>
    <t>게임기획자가 되기위해 여러 과정을 찾아보았지만. 상세하게 세분화되어있는 과정이 없고 기획이라 하여 들여다 보았지만 다른부분에 더 치중되어있는 과정이 많았는데 이 과정은 게임기획자 파트 별로 세분화 되어있어 현재 어떤 기획자를 목표로 공부해야할지 모르겠는 나와 같은 사람들에게 모든 파트를 해보면서 원하는 파트를 찾을 수 있을 것이라 생각되어 신청하게되었다.</t>
  </si>
  <si>
    <t>모바일게임회사에사 ui 쪽 업무와 로그인, ios 빌드 쪽 업무를 하였다</t>
  </si>
  <si>
    <t>전투기획자, 시스템 기획자, 밸런스 기획자</t>
  </si>
  <si>
    <t>수료 후 계속 수업을 복기하고 업무에 필요할 스킬들을 준비해 취업에 성공하려고 한다.</t>
  </si>
  <si>
    <t>꼭 취업해서 전 회사 대표님 고개 못들게 할랍니다</t>
  </si>
  <si>
    <t>yooarum2941@gmail.com</t>
  </si>
  <si>
    <t>유현음</t>
  </si>
  <si>
    <t>보건고등학교 간호조무사</t>
  </si>
  <si>
    <t>안녕하세요 저는 간호쪽에서 일했다가 빠에서 일하는사람이였어요 근데 요즘 너무 힘들어서 여길 찾다가 지워하게 되었습니다</t>
  </si>
  <si>
    <t>인스타그램보고 참여하게되었고 해보고싶더라구요 어떤곳인지 참여도 해보고싶고 어떻게 돌아가는지두요그래서 공부도 하고싶고 참여도 하고싶어서 이넣게 지원하게 되었습니다아직은 여기가 뭐하는곳인지는 잘몰으겠으나 한번 공부도하고 수업도 들어보고 겪어보고 싶어 지원하게 되었습니다</t>
  </si>
  <si>
    <t>잘모르겠습니다</t>
  </si>
  <si>
    <t>일딴어떤곳인지를 잘모르겠어요 열심히 해보고싶습니다최선을 다해서 해보고싶어요 취직도 해보고싶구요 그리고 정상적스로 살고싶습니다 진심으로다가요</t>
  </si>
  <si>
    <t>화이팅하고 포기하지말자</t>
  </si>
  <si>
    <t>보건고등학교</t>
  </si>
  <si>
    <t>저는부산에서 자라났으며 병원일을하다가 저랑 좀 안맞아서 그만두고 다른일을 하다가 병원겸 다른투잡일을 하다가 인터넷을보고 이 일자리에 이력서를 넣었습니다 it계열 관심도 있기도있고 새로운 일자리를 찾고싶어서 이렇게 이력서를 넣었습니다</t>
  </si>
  <si>
    <t>다른일을 해보고싶습니다 it계열 호기심도 있고 좀더 다른 일도 해보고싶고 병원일은 저랑 좀 안맞는 계열같아서 인스타그램보다가 여기에 넣게 되었습니다 천천히 배우고싶고 어떤걸배우는지도 궁금합니다</t>
  </si>
  <si>
    <t>it계열일하고싶습니다그런계열쪽 일하고싶고 안해본걸해보고싶습니다</t>
  </si>
  <si>
    <t>화이팅하겠습니다</t>
  </si>
  <si>
    <t>yundonghyun0618@gmail.com</t>
  </si>
  <si>
    <t>윤동현</t>
  </si>
  <si>
    <t>비봉고등학교 디자인과</t>
  </si>
  <si>
    <t>저는 애벌레처럼 열심히 성장하여 꼭 나비로 다시 태어나 날아갈 욕망을 가지고 있는 윤동현입니다!</t>
  </si>
  <si>
    <t>저는 게임기획이 모든 것의 시작이라고 생각하고 그 점에 매료되었습니다. 그렇게 게임기획에 관한 꿈을 가지게 되었습니다. 하지만, 비전공자이고 경력도 없어서 어떻게 배우고 시작해야 할 지 검색하고 찾아보던 와중에 경일게임아카데미 기획자 과정을 알게되어 신청하게 되었습니다!</t>
  </si>
  <si>
    <t>콘텐츠 기획자, 시나리오 기획자, 레벨링 기획자</t>
  </si>
  <si>
    <t>저는 게임기획에 관한 것을 배우고, 게임기획 직업으로 취업하는 것이 목표입니다. 수료 후에도 게임 기획에 관한 지식이나 업무 경험 등을 성실히 쌓아 그 빛을 발휘하고 싶습니다.</t>
  </si>
  <si>
    <t>저는 비전공자라서 다른 분들에 비해 느릴 수도 있다는 걱정이 있습니다. 하지만 그런 걱정따위 교육을 진행하면서 남들에게 피해주지 않도록 열심히 노력하고 공부하여 날려버리겠습니다. 꼭 수료하여 기획자가 되겠습니다.</t>
  </si>
  <si>
    <t>ceandgou10@gmail.com</t>
  </si>
  <si>
    <t>윤유나</t>
  </si>
  <si>
    <t>부천대학교 세무회계과</t>
  </si>
  <si>
    <t>안녕하세요! 다가오는 Ai시대에 내 게임하나라도 기획해보고 출시해보고 싶은 마음으로 부트캠프에 참여를 시작했습니다. 비전공자이지만 최근 몇년동안 영상제작 인원으로 참여했고, 새로운 것을 배우는 것에 대한 두려움이 없고 앞으로 나아가고자 하는 열정을 가지고 있습니다!</t>
  </si>
  <si>
    <t xml:space="preserve"> 제가 기획하고 만들어서 게임을 출시해보고 싶어서 이 부트캠프를 신청했는데요, 타학원에 비해 Ai와 기획이 일부 포함된다는 점과 커리큘럼도 재미있게 배울 수 있어보였습니다. 또, 실무에서는 어떻게 하고 있는데 궁금했는데 그부분도 해결해줄 것으로 보였습니다. 기획이라는 말만 들었을 때는 정말 첫 기획만 하는 것인가 했는데, 상세한 기획까지 하는 것으로 보아, 제가 목표하는 바를 이룰 수 있게 도움이 될 것 같아서 타 캠프보다 이 캠프에 지원하게 되었습니다. </t>
  </si>
  <si>
    <t>없습니다!</t>
  </si>
  <si>
    <t xml:space="preserve"> 게임을 개발할 때 엔진을 사용한다는 정보만 알아서 유니티를 공부할 계획만 짜고 있었는데요, 그 정보외에는 다른 정보는 잘 알지 못합니다.</t>
  </si>
  <si>
    <t>제가 원하는 목표가 뚜렷합니다. 게임기획부터 해서 개발 후에 출시하는 것 비록 간단한 캐주얼 게임이라도 하나라도 먼저 출시해 보고 싶습니다. 그 목표를 이 과정에서 배우고 반드시 해낼 수 있을 거라고 생각합니다. 꼭 배우고 싶습니다.</t>
  </si>
  <si>
    <t>분명 잘 모르는 부분이라 헤맬 것이지만, 파이썬공부를 조금 해봤을 때도 답을 찾아보면서 해결하려고 했으니, 한걸음 나아가기 위해 받는 고통은 당연하라고 생각합니다</t>
  </si>
  <si>
    <t>peronight@gmail.com</t>
  </si>
  <si>
    <t>윤준호</t>
  </si>
  <si>
    <t>39살</t>
  </si>
  <si>
    <t>한국폴리텍7창원캠퍼스 / 자동차과</t>
  </si>
  <si>
    <t>제 또래 사람들이 그렇듯, 저 또한 게임을 좋아하고 게임과 함께 자라왔습니다.
학창시절에는 잠깐 게임과 관련된 직업을 가져보고싶다는 막연한 생각을 한 적도 있었지만, 그때당시는 정보도 없고, 자료 또한 어떻게 찾아야할지 몰라 다른 진로른 선택하고 지금까지 걸어왔습니다.
하지만 우연찮은 이번 기회에, 늦었지만 새로운 도전을 해보고 싶습니다.</t>
  </si>
  <si>
    <t>게임을 좋아하고, 게임을 매일 플레이 하는 평범한 직장인으로서 컨텐츠를 소비만 하는 게이머가 아닌, 내가 직접 기획하고 만든 작품과 세계로 유저들을 초대하고, 즐거움을 선사하고자 하는 마음에 과정 참여를 신청하게 되었습니다. 지금까지 마땅한 기회가 없었지만, 우연히 눈에 들어온 기획자 양성 과정을 발견하고, 지금이 아니면 다음 기회는 없을지 모른다고 생각하였습니다.</t>
  </si>
  <si>
    <t>시나리오, 콘텐츠, 시스템, 레벨</t>
  </si>
  <si>
    <t>최대한 빠르게 입사를 하여 실무 경험을 쌓으며 자기개발 병행으로 실력을 향상 시키는게 목표입니다.</t>
  </si>
  <si>
    <t>나이가 많은것이 걱정되지만, 열심히 해보겠습니다</t>
  </si>
  <si>
    <t>allishalee07@gmail.com</t>
  </si>
  <si>
    <t>이가현</t>
  </si>
  <si>
    <t>을지대학교 유아교육학과</t>
  </si>
  <si>
    <t>대학교 생활동안 다양한 아르바이트와 학생회를 병행하며 업무 적응 능력과 커뮤니케이션 능력을 키웠습니다.
졸업 후 학과 조교와 중견 기업의 전략기획 팀에서 실무 경험을 쌓으며 기획의 기초를 배울 수 있었습니다.
이후 본격적으로 취준을 하면서, 평소에 게임을 좋아하는 만큼 해당 업계에서 저의 전문성을 길러 안정적인 직장 생활을 하고자 합니다.</t>
  </si>
  <si>
    <t>게임 업계의 직무를 알아보면서 게임 기획자에 대해 알게 되었습니다. 게임을 분석하고 장기적인 시각으로 설계하는 게임 기획자가 되고 싶습니다.
혼자 준비하고 공부하는 과정에서 한계를 느끼며 전문가의 강의와 피드백을 받고자 훈련 교육을 신청하였습니다.</t>
  </si>
  <si>
    <t>개인적으로 유튜브를 통해 게임 직무와 관련하여 조사했습니다.</t>
  </si>
  <si>
    <t>게임 기획자라는 직군에 대해서 세부적으로 굉장히 다양하게 나뉘고 있습니다.
게임 기획자는 큰 맥락으로 게임을 디자인하는 직무로 세부적인 게임 요소를 분석하여 구성하는 업무입니다. 
시스템 기획자는 게임의 UI, 규칙, 기능 등을 설계하여 가장 전체적인 시각으로 게임 유형과 기능, 변수 요소 등을 담당합니다.
밸런스 기획자는 게임 속 레벨 시스템, 아이템, 퀘스트와 보상 등을 각 단계별로 적확한 수준을 설계합니다.
컨텐츠 기획자는 게임 내용을 기획합니다. 스토리, 퀘스트 등의 내용을 담당합니다.</t>
  </si>
  <si>
    <t>게임 분석력을 강화하고 이를 바탕으로 나만의 기획서, 포트폴리오를 완성하고 싶습니다.</t>
  </si>
  <si>
    <t>커리큘럼 중에 unity를 활용한 게임 개발이나 협업 등의 과정에서 제가 집에 있는 노트북의 성능이 부족 할 것 같습니다. 이러한 경우 근처 pc방에서 진행을 해도 괜찮을지 우려가 됩니다.
맡은 바에는 항상 끝까지 마무리하는 강한 책임감을 가지고 있습니다. 이번 수업 과정을 통해 저의 실력을 향상 시키며 꼭 취직하고 싶습니다.</t>
  </si>
  <si>
    <t>tricombined@gmail.com</t>
  </si>
  <si>
    <t>이경민</t>
  </si>
  <si>
    <t>여주대 관광중국어</t>
  </si>
  <si>
    <t>새로운 기술을 두려워하지 않고 스스로 학습해 성과를 내는 사람입니다.
AR 프로젝트를 처음 맡았을 때 독학으로 프로그램을 익혀 첫 프로젝트를 성공적으로 완수하여, 시드 투자, 프리A투자에 기여했으며, 이후 다양한 브랜드와의 협업을 통해 사용 경험과 완성도를 높이는 역량을 쌓았습니다.</t>
  </si>
  <si>
    <t>한때 게임을 정말 좋아했지만, 일 때문에 오랜 기간 즐기지 못했습니다. 그러나 여전히 게임은 저에게 큰 재미와 열정을 주는 분야입니다. 최근 3D AI 기술의 발전으로 모델러 직군의 변화를 느끼며, 이제는 내가 좋아하는 게임과 관련된 업종에서 새로운 도전을 해보고 싶다는 생각이 들었습니다. 특히 AI를 활용한 게임 기획이라는 점이 미래지향적인 기회로 느껴져 신청하게 됐습니다.</t>
  </si>
  <si>
    <t>약 6-7년전 SBS아카데미, S1아카데미에서 게임 모델링을 학습했습니다.</t>
  </si>
  <si>
    <t>게임의 콘셉트와 시스템을 기획 및 설계하고, 개발자, 디자이너와 협업하여 게임을 완성하는 직군으로 알고 있습니다.</t>
  </si>
  <si>
    <t>수료 후 AI 기술을 활용해 게임 기획 실무에 참여 할 수 있는 역량을 갖추고, 실제 게임 개발사에 취업하여 기획자로서 커리어를 시작하고 싶습니다.</t>
  </si>
  <si>
    <t>11월말에 이사를 가면서 월세라는 지출이 생길 예정이며, 금전적 수입도 끊긴 상황</t>
  </si>
  <si>
    <t>‘지금 하는 취업 할동을 멈추고, 이 과정에 올인하면 취업이 정말 잘 될까? 안 됐을때 다시 모델러로 취업활동을 할 수 있을까?‘하는 걱정이 남아있긴 합니다. 하지만 시작도 안하고 포기하기에는 매력적인 과정이라 도전해보고 싶습니다.</t>
  </si>
  <si>
    <t>power122926@gmail.com</t>
  </si>
  <si>
    <t>이균호</t>
  </si>
  <si>
    <t>한국영상대학교 / 특수영상제작과</t>
  </si>
  <si>
    <t>안녕하세요. 부트캠프에 지원한 이균호입니다. 게임기획을 공부하고 여러 회사에 지원해본 경력도 있지만 실제로 게임을 만들어본 경험이 없었고 매번 면접에서 고배를 마셨습니다. 이번 과정을 통해 여러 사람과 협업하고 직접 게임을 만들어보는 경험을 가지고 꼭 기획으로 취업하고 싶어서 지원하게 되었습니다.</t>
  </si>
  <si>
    <t>본 과정에 지원하여 수많은 사람과 함께 협업하며 게임을 직접 만들어보고 그 과정에서 맞닥뜨릴 역경을 뛰어넘는 경험을 해보고 싶습니다. 저의 부족한 경험을 채우고 꼭 게임 기획의 길을 걷고 싶어 해당 과정에 신청하게 되었습니다.</t>
  </si>
  <si>
    <t>타 학원에서 게임 기획 과정을 6개월 간 학습한 경험이 있습니다.
시스템 기획을 메인으로 공부하였고 기획서 포트폴리오를 제작한 경험이 있습니다.</t>
  </si>
  <si>
    <t>시스템 기획자, 레벨 기획자, 밸런스 기획자, 콘텐츠 기획자</t>
  </si>
  <si>
    <t>수료 과정을 통해 게임 제작에 있어 어려움이 무엇인지 정확하게 알고 대처할 수 있는 신입이 되어 꼭 게임 기획의 길을 걷고 싶습니다.</t>
  </si>
  <si>
    <t>다른 사람과 함께하는 게임 제작 팀 프로젝트는 처음이라 기대되고 설렙니다. 미래의 팀원 분들과 멋진 게임을 만들 수 있도록 노력하겠습니다!</t>
  </si>
  <si>
    <t>vmfosel0623@gmail.com</t>
  </si>
  <si>
    <t>이길준</t>
  </si>
  <si>
    <t>국제패션디자인학교 - 패션디자인학</t>
  </si>
  <si>
    <t xml:space="preserve">안녕하세요, 
미대입시 이후 25살 부터 6년간 의류회사에서 의류 디자인,의류 그래픽개발 및 생산을 담당하였습니다.
미래에는 회사에 종속되기 보다, 현자 '나'라는 사람을 브랜딩하고 무엇을 기획할 것인가? 가 가장 중요할것이라고 판단이 되었고, ai를 이용하여 1인개발 및 창업을 꿈꾸게 되었습니다.
제것을 만들기 이전에 회사에서 체계적인 실무를 쌓고싶어 지원하였습니다.
바이브코딩으로 초등학생들도 미니게임을 만들고 있다고하여 많은 관심이 생겼고,
어렸을때부터 즐겨하던 게임의 장점들을 취합하여 출시해보고, 유저들의 반응을 살피며
아침에 일어났을때 '오늘도 시작이구나'가 아닌 '빨리가서 개발하고 싶다' 로 시작하는 하루가 되었으면 하는 바램입니다.
감사합니다.
</t>
  </si>
  <si>
    <t xml:space="preserve">카이스트에서 뇌과학과 인공지능을 연구하고 계신 김대식 교수님을 유튜브 영상으로 접하게 되었습니다. AI시대에는 인간의 역할이 꼭 필요했으나, 멀지않은 시대에 AGI (인공지는 스스로 업그레이드하는) 시대가 온다고 하여, 과감하게 상향산업에 도전하고 싶다는 생각이 들었습니다.
이제는 도구들이 너무 잘 개발되어있어, 무엇을 만들것이냐에 초점을 두고 움직이고 싶게 되었고,
어려서부터 꿈꿧지만 코딩이 어려워 하지못했던 게임개발을 도전해 볼 수 있겠구나. 라는 생각이 들게 되었습니다.
아주 어릴적, 레드문 / 스톤에이지 등 너무나 재밌게 했던 게임들이 있는데,
요것들을 저의 색감에 맞게 만들어 보고 싶습니다.
꼭 AI를 다루지 않더라도, 나만의 색이 담긴 개발을 하고싶습니다.
그러기위해선 기초적인 배경지식이 필요할것이고, 꼭 배워보고 싶습니다.
</t>
  </si>
  <si>
    <t>아니오, 게임개발 관련은 없었고, 3D 모델링에 관심이 있어 지금 강의를 듣는 중입니다.</t>
  </si>
  <si>
    <t>3D 모델러 / 게임 기획자 / 클라이언트 개발자</t>
  </si>
  <si>
    <t>유니티 엔진에 대한 이해도와 나의 생각을 표현해 낼 수 있는 능력,
내가 모델링한 것을 실제 게임에 적응시키는 능력을 만들고 싶습니다.
초반엔 너무 거대한 프로젝트를 만들기보다, 미니게임부터 만들어서, 0원이던 소액이던 조금이라도 나의 게임에 관심을 가져주는 유저들을 모아보고싶습니다.
바로 눈앞에 보이는것들 하나하나 과정을 겪으면서, 서비스를 경험해보고 싶습니다.
1인 창작자로서의 능력이 만들어졌으면 좋겠습니다!</t>
  </si>
  <si>
    <t>아무래도 서울에서 자취를 하고있고, 6개월간 9시부터 18시까지의 수업이면 아르바이트하기도 쉽지 않을 것 같습니다.
당연히 모아놓은돈은 어느정도 있지만, 지원 받을 수 있는 부분이 있다면 받고싶습니다.</t>
  </si>
  <si>
    <t>제 게임을 하면서 사람들이 즐거움을 느끼는 상상을 하면 벌써 설레는것같습니다.
많이 부족하겠지만 열심히 해보겠습니다.
대기업들이 넓고 범용적인 게임을 만든다면, 저는 날카롭고 예리하게 전략을 짜고 싶습니다.
감사합니다!</t>
  </si>
  <si>
    <t>leedogun3@gmail.com</t>
  </si>
  <si>
    <t>이도건</t>
  </si>
  <si>
    <t>96년생</t>
  </si>
  <si>
    <t>대학교 수료</t>
  </si>
  <si>
    <t>전북대학교 무역학과</t>
  </si>
  <si>
    <t xml:space="preserve">안녕하세요. 이번에 경일 게임기획자 과정을 신청한 이도건이라고 합니다. 새로 어떤 분야를 처음부터 배우고 시작하기는 마냥 적은 나이는 아니고 이제껏 공부해온 전공관련 분야와는 무관하지만 무언가를 스스로 배우고 이 분야에서 일하고 싶다는 생각이 드는 것도 처음이라 열심히 해보려고 합니다. </t>
  </si>
  <si>
    <t>앞서 적었듯이 저는 다른 분야를 전공했고 이 분야는 정말 처음입니다. 그렇지만 분야를 배우고 일해보고 싶다는 것도 처음이라서 공부를 시작했습니다. 이제껏 혼자 공부하고 취업준비를 나름 해보려 했지만 기초지식부터 취업방향성 같은 부분에서 너무 갈피를 잡지 못하고 멀리 돌아가는 느낌이었습니다. 그래서 좀 제대로 된 방향성을 알고 체계적으로 준비를 해보고자 하여 신청하게 되었습니다.</t>
  </si>
  <si>
    <t>게임관련 분야로 취업목표를 잡은 이후로 혼자 관련 공부책을 읽거나 유튜브 등은 몇번 보았지만 다른곳에서 직접적으로 배우면서 학습한 경험은 없습니다.</t>
  </si>
  <si>
    <t>백엔드 개발자, 시스템 엔지니어, 그래픽 디자이너, qa테스터</t>
  </si>
  <si>
    <t>취업하여 나중에 많은 사람들이 알 만한 게임 제작 프로젝트에 참여하고 싶습니다. 그리고 더 나아가서는 언젠가 그런 프로젝트를 제 주도하에 제작도 하고 싶습니다.</t>
  </si>
  <si>
    <t>당장 어려움이 있는 것은 아니고 지금 하고있는 아르바이트 일이 수강진행즌ㅇ 병행이 실질적으로 어려울듯하여 따로 추가 지원에 관련된 안내가 있으면 받고 싶습니다.</t>
  </si>
  <si>
    <t>처음으로 관심있어 해보고 일해보고 싶다는 분야이기에 취업을 목표로 무조건 열심히 할 계획입니다. 이 과정동안 취업적으로도, 내실적으로도 많이 얻어갈 수 있었으면 좋겠습니다.</t>
  </si>
  <si>
    <t>dlehalssla@gmail.com</t>
  </si>
  <si>
    <t>이도민</t>
  </si>
  <si>
    <t>호서대학교 건축공학과</t>
  </si>
  <si>
    <t>안녕하세요. 오버워치 프로 팀 코치를 시작으로 젠지에 입사하여 4년간 근무 후 새로운 일을 배우고 싶어 지원하게 된 이도민 입니다. 잘 부탁 드리겠습니다.</t>
  </si>
  <si>
    <t>저의 전 직업은 오버워치 코치로 젠지에서 많은 사람들을 가르쳐 왔습니다. 그런데 오버워치 입지가 많이 줄어들면서 코치에서 프로그램 기획 및 운영 부서로 옮기게 되었습니다. 여기서 자신의 부족함을 느끼게 되었고 전문적인 지식을 배워야겠다는 생각이 들었습니다. 많은 게임을 해왔던 경험과 커뮤니케이션 및 기획 디테일에 대한 강점이 있다고 생각하여 기획자 코스로 지원하게 되었습니다.</t>
  </si>
  <si>
    <t>오버워치 프로 팀 코치, 오버워치 강사, 프로그램 기획 및 운영 업무를 진행 했었습니다.</t>
  </si>
  <si>
    <t>알고 있는 지식이 없습니다.</t>
  </si>
  <si>
    <t>구체적으로 회사를 정하자면 블리자드 혹은 시프트 업에 입사하고 싶습니다. 
두 회사의 게임(오버워치, 스텔라 블레이드)을 정말 재밌게 했던 경험이 있고
회사 환경은 모르겠지만 이러한 재밌는 게임을 개발한 곳에서 같이 근무를 하고 싶습니다.</t>
  </si>
  <si>
    <t>기존에 해왔던 것들을 버리고 새로운 출발을 하는 만큼 정말 열심히 배우도록 하겠습니다.</t>
  </si>
  <si>
    <t>dwoo0420@gmail.com</t>
  </si>
  <si>
    <t>이동우</t>
  </si>
  <si>
    <t>군산대학교/기계공학과</t>
  </si>
  <si>
    <t xml:space="preserve">안녕하세요. 게임(특히 포켓몬)을 좋아하고 모두가 좋아하는 국민게임을 기획하고싶은 이동우입니다. 대학교 졸업후 전북쪽 공기업을 준비하다가 도저히 저랑 안 맞는거 같아서 그만두고 새로운 길을 찾고자 지원하게 되었습니다.
</t>
  </si>
  <si>
    <t>처음에는 "내가 좋아하는 일을 하면서 먹고 산다면 그것만큼 행복한 일은 없을 거같다"는 유치한 생각으로 게임업계를 알아보기 시작했습니다.여러 게임기획서를 읽어봤는데 레벨 디자인, 맵 설계, 캐릭터 설계등등의 요소들을 보며 왠지 모를 자신감이 생겼습니다. 평소에 게임을 하면서 조금씩 접해본 요소들이여서 그런지 토익이나 역학같은 과목들보다 훨씬 친근하게 느껴졌던 것 같습니다. 그리곤 The art of game design이라는 게임 디자인 책을 읽으며 게임 기획자라는 직업에 빠지게 되었고 운좋게 이번 게임기획자 부트캠프를 보고 지원하게 되었습니다. 이번 부트캠프에서 열심히, 성실하게 교육받아서 제가 원하는일을 하고싶습니다.</t>
  </si>
  <si>
    <t>이븐아이에서 컨설팅 잠깐 받았었고 내일배움캠프이서 pm(게임x 일반 pm)과정 사전교육 받았었습니다.</t>
  </si>
  <si>
    <t>게임 기획자, 사업 pm, qa, 게임 개발자, 그래픽 디자이너, 유저 데이터 분석가</t>
  </si>
  <si>
    <t>조금 유치하고 구체적이지도 않은 목표지만 적겠습니다..ㅎㅎ
1. 캠프수료후 중소,중견 가리지않고 게임업계 어디로든 취업한다.(직무는 기획이나 pm생각중 캠프수료하면서 바뀔수도 있음)
2. 경력을 쌓은 뒤 넥슨, 넷마블, nc, 펄어비스, 크레프톤과 같은 국내 대기업 게임회사로 이직한다
3. 닌텐도 본사로 이직
이상입니다</t>
  </si>
  <si>
    <t>사회 어디를 가든 성실하다는 말은 항상 들었던 것 같습니다. 막연히 게임이 좋아서 시작했지만 열심히 배우겠습니다. 이번기회를 통해 저의 꿈을 (좋아하는거하며 먹고사는 삶)을 이루고 싶습니다</t>
  </si>
  <si>
    <t>ug777070@gmail.com</t>
  </si>
  <si>
    <t>이동현</t>
  </si>
  <si>
    <t>25살</t>
  </si>
  <si>
    <t>전주교육대학교/초등교육과</t>
  </si>
  <si>
    <t>안녕하십니까, 유저의 입장에서 예상하고 개발자의 입장에서 구현하여 본질적 재미를 창조하고 싶은 이동현입니다. 크기만 한 꿈에 실질적인 뼈를 붙이고 싶어 왔습니다.</t>
  </si>
  <si>
    <t>독학으로 기획 공부나 포트폴리오를 제작하고 있으나 실무 없이 만드는 탓에 너무 현실성이 없거나, 구조가 분명치 않거나, 가독성이 떨어지는 등의 문제가 인식되었습니다. 그렇기에 현업의 방식을 알기 위해 본 과정에 신청했습니다.</t>
  </si>
  <si>
    <t>게임 개발과 관련된 경험은 없습니다.</t>
  </si>
  <si>
    <t>콘텐츠 기획자, 시스템 기획자, 레벨 기획자, bm/경제 기획자, 내러티브 기획자, 전투 기획자, ui/ux 기획자, 캐릭터 기획자</t>
  </si>
  <si>
    <t>과정 수료 후 누구나 탐내는 역량을 토대로, 실무를 해내며 업계에 입문하고 싶습니다.</t>
  </si>
  <si>
    <t>해당 과정이 상당히 가혹하다고 듣고 왔습니다. 성장은 고통 속에서 폭발적으로 일어납니다. 니체가 그랬듯이, 이 과정에서 힘든 여정을 보낼 수 있다면 저는 환영입니다. 저는 주어진 기간 동안 최대한의 역량을 키우고 싶고 감내하며 성장하고 싶습니다. 감사합니다.</t>
  </si>
  <si>
    <t>dlansgml4088@gmail.com</t>
  </si>
  <si>
    <t>이문희</t>
  </si>
  <si>
    <t>고등학교졸업및 장안대학중퇴</t>
  </si>
  <si>
    <t>전기과 및 인터넷정보통신과</t>
  </si>
  <si>
    <t>게임을 좋아해요 그래서 게임스토리를 재미있고 흥미있게 만들어보구싶구 사람유저들이 많이 즐길수있게 만들어보구싶습니다</t>
  </si>
  <si>
    <t>게임을 좋아하다보니 게임을 만들어보구싶구 잔인성이 너무많은 부분을 겪다보니 잔인함을 줄일수있는 부분을찾게되다가 게임을 찾아보게되었어요
그래서 게임으로 잔인함을 잔인하지않고 흥미롭게 만들수있는방향으로 기획해보구싶어요</t>
  </si>
  <si>
    <t>없어요</t>
  </si>
  <si>
    <t>게임개발자</t>
  </si>
  <si>
    <t>저만의 느낌으로 게임을 개발해보고싶어요 그래서
재미있는 방향을 찾아보고싶어요</t>
  </si>
  <si>
    <t>Adhd 우울및 수면 및 중추신경</t>
  </si>
  <si>
    <t>참는게어려운부분 빠르게 즐기는걸 습관되버린등등</t>
  </si>
  <si>
    <t>인스타</t>
  </si>
  <si>
    <t>게임을 무리하여 중독성있게 생각하다가 현실에서 위험하지않는 상황이되구싶어요</t>
  </si>
  <si>
    <t>minwooism@gmail.com</t>
  </si>
  <si>
    <t>이민우</t>
  </si>
  <si>
    <t>충북대학교 컴퓨터공학과</t>
  </si>
  <si>
    <t>게임개발자와 기획자가 되고 싶은 이민우입니다. 아직 경험이 많이 부족합니다. 많이 배워 가고 싶습니다.</t>
  </si>
  <si>
    <t>대학교 졸업이 얼마 남지 않은 상태에서 제 포트폴리오가 많이 부족하다는 것을 깨달았습니다. 그러던 중 유튜버의 커뮤니티에서 게임 기획자 부트캠프 소식을 듣게 되었고 신청하게 되었습니다. 이번 기회로 실무 준비 과정을 습득하여 포트폴리오의 완성도도 높이고 저 자신도 성장하길 기대하고 있습니다.</t>
  </si>
  <si>
    <t>2024충북게임아카데미 참여경험이 있습니다.</t>
  </si>
  <si>
    <t>시스템 기획자, 레벨 디자이너, 컨텐츠 기획자, 클라이언트 개발자. 서버 개발자</t>
  </si>
  <si>
    <t>일단은 교육 중에도 개인 게임 개발을 할 생각이고, 수료 후에도 그것이 부족하다면 더 할 생각입니다. 취업 준비도 꾸준이 할 예정입니다.</t>
  </si>
  <si>
    <t>열심히 해보겠습니다.</t>
  </si>
  <si>
    <t>yoon11652@gmail.com</t>
  </si>
  <si>
    <t>이범윤</t>
  </si>
  <si>
    <t>서경대학교 영화영상학과</t>
  </si>
  <si>
    <t>안녕하세요. 게임을 통해 일상에 지친 사람들에게 즐거움을 전달하고 싶은 이범윤입니다. 역기획서와 창작 기획서 등을 작성해보며 기획자의 시선으로 바라보는 법을 공부하고,  다양한 장르의 게임들을 플레이하며 재미와 몰입을 이끌어내는 구조를 파악하려 노력하고 있습니다. 독학으로 6개월 정도 진행 중, 몇몇 회사의 서류 전형에 통과하였으나 직무 테스트에서 매번 탈락하여 보다 전문성을 쌓고 기본을 탄탄하게 다지고자 수강 신청하게 되었습니다.</t>
  </si>
  <si>
    <t>게임 기획과 관련하여 전문적인 학습을 한 경험이 없기 때문에, 부족한 기초를 보완하고자 신청하게 되었습니다. 또한, AI가 사람을 빠르게 대체하고 있는 상황에서 관련 능력을 길러 보다 경쟁력을 가지고 게임을 제작할 수 있는 사람이 되고자 신청했습니다.</t>
  </si>
  <si>
    <t>콜로소에서 유리링 님 강의를 구매 후 수강했습니다.</t>
  </si>
  <si>
    <t>시스템/생활콘텐츠/전투콘텐츠/시나리오/퀘스트/캐릭터/밸런스/레벨/이벤트 등</t>
  </si>
  <si>
    <t>실제로 게임을 개발할 수 있는 역량을 다지고, 중견 이상 기업에 취업하고 싶습니다.</t>
  </si>
  <si>
    <t>처음부터 끝까지 집중력을 잃지 않고 성실히 수강하고 발전하여 목표를 이뤄내고 싶습니다.</t>
  </si>
  <si>
    <t>fkrhswers1@gmail.com</t>
  </si>
  <si>
    <t>이상현</t>
  </si>
  <si>
    <t>만28(96년생)</t>
  </si>
  <si>
    <t>전문대 졸업</t>
  </si>
  <si>
    <t>관련x</t>
  </si>
  <si>
    <t>안녕하세요 이번에 경일게임아카데미 게임기획 부트캠프에 지원한 이상현입니다 어렷을때부터 게임을 굉장히 좋아해서 게임을만들고 싶어서 지원하게됬습니다. 좋은경험이 되었으면 좋겠습니다.</t>
  </si>
  <si>
    <t xml:space="preserve">평소에 게임을좋아해 이쪽분야 관심이 많았는데 준비를하다보니 혼자서 게임기획자 취업준비를 하는데 이리저리 찾아봐도 혼자서는 어려움이 컸습니다. 그러다보니 정보를 같은걸 얻는것과 아는사람들한테 물어보는것으로는 한계를 느껴서 참여를 신청했습니다.
 </t>
  </si>
  <si>
    <t>게임 시스템기획 밸런스 기획 전투기획 개발자 QA cs 등</t>
  </si>
  <si>
    <t>수료후 취업을 하고싶습니다. 가능하면 제가 좋아하는 게임분야를 만들고 싶습니다.</t>
  </si>
  <si>
    <t>8개월이 짧다면짧고 길다면 긴 시간이라고 생각합니다. 그동안에 다른분들과 최대한 좋은관계를 유지하면서 지내고 싶습니다!</t>
  </si>
  <si>
    <t>khakiknight3@gmail.com</t>
  </si>
  <si>
    <t>이석훈</t>
  </si>
  <si>
    <t>학점은행제 과정 컴퓨터공학과</t>
  </si>
  <si>
    <t xml:space="preserve">심리학 공부하다가 올해 컴퓨터 공학으로 전과하면서 CS지식을 쌓는중입니다.
1학기동안은 C언어를 열심히 해서 C언어 교재의 모든 예제를 풀어봤습니다.
2학기(현재)는 DB관련해서 구조와 SQL공부에 집중하면서 
대학 게임개발 동아리에서 기획파트로 프로젝트 참여중입니다.
플머 팀원이 제작한 간단한 코드는 읽고 이해할 수 있습니다.
본 부트캠프에서는 주로 UNITY 툴 사용법에 더 익숙해졌으면 좋겠고
Lua 스크립트 활용, 시스템 설계와  BM설계에 관해서 
많은 배움을 얻어갈 수 있으면 좋겠습니다. 
</t>
  </si>
  <si>
    <t xml:space="preserve">1. [알게 된 경로]
G식백과 광고 보고 시기가 적절하여 신청하게 되었습니다.
2. [현재의 상황과 부족한 점의 깨달음]
심리상담에서 게임 기획자를 목표로 변경하면서
소통을 위한 CS지식 습득을 위해서 심리학에서 컴공으로 전과를 했습니다.
그러나 졸업학점이 거의 채워져서 전공자 졸업생보다 CS(컴퓨터 과학)지식이 부족합니다.
프로젝트 참여를 위해 대학 동아리에 가입했지만, 2학기에 가입하다보니 
기획파트로 참여할 수 있는곳이 거의 없어서 난항을 겪었습니다. (대부분은 1학기/여름방학에 결성) 
공백기로 보내기보다는 학원에서 배움을 더 얻어야겠다는 생각을 했습니다.
3. [기획 트렌드 경험 및 자극 받기]
경일 아카데미는 조사한 바에 따르면 국비지원 부트캠프 중에선 규모가 큰 편인것 같습니다.
그만큼 저보다 더 준비된 사람들이 취업을 위해 참여하게 될거고
업계 트렌드 습득과 노력하는 사람들에게서도 배울점이 있으리라 생각합니다.
4. [실무경험 습득+ 기존 프로젝트 밸류상승 기대]
현재 동아리에도 멘토링 협력사(데브/크래프톤 등) 현업자들의 멘토링을 받을 수 있지만, 
그분들은 학원만큼 코칭해주는것은 아닙니다. 
피드백의 채널을 늘리는 것은 언제나 효과적인 학습 방법이 된다고 생각합니다.
또한 학원에서 배우면서 툴 사용법과 효율적인 업무진행방식을 배우게 되면
기존에 참가한 프로젝트에서도 바로 써보면서 효과를 경험 할 수 있을것으로 기대하기때문에
본 부트캠프에 참여를 신청합니다.
추가 . [시간 많아짐]
학점은행제 과정의 막학기 이기 때문에 학교 등교의 필요가 없어지는 만큼 
모든 시간을 직무 공부에 쏟을 수가 있습니다. 
기획자로 살아남기 위해 모든 진로를 바꾼 만큼 노력할 수 있습니다.
  </t>
  </si>
  <si>
    <t>2학기 초에 서울대 게임개발동아리에 가입해 신규회원으로 활동하고 있습니다.
현재는 간단하게 다른 팀의 퍼즐게임을 전부 클리어 하고 리뷰(및 오류 검수)해서 작성해준것과 
유니티를 활용해 
혼자서 보드게임(부루마불) 판 을 만들어 주사위 수 만큼 캐릭터를 옮기고,
한바퀴를 돌면 월급이 나오게 하는
기초적인 동작만 작업해보았습니다.
동아리 대외활동에서 알게된 현업자들에게 기획서를 써보고 멘토링 받아본 경험이 조금 있습니다.</t>
  </si>
  <si>
    <t xml:space="preserve">게임 기획자 &gt; 시나리오(내러티브,연출) , 액션, 밸런스(레벨디자인) , 경제(MMO등의)
BM(은 사업부 영역인걸로 아는데.,)
스크립트,UI/UX 
정도 가 있는것으로 알고있습니다.
</t>
  </si>
  <si>
    <t xml:space="preserve">1. [만들어서 설명할 수 있는 사람이 되자]
게임을 해본 경험은 많으니까, 해당 게임을 하면서 필요하다고 생각되었던 부분을
직접 만들어 설명하고, 해당 콘텐츠의 가치를 소개하는 내용을 
포트폴리오에 담아 각 회사에 지원하고 싶습니다.
2. [공부한 지식으로 공모전/게임잼 수상하기]
공모전 수상작 만들기 만큼 또 괜찮은 포폴이 없다고 생각합니다.
그건 스스로의 역량 문제가 될 수도 있지만 
결국 회사에 가서 제 위에 있는 분들은 다 그런 사람들일거니까.. 
3. [소통하기 좋은 기획자가 되자]
아는게 풍부한 사람만큼 소통하기 좋은 사람은 없을 것이라 생각합니다.
아, 그리고 스스로의 일도 잘 해내는 사람이어야겠죠.
같이 일하기 좋은 사람이 되는것. 
멋진 게임을 만드는 것 만큼이나 중요한 요소라고 생각합니다.
</t>
  </si>
  <si>
    <t xml:space="preserve">해당 과정 앞부분 의 일부랑  
학교의 기말 시험이랑 곂쳐서 
 한 5시간 미만 정도가 참여가 어려울수 있는데 괜찮을지 걱정되네용  </t>
  </si>
  <si>
    <t xml:space="preserve">이석훈 </t>
  </si>
  <si>
    <t>leescv9824@gmail.com</t>
  </si>
  <si>
    <t>이성찬</t>
  </si>
  <si>
    <t>35세 91년생</t>
  </si>
  <si>
    <t>의성공업고등학교 전자과</t>
  </si>
  <si>
    <t>안녕하세요 항상 발전만 꿈꾸는 이성찬 이라고 합니다
저는 항상 밝고 배움이 빠르며 적응력이 뛰어나고 항상 앞장서서 배우려고 하는 타입입니다</t>
  </si>
  <si>
    <t xml:space="preserve">정말 관심 깊었던 분야 중에 하나입니다 플레이어가 아닌 개발자가 되고,머리 속으로 그리는 것들이 많은데 그것을 실현시킬 수 있는 기초를 열심히 배워서 꼭 뛰어난 인재가 되고 싶어서 신청 하였습니다. </t>
  </si>
  <si>
    <t>게임 개발자, 게임 디자이너, 기획자</t>
  </si>
  <si>
    <t>개인개발자가 되어, 대형게임사에 상반하는 돈에 욕심없는 게임을 만들고 싶습니다.</t>
  </si>
  <si>
    <t>지원 정책에 대한 모든걸 알려주시면 문제는 안될것 가습니다.</t>
  </si>
  <si>
    <t>열심히 배우겠습니다!</t>
  </si>
  <si>
    <t>dltmdrn159@gmail.com</t>
  </si>
  <si>
    <t>이승구</t>
  </si>
  <si>
    <t>남성고등학교 / 전공 없음</t>
  </si>
  <si>
    <t>안녕하세요 저는 게임 기획자를 지망하는 이승구 입니다.
기존에 많은 게임을 경험했고 이 전에는 e스포츠 코치, e스포츠 관련 서비스 기획 팀원으로 일한 경험이 있습니다.
해당 코치 직무를 통해서 분석력과 커뮤니케이션 능력을 키웠고, 기획자로서는 데이터 구조 및 테이블 설계, 데이터 분석 등의 업무를 담당했었습니다.
이번 부트 캠프를 통해 게임 기획자로서의 첫 발을 내딛고 싶습니다.</t>
  </si>
  <si>
    <t>안녕하세요 게임 기획자의 꿈을 키워나가고 있는 이승구라고 합니다.
먼저 부트캠프의 목적인 게임 기획자의 꿈을 갖게 된 동기부터 말씀드려야 할 것 같습니다.
저는 어렸을 때부터 온라인 게임을 즐겼는데 다른 유저와 경쟁하는 데 재미를 많이 느꼈습니다. 그러다 보니 다른 유저들보다 게임을 잘하는 편에 속했고 이 경험을 살려 e스포츠 게임 코치가 될 수 있었습니다.
게임 코치로서 직무를 수행하면서 자연스레 다양한 성향의 게이머와 코치들을 경험하게 되었는데, 이를 통해 게임을 잘하는 방법에는 크게 분석적 사고와 직관적 사고가 있다는 것을 깨닫게 되었습니다.
그리고 저는 게임에서 경쟁뿐만 아니라 분석적 사고를 하는 행위 자체를 좋아한다는 사실을 알게 됐습니다. 무언가를 분석하다 보면 저도 모르게 시간이 한참 지나있었고, 무언가에 몰입하며 생각하는 것이 좋았습니다. 그 뒤로 제 고민은 게임을 접할 때 "이 게임은 왜 재미있을까?" "이 캐릭터는 왜 강하지?" "이 캐릭터가 사용하는 스킬은 매커니즘 상 강해야 하는데 왜 약하지? 수치에 문제가 있나?" 등으로 확장되었고 이러한 질문에 스스로 답을 찾아나가는 것에 흥미를 느끼게 되었습니다. 
실제로 게임 기획에 관련해 공부하고 지인들과 함께 프로젝트에 관한 이야기도 나누었으나 스스로 게임 전체를 기획해보며 혼자서는 불가능 하다고 생각 되는 방대한 그 양에 한 번 놀랐고 기획적으로 비어있는 부분을 눈치채게 되었을 때 전문적인 지식이 필요하다는걸 깨닫게 되었습니다.
저의 분석적 사고에 대한 흥미와 작동 원리를 파헤치는 탐구심이 게임 기획자라는 직업에 흥미를 갖게 해주었다고 생각합니다.
이번 부트캠프는 저의 잠재력을 확인하고 실질적인 기획 역량을 발전시키기 위한 첫 단추라고 생각합니다. 재미의 설계를 통해 다양한 플레이어에게 즐거움을 선사하는 게임 기획자가 되고 싶습니다.</t>
  </si>
  <si>
    <t>e스포츠 코치 / 서비스 기획자 / 데이터 분석가</t>
  </si>
  <si>
    <t>시스템, 밸런스, BM,  전투, 콘셉트, 시나리오, 콘텐츠, 레벨링, UI/UX, 운영, PM, PD, 사운드 및 연출</t>
  </si>
  <si>
    <t>1. 게임 개발에 있어서 필요한 전반적인 기획에 대한 태스크를 모두 알게 되는 것
ㄴ현재 사운드, 아트, 연출등 많은 부분에 대해 무지함
2. 유니티 엔진 활용법 습득
3. 내 강점을 최대한 활용 할 수 있는 기획 직군 파악
4. 프로젝트를 통해 해당 직군에 대한 실무를 간접 경험하고 스스로의 역량을 파악하고 목표 설정
5. AI툴 활용법 습득
6. 취업</t>
  </si>
  <si>
    <t>12번 질문에 대한 추가 설명 ) 마이크는 보유하고 있으나 캠은 보유하고 있지 않음</t>
  </si>
  <si>
    <t>경재적</t>
  </si>
  <si>
    <t>부트캠프를 통해 게임 기획자로서 정체성을 확립
취업</t>
  </si>
  <si>
    <t>sodgh3215@naver.com</t>
  </si>
  <si>
    <t>이승진</t>
  </si>
  <si>
    <t>사회복지학과 자퇴</t>
  </si>
  <si>
    <t>안녕하세요. 게임 개발자를 꿈꾸고 있는 청년입니다.
평소 콘솔 게임, 모바일 게임 꾸준히 즐겨하는 편으로 게임을 즐기는 과정에서 제작하는 과정으로 넘어가고싶단 마음이 생겨서 게임 기획자 부트캠프에 지원하게 되었습니다.
비전공자다보니 어디서부터 시작해야할지 막막한 상황에 유튜브 광고를 통해 경일게임IT아카데미를 알게 되었고 기획부터 시작하는게 좋을듯 해서 설레임 반, 두려움 반 심정으로 이렇게나마 첫발을 떼게 되었습니다.
부족한 제가 어디까지 할수 있을진 모르겠지만 잘 부탁드립니다.</t>
  </si>
  <si>
    <t>평소 게임을 즐겨하며 게임에 관심이 많기때문에 게임 제작에도 참여하고싶은 마음에 지원했습니다.
국비지원을 통해 부담없이 배워볼수 있는 기회도 있다보니 이번 기회에 전문가에게 배워보고 싶었습니다.
비전공자의 시선에서 개발과 기획 둘 중에 어느걸 먼저 배워야할지 고민이 되기도 했었는데 프로그래밍의 기초를 다지기이전에 게임을 기획하는것부터 배우는게 우선이지 않을까 생각했습니다.
그리고 기획 과정 속에서도 유니티 엔진과 로블록스 엔진에 대해 배울수 있기도 해서 겸사겸사 기초를 다질수 있겠다고 생각하기도 했습니다.</t>
  </si>
  <si>
    <t>비전공자다보니 게임과 관련된 학습 및 업무 경험은 아직 없습니다.</t>
  </si>
  <si>
    <t>디렉터, 프로듀서, 기획자, 레벨 디자이너, 시나리오라이터, 원화가, 작곡가, 운영자, 테스터 등 다양한 직군이 필요한것으로 알고 있습니다.</t>
  </si>
  <si>
    <t>단연 취업이 목표지만 8개월의 교육만으로 취업에 성공할만큼의 역량을 쌓지 못한다면 소규모 인디게임 개발 단계부터 차근차근 밟고 싶습니다.
기획 과정 수료 후 부트캠프에 한번 더 참여할 기회가 주어진다면 게임 개발쪽 부트캠프에도 참여하면서 조금 더 배워보고 싶은 마음도 있습니다.
설령 1인 개발 인디게임의 형태가 되더라도 게임 제작의 꿈을 계속 이어나가고 싶으니까요.</t>
  </si>
  <si>
    <t>IGA신증으로 인해 신장을 보호하면서도 혈압을 낮추는 약을 복용하고 있습니다.
잠을 줄여야할정도로 과도한 업무가 주어지지않는다는 가정하에 일상생활에 큰 지장은 없습니다.</t>
  </si>
  <si>
    <t>체력이 좋은 편은 아니어서 강의 시간 이후에도 해야할 과제가 많다면 감당할수 있을지 모르겠습니다.
비전공자다보니 교육 과정을 따라갈수 있을지에 대한 걱정도 솔직히 있고요.
92년생으로 나이도 적은 편은 아니다보니 너무 늦은게 아닐까 싶기도 하지만 이번 기회를 놓치면 앞으로 평생 시작해볼 기회조차 영영 오지 않을거 같아서 신청한것도 있습니다.</t>
  </si>
  <si>
    <t>gksduf7845@gmail.com</t>
  </si>
  <si>
    <t>이승후</t>
  </si>
  <si>
    <t>26(00년생)</t>
  </si>
  <si>
    <t>인하공업 전문 대학교 화학 공학과</t>
  </si>
  <si>
    <t xml:space="preserve">평소 게임 기획에 관심이 있어서 게임 구조 설계부터 BM에 이르기까지 평상시에 어떻게 하면 
더 여러 유저에게 만족스러운 게임이 될지 고민했습니다.
과거 친구들과 즐기기 위해 보드 게임을 만든 경험이 있는데 평이 괜찮았습니다.
이 게임의 핵심은 다양한 캐릭터가 있고 보통의 경우 전투를 통해 승리하지만
특수한 미션을 통해 승리를 노려 볼 수도 있는 게임입니다.
기획자가 된다면 많은 사람에게 제가 만든 게임을 좋아하게 만들고 싶습니다.
</t>
  </si>
  <si>
    <t xml:space="preserve">무엇이든 탐구하고 고민해 보는 성격을 가진 덕분일까요?
게임 또한 아쉬운 점이 있으면 한 번쯤 깊이 생각해 보고
주변에 의견을 공유하는 일이 잦았습니다.
한때 기획자를 꿈꿨지만 삶의 벽에 막혀 시도하지 못했지만
벽도 사라지고 기회가 찾아 오니 한번 해보고 싶다는 생각이 들었습니다.
이제는 직접 게임을 만들고 싶습니다.
</t>
  </si>
  <si>
    <t>콘텐츠 QA , 캐릭터기획 , 시스템기획, 시나리오/컨셉 기획</t>
  </si>
  <si>
    <t>콘텐츠QA나 시스템기획을 전담할 수 있는 인제가 되고 싶습니다.</t>
  </si>
  <si>
    <t>우울증 / 약을 장기 복용 중 이지만 최근 서울대 병원에서 관리를 받으며 많이 호전된 상태 입니다.</t>
  </si>
  <si>
    <t xml:space="preserve">아픈 부모님을 모시는 기초수급자 가정인데 고용 센터에서 1유형이 가능하면 충분히 많은 도움이 될 것 같습니다. </t>
  </si>
  <si>
    <t>열심히 수행해서 과연 만족스러운 결과가 나올지 두렵긴 합니다.</t>
  </si>
  <si>
    <t>duddn04066@gmail.com</t>
  </si>
  <si>
    <t>이영우</t>
  </si>
  <si>
    <t>한성대학교 컴퓨터 공학과 디지털콘텐츠 • 가상현실트랙</t>
  </si>
  <si>
    <t>어릴적 PlayX4에서 가족들과 다같이 웃으며 게임을 레이싱 게임을 하는 장면을 보았습니다. 그때 아 나도 이걸 만들고 싶다. 세상을 즐겁게 하고 싶다는 생각을 하였습니다. 관련 대학을 전공하고 동아리에서 다양한 프로젝트를 하며 졸업을 앞두고 좀 더 실력을 키우고 싶다는 생각을 하여 지원하게 되었습니다.</t>
  </si>
  <si>
    <t>반년 정도 일본과 한국 취업을 위해 노력하였지만 실패하였습니다. 혼자 여러방면으로 노력해 봤지만 1차 2번 통과가 저의 결과 였습니다. 어디가 문제인지 무엇이 부족한지 알 방법이 없어 여러가지 답답한 점이 있었는데 부트캠프 과정을 수료한 친구를 보고 나도 해봐야 겠다. 라는 생각을 하여 지원하게 되었습니다.</t>
  </si>
  <si>
    <t>학교에서 디지털 콘텐츠 전공으로 기획과 개발을 배웠습니다.</t>
  </si>
  <si>
    <t>밸런스, 전투, 콘텐츠, 설정, 시나리오, 몬스터, UI, 시스템</t>
  </si>
  <si>
    <t>일본 취업을 생각하고 있습니다. 완성도 높은 게임을 만들 수 있는 무대에서 활동하고 싶다는 생각을 하였고 그중 일본어는 일상 회화정도로 구사할 수 있어 일본을 선택하게 되었습니다.</t>
  </si>
  <si>
    <t>수료과정을 착실히 마치고 게임 기획자로서 세계무대에서 활약하고 싶습니다.</t>
  </si>
  <si>
    <t>monkey609s@gmail.com</t>
  </si>
  <si>
    <t>이원홍</t>
  </si>
  <si>
    <t xml:space="preserve">대학교 4학년 2학기 </t>
  </si>
  <si>
    <t>수원대학교 융합화학산업학과</t>
  </si>
  <si>
    <t>현재 수원대학교 융합화학산업학과에 재학 중인 이원홍 입니다. 비록 기획부분이 전공은 아니지만 게임 기획에 관심이 생겨 이 프로그램에 신청하게되었습니다. 전공이 아닌만큼 모르는부분이 많지만, 그렇기 때문에 더더욱 열정적으로 배울수있다고 생각합니다.</t>
  </si>
  <si>
    <t>어릴 때부터 했습니게임을 좋아다. 아버지와 함께하던 콘솔게임부터 초등학생때 부터 즐겨왔던 온라인 rpg, 그리고 유희왕/하스스톤등의 카드게임과 수집형 모바일게임 등등 여러 장르의 게임을 하면서 이런 요소는 이랬으면 더 좋았을텐데 를 생각하다보니 게임 기획에 관심이 가게되었고, 성적에 맞춰서 갔던 전공보다는 어렸을때 생각해봤었던 게임 관련 직업군을 도전해보는것이 좋지 않을까 싶어서 신청하게되었습니다.</t>
  </si>
  <si>
    <t>게임의 전체적인 부분을 맡는 총괄 디렉터, 레벨디자이너, 콘텐츠 기획, 컨셉기획, 시스템디자인, 게임밸런스디자이너</t>
  </si>
  <si>
    <t>최소한 게임회사에 입사하고싶고, 어느 게임회사에 들어가서든 적어도 맡은 업무에 당당하게 1인분은 했다고 말할 수 있는 사람이 되고 싶습니다. 그리고 가능하다면 그 업무가 레벨디자인, 콘텐츠 기획쪽인 것이 목표입니다.</t>
  </si>
  <si>
    <t>전공이 기획쪽도 아니라서 과연 실무에서 어느정도의 역할이 필요한지, 어느정도 역량이 필요한지, 모르기때문에 괜찮을지
이런 면에도 불구하고 가능한만큼, 해내겠습니다.</t>
  </si>
  <si>
    <t>groovewithu1532@gmail.com</t>
  </si>
  <si>
    <t>이유송</t>
  </si>
  <si>
    <t>38살(87년생)</t>
  </si>
  <si>
    <t>동아대 / 호텔컨벤션경영학과</t>
  </si>
  <si>
    <t>안녕하세요. 저는 스토리 기반 영상 콘텐츠 기획을 해오며, 현재에는 AI캐릭터 숏폼 콘텐츠 제작을 하고 있습니다. 영화,드라마 등 영상 콘텐츠에서 더 나아가 새로운 플랫폼인 게임 기획으로 확장하고자 합니다. 본 과정에 지원하였습니다.</t>
  </si>
  <si>
    <t>30대의 저는 영화기획자가 되기 위해 고군분투했지만 원하는 목표에 도달하지 못했습니다. 30대 후반에 다시 제 인생과 진로를 되돌아보게 되었습니다. 그 과정에서 결국 제가 하고싶은 일은 스토리를 만드는 창작자가 되고싶다는걸 다시 확인했습니다. 이제는 영화, 드라마라는 영상 매체의 틀에서 벗어나 더 확장성을 있는 세계에서 제 이야기를 펼치고자 게임 기획을 배우려 합니다. 몇 년 전 친구에게 농담처럼 했던 "결국 스토리의 끝은 게임이야"라는 말이 지금은 제 진심이 되어 새로운 도전의 원동력이 되었습니다. 게임은 사람들이 직접 참여하며 세계관을 체험하는, 가장 몰입도 높은 스토리 매체라고 생각합니다. 제가 만든 세계관 속에서 더 많은 사람들이 즐기고 몰입할 수 있는 게임을 기획하기 위해 본 과정에 신청하였습니다.</t>
  </si>
  <si>
    <t>정식으로 게임관련 학습 경험이 없습니다. 다만 이전 직장이 버츄얼 스튜디오(VP Studio)에서 1년 반 근무하며, 가상 프로덕션 환경과 콘텐츠 제작 시스템을 경험했습니다. 또한 2020년에 한국영화아카데미 정규과정에 프로듀싱을 전공하여 영화 기획, 스토리텔링 작업은 지금까지 꾸준히 하고 있어, 이 경험을 게임 기획에 연결하고자 합니다.</t>
  </si>
  <si>
    <t>본 과정과 관련된 직군으로는 게임 기획자, 프로그래머, 아트디자이너 등 다양한 직군이 있는 것으로 알고 있습니다. 저는 이 중에서도 스토리 기반 게임 기획자 역할에 가장 관심이 있으며, 장기적으로는 인디 게임 프로젝트를 직접 기획하고 총괄하는 것을 목표로 하고 있습니다.</t>
  </si>
  <si>
    <t>수료 후에는 제 세계관과 스토리를 기반으로 인디게임을 직접 개발하는 것이 목표입니다. 스토리텔링 능력을 바탕으로 독자적인 IP를 만들어 이를 게임,영상 콘텐츠로 확장하는 창작자로 성장하고자 합니다.</t>
  </si>
  <si>
    <t>본 과정에서 진행되는 포트폴리오 제작이 팀 프로젝트 중심인지, 개인 프로젝트 중심인지가 궁금합니다. 포트폴리 실전과정이 실무 능력을 쌓는 데 중요한 만큼 어떤 형태로 진행되는지 알고 싶습니다.</t>
  </si>
  <si>
    <t>copycat9908@gmail.com</t>
  </si>
  <si>
    <t>이정헌</t>
  </si>
  <si>
    <t>동명대학교 / 경영학과</t>
  </si>
  <si>
    <t>무엇을 하고 싶은지 명확함 없이, 적당한 구직활동을 해 나가던 중 직전회사(병원물류, 간납)에 들어가서 운이 좋아 빠른시간 내에 중간관리자를 경험해 보았습니다.
해당 회사를 다니며 물류와 같은 순환업무에서는 어떠한 표현하기 힘든 갈증을 느꼈고, 나에게 적합한 일을 찾아야 겠다고 생각했습니다.
적지 않은 시간을 보내며 많은 생각을 해 본 결과, 기획업무가 어릴때 생각했던 것과 다른 시도해보고 싶은 직무임을 알게되었고, 이것이 도메인에 따라 크게 갈릴 것이라 생각이 되어
가장 흥미있고 가장 열심히 할 수 있는 분야라 생각되어 오게 되었습니다.</t>
  </si>
  <si>
    <t>솔직하게 학원은 금액이 부담스러웠고, 독학은 자율성과 비교가능한 기준을 세우는 것이 힘들다고 판단 했습니다. 그러던 차에 우연찮게 알게 된 부트캠프가 온라인 상으로도 가능하다는 것을 알게되어서(대개 오프라인이 많고, 현재 거주지 상 어려움이 존재) 신청하게 되었습니다.</t>
  </si>
  <si>
    <t>친구와 독학하며 유니티로 움직임 정도를 구현해본 경험만 존재합니다.</t>
  </si>
  <si>
    <t>게임 기획 관련의 경우 시스템, 레벨, 전투, 보상, 라이브서비스 등 다양한 세부 기획으로 나뉘어 지는 것으로 알고 있는데, 해당 경계에 대해 아주 모호함을 느끼고 있습니다.
가령 ~~부터 ~~까지는 시스템이라고 하지만 이 부분에 대해서 어떤 때는 전투나, 레벨이 관여하기도 하여 딱 잘라서 어떤 기획을 한다 이렇게 말하는 것이 어렵지 않나 라는 생각이 들었습니다.</t>
  </si>
  <si>
    <t>무사히 잘 수료하여, 성공적으로 해당 직군에 취업할 수 있도록 하여
게임의 본질인 '재미'를 추구하는 기획자로서 역할을 해내고 싶습니다.</t>
  </si>
  <si>
    <t>하루 일과중 상당 시간을 커리큘럼에 할애해야 하기에 생활비에 대한 애로사항이 발생합니다.</t>
  </si>
  <si>
    <t>그런 경우가 잘 없으리라 생각하지만, 협업이 있을 경우 협업에 있어 비협조적이거나 성실성 미흡으로 인한 부분에 대한 작은 우려가 있습니다. 물론 담당하시는 분들께서 잘 조율해 주시리라 생각하고는 있습니다.</t>
  </si>
  <si>
    <t>sznemo5565@gmail.com</t>
  </si>
  <si>
    <t>이준혁</t>
  </si>
  <si>
    <t>34살(91년생)</t>
  </si>
  <si>
    <t>계명/문화정보학</t>
  </si>
  <si>
    <t>안녕하세요, 어린 시절 바람의 나라를 시작으로, 게임 산업 부흥기를 겪으며 다양한 게임들을 접한 이준혁이라고 합니다. 장르를 가리지 않고 다양한 게임을 즐겼으나, 가장 심도있게 파고든 장르는 RPG입니다. 깊게 파고든 게임에 대한 이해를 기반으로, 숨겨진 기획의도나 구조 및 설계 등에 대한 정보를 이해하고, 역설계하는 등의 작업을 즐기며. 게임을 즐기는것 너머 제작에까지 흥미가 닿았습니다. 다양한 요소를 분해하여 재조립하거나, 완전히 새로운 장르를 개척할 게임을 만들고 싶으며. 새로운 기술에 대한 열망이 있어, 끊임없이 새로운 기술을 공부하고 발전해야하는 게임산업을 업으로 삼고자 다방면으로 조사를 했고, 그 중 경일게임아카데미가 가장 우수한 교육기관으로 보여 지원하게 되었습니다.</t>
  </si>
  <si>
    <t xml:space="preserve">제네럴리스트를 지향하는 성격입니다. 전문성을 가지고 맡은 분야에서 최고의 작업물을 만드는것도 물론 중요하지만, 주도적으로 게임을 만들고 방향성을 제시하거나 컨텐츠를 만들어내는것을 목표로 하고 있어, 유니티 및 언리얼 엔진 프로그래밍 과정보다 기획자 과정이 적합하다 판단. 보다 넓은 시야를 통해, 각 파트의 협력을 이끌어내고 조율하는 역할을 하고싶습니다. 또한 개발 및 모델링 등에 대한 지속적인 학습을 통해 . 단순한 기획자로 남기 보다는 다방면으로 프로젝트에 깊이 관여하여 직접 기획한 게임에 심도있는 몰입감을 부여하고싶은 욕심에 본 과정에 참여를 희망하게 되었습니다. </t>
  </si>
  <si>
    <t>학습 및 업무경험은 없으나, 게임산업에 종사하고있는 가까운 지인을 통해 간접적인 이해를 하고 있습니다.</t>
  </si>
  <si>
    <t>밸런스, 레벨, 보상, 경제, 컨텐츠, 플레이, 시스템, 스크립트, 시나리오, 컨텐츠 등</t>
  </si>
  <si>
    <t>최우선 목표는 입사이나, 이보다 중요한것은 경일게임아카데미의 슬로건처럼 슈퍼 신입이 되기 위해 언리얼 엔진에 대한 학습 및 규모를 떠난 다양한 게임 제작에 직접 관여해보고 싶습니다.</t>
  </si>
  <si>
    <t>기획자 과정 중 개발자 과정의 학습 가능여부. 수료 이후 온라인 강의 열람 가능 여부 등 폭넓은 학습 및 수료 후 학원의 도움을 받아 개인적인 학습의 지속이 가능한지 여부.</t>
  </si>
  <si>
    <t>ezez70610@gmail.com</t>
  </si>
  <si>
    <t>이지은</t>
  </si>
  <si>
    <t>숭실호스피탈리티전문학교 관광경영학과</t>
  </si>
  <si>
    <t>게임을 즐기며 단순한 플레이를 넘어 게임에 대한 관심이 많습니다. 특히 롤이라는 게임을 좋아하며 직관을 통해 관련 직종에 근무하고 싶다 생각했으며, 이 게임기획·개발 부트캠프를 통해 체계적인 기획 및 개발 과정을 배우고, 프로젝트 협업 경험을 쌓으며 실무 역량을 키우고 싶습니다.</t>
  </si>
  <si>
    <t>기존의 cs직무에서 벗어나, 앞으로는 게임 기획 분야에서 커리어를 쌓고자 직종 전환을 준비하고 있습니다. 단순히 교육을 받는 데 그치지 않고 실제 취업으로 이어지는 것이 중요했기에, 취업 연계와 성공 사례가 많은 경일아이티아카데미의 게임기획·개발 부트캠프가 저에게 맞다고 생각했습니다
실무에 가까운 능력을 갖추어 게임사 취업으로 이어가고 싶습니다.</t>
  </si>
  <si>
    <t>젠지이스포츠아카데미 EMT 마케팅과정 수료</t>
  </si>
  <si>
    <t>게임디자이너 , 시스템기획 , 프로그래머 , QA , 게임운영자</t>
  </si>
  <si>
    <t>저는 6개월이라는 시간을 단순한 학습이 아니라 제 커리어 전환의 중요한 투자라 생각하고 있습니다. 이 과정을 통해 리그 오브 레전드와 같은 글로벌 게임을 제작·운영하는 회사에 취업하는 것을 1차 목표로 하고 있으며, 동시에 교육 과정 속에서 저에게 맞는 직무를 발견하여 빠른 시일 내 관련 분야로 취업하는 것도 현실적인 목표로 삼고 있습니다.</t>
  </si>
  <si>
    <t>자취생이고 나이가 적지 않아 부모님께 도움을 청하지 멋해 경제적으로 걱정되나 과정 외 시간으로 부업이나 알바를 병행할 예정입니다</t>
  </si>
  <si>
    <t>leejinho737@gmail.com</t>
  </si>
  <si>
    <t>이진호</t>
  </si>
  <si>
    <t>22살 04년생</t>
  </si>
  <si>
    <t>이리공업고등학교 건축과</t>
  </si>
  <si>
    <t>안녕하세요 제 이름은 이진호입니다 제가 아직 이 일을 해본적이 없어서 옆에서 열심히 가르켜주시기만 하신다면 열심히 잘 해보겠습니다 감사합니다</t>
  </si>
  <si>
    <t>인스타 그램에서 이 광고를 보고 나서 관심을 갖게 되었는데 이 일을 하면 일도 하면서 재미있을거 같은 생각이 들었습니다 그리고 다른일 하면서도 같이 할수있다는게 믿기지가 않있는데도 하고 싶습니다</t>
  </si>
  <si>
    <t>아직은 없습니다</t>
  </si>
  <si>
    <t>제가 게임은 많이해도 개발자는 잘 모르지만 이 분야에 대해서 일을 같이 하게 된다면 최선을 다해서 열심히 같이 일을 해보겠습니다</t>
  </si>
  <si>
    <t>제 목표는 이 분야에 대해서 배울점이 많다고 생각하는데
열심히 듣고 배우고 해서 큰돈을 한번쯤은 벌어보고 싶습니다 감사합니다</t>
  </si>
  <si>
    <t>제가 먹고있는약 ADHD 약인데 집중력을 높여주는 약 입니다</t>
  </si>
  <si>
    <t>인스타 그램</t>
  </si>
  <si>
    <t>아직 부족한점이 많지만 옆에서 많이 도와주신다면 열심히 해보겠습니다</t>
  </si>
  <si>
    <t>changyu0306@naver.com</t>
  </si>
  <si>
    <t>이찬규</t>
  </si>
  <si>
    <t>25살(00년생)</t>
  </si>
  <si>
    <t>졸업예정</t>
  </si>
  <si>
    <t>고려대(세종) 문화콘텐츠전공</t>
  </si>
  <si>
    <t>안녕하십니까. 게임에서 가능성을 찾게 된 이찬규라고 합니다. 지난 몇 년 동안 저는 다양한 경험을 하며 콘텐츠라는 것이 무엇인지에 대하여 공부하게 되었습니다. 그리고 그 다양한 콘텐츠 중에서도 게임이 저의 마음을 가장 사로잡았습니다. 그 중에서도 게임 기획이라는 직군은, 그에 대해 알아가면 알아갈수록 초등학생 시절 빈 공책에 그림을 그려 가며 친구들과 함께 게임을 만들어 즐기고는 했던 제 모습을 되돌아볼 수 있게 해 주었습니다.
'과연 그 시절의 나 자신은 행복했는가?' 라는 스스로에게 던진 질문의 답은 당연하게도 '행복했다'였습니다.
그렇기에 대학을 다니면서도 게임 기획자의 꿈을 소중히 간직한 채 대학 전공에 힘을 쏟았습니다. 이제 대학을 졸업하고, 꿈을 위해서 첫 발을 내딛어 보려고 합니다.</t>
  </si>
  <si>
    <t>게임 기획이라는 꿈을 꾸고 있지만서도, 막상 게임을 직접 기획하거나 제작하여 만들어 낸 결과물은 아직까지 없었습니다. 소위, 포트폴리오로 내세울 만한 것이 하나도 없다고도 할 수 있습니다. 또한, 게임 기획이라는 직업이 무엇인지에 대하여 탐구하면 할 수록, 기획이라는 위치가 단순하게 무언가를 적어내기만 하는 직군이 아니라는 것 또한 깨달았습니다. 저에게는 아직 해당 직군을 지원하기 위한 기본적인 기술도 없었던 것입니다.
따라서, 본 과정을 통하여 기본적인 게임 제작에 대한 지식(유니티 엔진, 기획서 작성의 기본 양식)을 습득하고, 실무 경험과 유사한 경험을 축적하며 더 나아가 포트폴리오를 실제로 제작해 보는 경험까지 해 보고자 하여 본 과정에 참여를 신청했습니다.</t>
  </si>
  <si>
    <t>게임기획자는 콘텐츠 기획, 컨셉 기획, 시스템 기획, 밸런스 기획 등 다양한 업무를 해결해야 하는 위치에 있는 사람으로, 유저의 눈에 바로 들어오는 부분부터 유저의 눈에 한번에 들어오지 않는 부분까지 넓은 범위를 다루는 사람. 폭넓은 분야의 지식을 갖춰야 한다.</t>
  </si>
  <si>
    <t>목표하는 기업에 취업하여, 게임이라는 콘텐츠의 가능성을 스스로 확인해보고 싶다. 단순히 게임 자체만의 성공만이 아닌, 이용자들과 함께 쌓아나가는 모든 경험은 무엇인지, 어떤 기분인지 한번 느껴보고 싶다.</t>
  </si>
  <si>
    <t>모아놓은 돈이 다 떨어져가고 있어서, 본 과정을 끝까지 이수할 때 까지에의 월세를 낼 돈 밖에 남아있지 않습니다.</t>
  </si>
  <si>
    <t>끝까지 끊임없이 열심히 노력하겠습니다.</t>
  </si>
  <si>
    <t>gurdl8183@gmail.com</t>
  </si>
  <si>
    <t>이혁</t>
  </si>
  <si>
    <t>목원대학교 성악.뮤지컬학과</t>
  </si>
  <si>
    <t>안녕하세요 저는 2000년생 이혁이라고 합니다 일단 저를 소개를 하자면 옛날부터 게임하는것을 좋아했고 나름 게임만드는것에도 살짝의 관심이 있었기에 마인크래프트에서 탈출맵을 만들거나 마피아게임 같은류의 컨텐츠를 만드는 것도 해보기도 했고 이런부분에도 관심을 가지고 있던 사람입니다. 그래서 제가 어떤 직업을 해야할지 많은 고민이 있었는데 게임기획을 직업으로 할수 있다는 것에 큰 관심이 생겨 지원하게 되었습니다.</t>
  </si>
  <si>
    <t>앞서 말했다시피 게임을 좋아하기도 했고 그런 게임 안에서 컨텐츠를 만드는 거에 관심이 조금씩 있었습니다. 그래서 큰 관심은 아니었지만 해보고 싶다는 생각이 있었고 마침 어떤 직업을 해야 할지 고민이 되는 상황에 게임 기획 부트캠프를 발견하여 이쪽 진로로 성장을 할수있을지 고민을 하고 신청을 하게 되었습니다.</t>
  </si>
  <si>
    <t xml:space="preserve">게임기획,스토리기획,밸런스기획,레벨기획 </t>
  </si>
  <si>
    <t>수료 후 게임 기획 회사에 취업을 하여 여러가지 마피아 게임,아니면 온라인 게임을 한번 만들어 보고싶습니다.</t>
  </si>
  <si>
    <t>기획쪽은 처음이라 잘할수 있을지 걱정이 되지만 저의 완벽주의적인 성향이랑 조금 잘 맞을거 같다는 생각이 들어서 잘 맞다면 최대한 열심히 게임을 만들어보겠습니다!</t>
  </si>
  <si>
    <t>gusdk547@gmail.com</t>
  </si>
  <si>
    <t>이현아</t>
  </si>
  <si>
    <t>한국폴리텍IV 시각디자인</t>
  </si>
  <si>
    <t>제 인생은 오르막이었지만, 저는 포기 하지 않고 제 꿈을 향해 달려왔습니다. 그리고 지금 이렇게 당당히 여러분께 인사드립니다.
학교 졸업 후 첫 직장이라 그런지  적응 하기 힘들었지만 시간이 지날수록 업무능력 향상에도 도움이 되었고 잘 다니던 날 중, 그러던 중 직원들을 막대하는 곳을 알게되어 퇴사를 하게 되었지만 다시 한번 힘을 내어 새로운 곳에 입사하게 되었습니다.
 그곳에선 더 많은 걸 배울 수 있었고 행복했었습니다. 그러나 얼마 지나지 않아 코로나19 사태로 인해 사직을 하게 되었습니다.
 그동안 열심히 살아온 나 자신에게 실망감을 안겨주고 싶지 않았습니다. 그리하여 전 평소 관심 있었던 디자인 공부를 하였습니다. 이곳  에서 꼭 일하고 싶습니다. 감사합니다.</t>
  </si>
  <si>
    <t xml:space="preserve">온라인으로 교육을 비 전공자인 신입도 실무 능력을 빠르게 획득 할 수 있다고 하셔서 
이와 같은 종목은 주변에 쉽게 접할 수 있는 것이 아녀서 부트캠프에 참여해 기획을 교육을 받고 역량을 쌓으며 취업 포트폴리오도 만들고 싶습니다. </t>
  </si>
  <si>
    <t>첫걸음 수준이여서 이븐아이에서 온라인 강의 봤습니다.</t>
  </si>
  <si>
    <t>게임운영 사업PM 마케팅</t>
  </si>
  <si>
    <t>이 곳 경일게임IT아카데미의 가르침을 받고 저는 이전과 다르게 아는 점이 많아 구체적으로 게임 세계관을 생산해 나가게 될 것 같습니다.</t>
  </si>
  <si>
    <t>뇌변병 장애 가 있습니다. 아침,저녁,자기전으로 약을 복용 합니다.</t>
  </si>
  <si>
    <t>수업을 한번만 진행이라면 메모(작성 할 시간)이 부족 할 거 같아 걱정도 되고 시간을 못 지키게 되어 놓치게 된다면 궁금합니다.</t>
  </si>
  <si>
    <t>ashess7276@gmail.com</t>
  </si>
  <si>
    <t>이형진</t>
  </si>
  <si>
    <t>23(02년생)</t>
  </si>
  <si>
    <t>대학교 3학년 휴학</t>
  </si>
  <si>
    <t>상지대학교 문화콘텐츠학과</t>
  </si>
  <si>
    <t>안녕하십니까, 게임 기획자 지망생 이형진입니다.
저는 기획 경험을 쌓기 위해 팀단위 팬게임 제작활동을 하며 타워디펜스 UI기획 및 쯔꾸르 공포게임 프로젝트의 기획 부팀장을 맡아 회의 일정조율 및 방향성을 제시했던 경험이 있습니다.
팀 해체 및 군복무로 인해 게임을 완성하지 못했지만, 저는 포기하지 않고 군복무 기간에도 역기획서를 작성하며 독학한 후, 이번 9월 넥슨의 채용형 인턴십인 넥토리얼에서 블루아카이브 카페 시스템 역기획을 통해 시스템 기획자 역할을 지원하기도 하였습니다.
두 경험 모두 성공적이지 못한 결과였고, 제 실력에 대한 부족함을 느꼈습니다. 그래서 저는 다시 한 번 포기하지 않고 이곳에서 경험을 쌓고 전문성을 길러 게임 기획자의 꿈을 이루고 싶습니다.</t>
  </si>
  <si>
    <t>여러 활동을 하면서 기획 독학의 한계를 느꼈으며, 제대로된 개발 경험을 쌓기 위해 믿을 수 있는 곳을 찾게 되었고, 부트캠프에 대해 알게되어 가장 후기가 좋았던 경일게임IT아카데미를 선택하게 되었습니다. 그래서 저는 꼭 이 부트캠프를 통해 실력있는 게임 기획자로 거듭나고 싶습니다.</t>
  </si>
  <si>
    <t xml:space="preserve">팀단위 팬 게임 제작활동을 통해 UI 배치 및 시스템 기획을 했었으며, 공포 쯔꾸르 게임의 기획 부팀장으로서 팀원들의 일정을 조율하고, 레벨디자인, 스토리, 시스템등 기획 전반에 참여하였습니다.
또 라이브 서비스 중인 블루아카이브에 취업하는 것을 목표로 블루아카이브의 총력전과 학생부 시스템을 역기획하며 독학하였고, 카페 시스템 역기획을 포트폴리오로 작성하여 넥토리얼에 지원하기도 하였습니다. </t>
  </si>
  <si>
    <t>기획자의 업무는 프로젝트의 규모나 게임의 장르에 따라 세분화되거나 통합되기도 합니다.
시스템 기획자, 전투 기획자, UI/UX 기획자, 레벨 기획자, 콘텐츠 기획자, BM 기획자, 시나리오(설정) 기획자, 퀘스트 기획자, 캐릭터(몬스터) 기획자, 정도가 생각납니다.
저는 시스템 기획자를 목표로 취업준비를 하였으며, 규칙 설계 및 필요 기능 기획, 예상되는 예외사항 정리, 데이터 테이블로 관리해야할 부분 결정등을 업무로 이해하고 있습니다.
블루아카이브 시스템 기획자의 경우 재화 밸런스의 업무도 포함되어 있었습니다.</t>
  </si>
  <si>
    <t>이 캠프를 수료하여 게임 기획자로 취업하는 것은 끝이 아니라 시작이라고 생각합니다. 저는 취업한 후에도 실력 있는 기획자가 되기 위해 끊임없이 노력하여 한 프로젝트의 총괄을 담당하는 PD가 되고 싶습니다.</t>
  </si>
  <si>
    <t>화이팅!</t>
  </si>
  <si>
    <t>hhm881@gmail.com</t>
  </si>
  <si>
    <t>이희재</t>
  </si>
  <si>
    <t>한양사이버대학교 응용소프트웨어공학과</t>
  </si>
  <si>
    <t>안녕하세요. 저는 이전 대학에서 의료공학을 재학 중에, 한 BPO(TDCX) 한국 지사의 글로벌 게임(Riot) 서비스 팀 스타트 멤버로 근무하며 13명의 멤버에서 시작해 100명대 규모까지 성장하는 데 기여했습니다.
AI에 대한 관심과 커리어를 위해 인공지능을 1년간 공부하고 한 회사에서 파이썬 개발자로 근무하며 AI 도입, 서버 개발, AI 활용 교육등을 진행했습니다. 그리고 프로젝트 내에서 기획에 일부 참여했습니다.
그러다 한 컨설팅 회사에 입사하였습니다. 한 자동차사의 CRM 구축 프로젝트에 BA(비즈니스 분석가)로 참여했고, 지금은 MLOps 커리어를 밟기 위해 학습중입니다.
최근에 직업성향 검사를 했더니, 제게 MLOps는 완전히 반대되는 성향이라는 것을 알게되어서 적합한 직무를 알아보다가, 이전부터 관심있던 게임 기획 직무에 지원하게 되었습니다.
군필이고, 거주지는 김포입니다. 대학은 중퇴였으나, 학사 학위를 위해서 사이버 대학 편입해 직장과 병행하다가, 올해 졸업하였습니다.</t>
  </si>
  <si>
    <t>게임 기획 캠프를 알아보다가, 이 캠프가 제일 괜찮아 보여서 지원하게 되었습니다. 실제 비즈니스 상황처럼 피드백을 받아 진행하는 모습이 인상적이었습니다. 온라인으로 진행하는 것도 마음에 들었고, 노트북을 대여해주는 것도 좋았습니다.</t>
  </si>
  <si>
    <t>게임 기획자, 게임 개발자</t>
  </si>
  <si>
    <t>게임 기획자로 취업해 원하는 일을 하거나, 스타트업 or 1인 개발자로 게임을 배포하고 싶습니다.</t>
  </si>
  <si>
    <t>어떤 지원 정책이 있는지 안내해주실 수 있나요? 어려움이 있는 건 아니지만 자취중이라 생활비가 계속 나갈거라서요</t>
  </si>
  <si>
    <t>열심히 해보겠습니다 파이팅</t>
  </si>
  <si>
    <t>eightn1723@gmail.com</t>
  </si>
  <si>
    <t>임동균</t>
  </si>
  <si>
    <t>서울과학기술대학교 기계자동차공학과</t>
  </si>
  <si>
    <t>안녕하세요. 게임 기획자에 관심이 있어 해당 교육과정에 지원한 임동균입니다. 항상 언젠가 게임을 만들어야지, 혼자서라도 해봐야지 생각만 하다가, 생각만 하지 말고 늦기전에 마지막이라는 생각으로 도전하고자 이 과정에 지원했습니다.</t>
  </si>
  <si>
    <t>다른 교육기관엔 게임 "기획자" 관련 과정이 거의 없고, 온라인/오프라인 모두 거주지와 가까워서 교육받기 편한 환경이어서 이 부트캠프에 지원했습니다. 대부분 과정이 코딩 위주의 개발자 과정뿐인데, 해당 과정은 기획자 과정이기도 하고, 여기저기 조금 알아보다보니 기획자는 데이터테이블 다룬다던지 이런게 중요하다..등등 들어봤는데 해당 과정 Part 2만 보아도 관련한 직무 능력을 배울 수 있는 과정이라고 생각해서 해당 과정에 지원하였습니다.</t>
  </si>
  <si>
    <t>방금 전 까지 내일배움캠프 언리얼 개발자 과정을 수강중이었습니다. 이 외에는 없습니다.</t>
  </si>
  <si>
    <r>
      <t xml:space="preserve">게임 기획자(Game designer)관련 분야로 여러 분야가 있긴 한데,
관심 있는 채용 공고가 경력 무관으론 얼마 없더라구요.
</t>
    </r>
    <r>
      <rPr>
        <u/>
        <sz val="10"/>
        <color rgb="FF1155CC"/>
        <rFont val="Arial"/>
        <family val="2"/>
      </rPr>
      <t>https://careers.nexon.com/recruit/8788?query=%ED%8D%BC%EC%8A%A4%ED%8A%B8+%EB%94%94%EC%84%BC%EB%8D%98%ED%8A%B8&amp;careerTypes=10&amp;careerTypes=30</t>
    </r>
    <r>
      <rPr>
        <sz val="10"/>
        <color rgb="FF000000"/>
        <rFont val="Arial"/>
        <scheme val="minor"/>
      </rPr>
      <t xml:space="preserve">
https://careers.nexon.com/recruit/8786?query=%ED%8D%BC%EC%8A%A4%ED%8A%B8+%EB%94%94%EC%84%BC%EB%8D%98%ED%8A%B8&amp;careerTypes=10&amp;careerTypes=30
대충 이런 공고에 관심이 있습니다.</t>
    </r>
  </si>
  <si>
    <t>가능하면 대기업에 입사하는게 목표지만, 게임 기획자로서 회사와 유저 모두가 만족할만한 기획을 하고 싶습니다. 보통 게임 운영을 하는 것을 보면 유저의 마음을 못 읽는 듯한 행동들이 많이 보이는데, 게임도 많이 즐기는 유저로서 유저들의 니즈를 잘 파악한 기획자가 되는 것이 목표입니다.</t>
  </si>
  <si>
    <t>허리디스크가 살짝 있으나, 오래 앉아있는것 (중간중간 스트레칭하면서) 익숙하기도 하고, 가벼운 운동과 함께하니 많이 나아져서 괜찮습니다!</t>
  </si>
  <si>
    <t>아무래도 장기간인 과정이다보니, 또 나이도 있다보니 과정을 수료한다고 바로 취업문이 열리는 건 아니지만, 아무래도 취업이 가장 걱정입니다. 그래도 아무리 훈련기관이 열심히 만들어도 훈련생이 적극적이지 않으면 안된다고 생각합니다. 긴 기간이면서도 짧은 기간이지만 적극적으로 참여해서 가능한 많은걸 배우고 성장해서 수료하고 싶습니다.</t>
  </si>
  <si>
    <t>slajswj123@gmail.com</t>
  </si>
  <si>
    <t>임소영</t>
  </si>
  <si>
    <t>24살 (02년생)</t>
  </si>
  <si>
    <t>예림디자인고등학교 웹디자인과</t>
  </si>
  <si>
    <t>2년정도 되는 기간동안 다른 학원에서 게임 기획자를 배운 경험이 있습니다. 지금 만들어둔 포트폴리오가 있으나 모자라다고 생각되어 더 다듬을 수 있는 기회를 잡고자 해당 교육 과정을 신청하게 되었습니다.</t>
  </si>
  <si>
    <t>게임 기획 과정을 다른 학원을 통해 만든 포트폴리오가 있으나 해당 교육 과정에 있는 AI수업이 눈에 들어 해당 수업을 통해 AI를 사용해 포트폴리오 보강과 AI사용 경험을 쌓고싶습니다.</t>
  </si>
  <si>
    <t>SBS게임아카데미학원, SGA서울게임아카데미 게임 기획 과정</t>
  </si>
  <si>
    <t>레벨디자인, 콘텐츠 기획자, 캐릭터 기획자, 시스템 기획자, 시나리오, PM, QA, 전투 디자</t>
  </si>
  <si>
    <t>콘텐츠, 이벤트 기획자 방향으로 취업하는 걸 목표로 하고있습니다.</t>
  </si>
  <si>
    <t>AI라는 최신 기술을 사용한 포트폴리오를 만들어 능력을 향상시키게 되는 기회를 잡도록 하겠습니다.</t>
  </si>
  <si>
    <t>waagle98@naver.com</t>
  </si>
  <si>
    <t>장근혁</t>
  </si>
  <si>
    <t>양운고등학교 전공없음</t>
  </si>
  <si>
    <t>안녕하십니까 28살 장근혁입니다. 옛날에 꿈꿨던 게임회사에서 일을 하는 꿈을 늦었지만 지금부터라도 이루고자 이렇게 지원하게 됐습니다 열심히하겠습니다!</t>
  </si>
  <si>
    <t>어렸을때부터 게임회사에서 일하고 싶다는 로망이 있었습니다. 지금까지 아무 생각 없이 일만 하다가 지금 안하면 늦겠다 싶어서 퇴사를 결정하고 게임회사에 대한 꿈을 시작하고자 부트캠프를 지원하게 됐습니다.</t>
  </si>
  <si>
    <t>UI기획자</t>
  </si>
  <si>
    <t>작은회사부터 시작하여 경력을 쌓은 후 미래에는 큰 회사에 들어가서 일하고 싶습니다</t>
  </si>
  <si>
    <t>비록 지금은 아는게 많이 없지만 부트캠프 기간동안 최대한 많이 배워서 나가겠습니다!!!</t>
  </si>
  <si>
    <t>bwb1353@gmail.com</t>
  </si>
  <si>
    <t>장승희</t>
  </si>
  <si>
    <t>26살(99년생)</t>
  </si>
  <si>
    <t>선문대 it경영</t>
  </si>
  <si>
    <t>안녕하세요. 게임을 사랑하는 장승희입니다.
저는 마인크래프트라는 높은 자유도의 게임에서 사설 서버 기획을 담당하며, 지인들과 함께 하나의 게임 서비스를 만들어본 경험이 있습니다. 여러 RPG 게임을 플레이하며 쌓아온 이해도를 바탕으로 콘텐츠 구조 설계와 유저 동선 기획에서 좋은 평가를 받았고, 팀원들에게도 그 역량을 인정받았습니다.
그러나 그 성과는 오래가지 못했습니다. 당시 저는 전문적인 개발 지식이 부족해 개발자분들과 충분히 소통하지 못했고, 제안한 아이디어가 “좋지만 실현 불가능한 기획”으로 평가받는 일이 반복되었습니다. 또한 플레이어 중심의 시각에 치우쳐 서비스 운영과 수익 구조 등 팀의 비즈니스적인 측면을 충분히 고려하지 못했습니다. 이러한 한계들은 결국 팀원들과의 방향성 차이로 이어졌고, 저는 더 성장하기 위해 1년간 함께한 팀에서 스스로 나오게 되었습니다.
이후 일반 사무직 취업을 준비하던 중, 우연히 유튜브에서 경일 아카데미를 알게 되었고, ‘지금 제게 필요했던 배움’이라는 확신을 가지게 되었습니다.
경일 아카데미의 체계적인 교육 과정을 통해 기획자로서의 전문성을 갖추고, 개발자와 원활하게 협업할 수 있는 기술적 이해도를 쌓고자 합니다. 더 나아가 기업의 비즈니스 목표와 유저 경험을 균형 있게 고려할 수 있는 기획자로 성장하는 것이 제 목표입니다.
경일 아카데미에서의 배움을 토대로, 단순히 재미있는 게임을 넘어 많은 사람들에게 가치를 전달할 수 있는 콘텐츠 기획자가 되고 싶습니다.
감사합니다.</t>
  </si>
  <si>
    <t>서버 개발은 처음에는 단순한 취미였지만, 마음속 깊은 곳에서는 언젠가 이 분야에서 일하고 싶다는 작은 꿈이 있었습니다. 그러나 전문성과 역량 부족으로 그 꿈을 포기하게 되었고, 이후에는 무엇을 진정으로 하고 싶은지도 모른 채 그저 취업을 위한 시간만 보내왔습니다.
그러던 중 이 프로그램을 알게 되었고, 오래 숨겨져 있던 제 꿈이 다시 살아나는 것을 느꼈습니다. 지난 실패의 원인이었던 다양한 직군과의 소통 능력 부족을 극복하고, 실무에서 필요한 전문성을 갖춘 기획자로 성장하기 위해 본 과정에 참여하고자 합니다.</t>
  </si>
  <si>
    <t>전문적인 학습, 업무 경험은 없지만, 작은 사설서버를 운영하며 그때그때 필요한 만큼의 정보를 서치하거나, 동료 개발자들의 개발(스크립트 등)을 어깨너머로 지켜본 것 정도 있습니다.</t>
  </si>
  <si>
    <t>게임 전체를 포괄적으로 다루며, 게임의 뼈대를 설계 하는 시스템 기획자
세부적으로 구성된 맵, 던전, 기믹, 퀘스트 등 유저가 플레이하는것을 다루는 컨텐츠 기획자
스토리와 세계관 등 이야기 흐름을 제작하는 시나리오 기획자</t>
  </si>
  <si>
    <t>수료 후에는 중소 게임회사에 취업하여 실무 경험을 쌓는 것을 1차 목표로 하고 있습니다. 중소기업은 다양한 업무를 직접 경험하고 여러 직군과 밀접하게 협업할 수 있는 환경이 갖춰져 있어, 기획자로 빠르게 성장하기에 적합하다고 판단했습니다. 실제 프로젝트의 전체 흐름을 가까이에서 배우며 기획 역량과 커뮤니케이션 능력을 탄탄히 다지고 싶습니다.
또한 이를 기반으로 장기적으로는 중견·대기업 등 더 큰 규모의 프로젝트를 진행하는 환경에 진출하여, 제가 직접 꿈꾸던 게임을 만들 수 있는 기획자로 성장하고자 합니다. 작은 경험부터 차근차근 쌓아 궁극적으로는 유저가 사랑할 수 있는 게임을 기획하는 것이 제 목표입니다.</t>
  </si>
  <si>
    <t>12월08일~11일 예비군 훈련이 있는데 녹화본 제공 받는다는 답변을 받았지만
시작부터 뒤쳐질까봐 걱정입니다</t>
  </si>
  <si>
    <t>dpfspr0632@gmail.com</t>
  </si>
  <si>
    <t>장윤우</t>
  </si>
  <si>
    <t>공주대학교 게임디자인학과</t>
  </si>
  <si>
    <t>시린 겨울이 찾아왔습니다. 이 겨울을 지나 다음 계절들 너머에 있을 제 미래를 찾으러 왔습니다. 
안녕하세요. 게임 기획을 지망하는 장윤우입니다. 게임은 배우면 배울수록 모르는 것 투성이라는 생각이 듭니다.  그 모르는 것 투성이를 만드는 일에 제 인생을 넣기 위해 노력하고 있습니다. 모르는 것이 아는 것이 되는 그 날을 기다리며, 이곳에서도 배우고 가고 싶습니다. 열심히 배우겠습니다. 감사합니다.</t>
  </si>
  <si>
    <t xml:space="preserve"> 게임 프로젝트도 여러번 만들어봤고, 다양한 팀 프로젝트도 해봤지만 아직 실무경험이 없어서 이곳에서 직간접적으로나마 배우고, 부족한 점을 채우고자 지원하게 되었습니다.
특히 팀 프로젝트의 경우는 다양한 팀, 다양한 사람들을 겪으면 겪을수록 성장하는 것이라고 느껴왔기 때문에, 있더라도 문제가 되지 않을 것이라고 생각했습니다. 
열심히 배우겠습니다. 감사합니다.</t>
  </si>
  <si>
    <t xml:space="preserve">공주대에서 게임디자인을 전공했고, 그에 따라 다양한 게임프로젝트를 진행했습니다. 
학교에서 진행한 과제를 포함한다면 크고작게 10개 정도의 게임 제작을 해본 경험이 있습니다.  
다양한 공모전에서 수상해본 경력도 있고, vr게임, 인터렉티브 게임, 보드게임과 플랫포머, 텍스트 rpg 등 다양한 장르의 게임등을 제작했습니다. 
마지막 4학년에는 졸업 전시회를 2024 지스타에서 진행하여 성공적으로 마무리 했습니다. </t>
  </si>
  <si>
    <t>밸런스 기획자, 레벨디자인 기획, 컨텐츠 기획자, 몬스터 기획, 전투 기획, 시나리오 기획, 퀘스트 기획, 기획 pm, 시스템 기획</t>
  </si>
  <si>
    <t>목표는 역시 게임 회사의  취업입니다. 이 곳에서의 경험을 발판 삼아 능력을 갖추고, 더 멋진 게임을 만드는 회사에 들어가고 싶습니다.</t>
  </si>
  <si>
    <t xml:space="preserve">디스크를 가지고 있습니다. 하지만 호전된 상황이라 일상생활에 지장이 없으며, 약도 복용하지 않고 있습니다. </t>
  </si>
  <si>
    <t>제가 시나리오 기획을 최선호하고 있는데, 모집개요를 보니 그런 부분이 있는지 확인할 수 없어서 도움을 받을 수 있을지 궁금합니다.</t>
  </si>
  <si>
    <t>jechy0514@gmail.com</t>
  </si>
  <si>
    <t>장호윤</t>
  </si>
  <si>
    <t>상하이교통대 신문방송학과</t>
  </si>
  <si>
    <t>안녕하세요! 장호윤이라고 합니다!
게임 개발에 평소 관심이 많아서 유튜브로 독학하고 있던 차에 게임 기획에 대해 모호하고 방향성을 잘 모르겠어서 이부분에 대해 많이 알아가면 좋을 것 같아 신청하게 되었습니다!
뭔갈 만들고 기획하는 걸 좋아하는지라 이번 기회에 체계적으로 배울 수 있을 것 같아 기대가 됩니다. 감사합니다!</t>
  </si>
  <si>
    <t>앞서 자기소개에서 얘기했듯 평소 만드는걸 좋아하는 편입니다!
그러다 유튜브나 인스타 등에서 유니티나 기타 게임 개발툴로 게임을 만드는 영상을 접하고 제가 상상한 세계관을 게임으로 만들 수 있으면 좋을 것 같다는 생각을 했고, 혼자서 기획을 하다가 어떻게 더 상세히 잘 만들수 있을까 하며 리서치를 하던 중 인스타에서 광고를 보게 되었습니다!
아무래도 저 혼자 맨바닥에서 공부하는 것 보다는 전문적인 교육을 듣는게 좋을 것 같아 신청하려고 했는데 마침 또 전액 무료! 라는 얘기를 듣고 바로 상담을 받으러 갔었습니다.
상담후 제게 너무나도 필요한 교육과정이라고 생각이 들어 바로 신청을 하게 되었습니다. :)</t>
  </si>
  <si>
    <t>모바일 게임 회사 QA팀에서 약 1년 반정도 일한 경력이 있습니다!
중국회사여서 번역일도 병행했었습니다.</t>
  </si>
  <si>
    <t>레벨 디자이너, 시나리오 작가, 콘텐츠 기획자, 컨셉 디자인, 시스템 기획자, 밸런스, UXUI설계</t>
  </si>
  <si>
    <t>기획 단계 수료 후 제1 목표는 게임 개발에 대한 체계적인 배우는 것이고, 가능하다면 관련 업계에 취직을 목표로 하고 있습니다! 그외엔 1인 개발로 간단한 게임 하나 만들어보고 싶습니다.</t>
  </si>
  <si>
    <t>X</t>
  </si>
  <si>
    <t>즐거운 마음으로 공부해서 많은걸 알아가고 싶습니다! 감사합니다</t>
  </si>
  <si>
    <t>jsh001012@gmail.com</t>
  </si>
  <si>
    <t>정석현</t>
  </si>
  <si>
    <t>25세 (00년생)</t>
  </si>
  <si>
    <t>대학교 재학중 (4학년 2학기)</t>
  </si>
  <si>
    <t>계명대학교 실용음악음향학과 사운드아트 전공</t>
  </si>
  <si>
    <t>안녕하세요 게임기획 수강 희망생 정석현입니다. 중학교 무렵부터 게임업계를 꿈꿔오며 게임 사운드 디자이너를 준비하다가 기획에 재능과 재미를 느껴 신청하게 되었습니다. 대학교 수업에서 기획과 관련된 수업에서 큰 흥미를 느끼고 좋은 성적을 받게되며 기획자의 꿈을 갖게 되었습니다. 꼭 수업에 참여하고 싶습니다!</t>
  </si>
  <si>
    <t>현재 실용음악음향 학과에서 사운드 디자인을 공부하며 게임 사운드 디자이너가 되는 것을 목표로 공부를 해왔습니다. 하지만 다양한 시도를 하는 것을 좋아하는 성격이고, 나아가 저의 최종적인 목표는 제 이름을 걸고 게임을 개발해보는 것이 꿈입니다. 그래서 게임과 관련된 다른 공부를 해보기 위해 다양한 경로를 찾아보던 중, 대학 수업에서 기획과 관련된 여러 수업에서 좋은 성적을 받으며 기획에 큰 관심이 생기게 되었습니다. 또한 다양한 창의적인 아이디어를 활용하기에도 적합하고 무엇보다 현재 가장 관심있는 분야가 기획이라고 생각하게 되어 신청하게 되었습니다.</t>
  </si>
  <si>
    <t>현재 학교에서 배우고 있는 사운드 디자인을 제외하면 학습해본 경험은 없고 어렸을 적 RPG 만들기 툴을 사용해본 적 외엔 없습니다.</t>
  </si>
  <si>
    <t>몬스터 기획, 컨텐츠 기획, BM 기획, 밸런스 기획, 세계관 기획, 전투 기획, 시나리오 라이터, 레벨 디자인 기획, 전투 기획</t>
  </si>
  <si>
    <t>1순위로는 서브컬쳐 게임사의 세부직군 무관한 기획자로 입사하는 것이 목표입니다. 현재 가장 많이, 재밌게 즐기고 있는 게임 장르이고 그만큼 다른 장르의 게임보다 이해도가 높다고 자신할 수 있습니다. 그 외에도 온라인 라이브서비스를 진행중인 게임사(네오플, 넥슨게임즈)나 네오위즈 등 국내 게임사의 컨텐츠 혹은 시스템 기획자가 되는 것도 목표입니다.</t>
  </si>
  <si>
    <t>저의 게임을 향한 깊은 애정과 관심은 그 누구에게도 지지 않는다고 자신할 수 있는 사람입니다. 좋은 게임 기획자가 되어 게임 산업에 한 획을 그을 수 있는 게임의 개발에 이바지하고 싶습니다!</t>
  </si>
  <si>
    <t>sujin3752@gmail.com</t>
  </si>
  <si>
    <t>정수진</t>
  </si>
  <si>
    <t>영남대학교 / 컴퓨터공학과</t>
  </si>
  <si>
    <t>안녕하세요. 게임 기획자 지망생 정수진입니다. 게임을 항상 즐겨하면서 게임에 대해 관심이 많아졌고 다양한 장르의 게임을 분석하며 시스템, 콘텐츠 유저의 경험에 대해 관심을 갖게 되었습니다. 이게 그치지 않고 직접 아이디어를 구체화해보고 싶어 게임 기획을 지망하게 되었습니다.</t>
  </si>
  <si>
    <t>혼자서 준비하는 거보다 체계적이고 구조적으로 배울 필요성을 느꼈고 이 강의를 통해 이를 배울 수 있다고 생각했습니다. 또한 혼자 준비하기 때문에 협업 프로젝트를 접하기가 어려웠는데 본 커리큘럼에 포함되어 있어 실무 감각을 익힐 수 있다고 생각했습니다. 또한 최근 AI를 사용하는 추세인데 독학으로 어려운 과정을 배울 수 있어 신청했습니다.</t>
  </si>
  <si>
    <t>2022년도 6개월간 온라인 강의를 통해 게임 기획을 배웠습니다.</t>
  </si>
  <si>
    <t>시스템 기획자, 밸런스 기획자 , 콘텐츠 기획자, 시나리오 기획자, UI/UX 기획자, 레벨 디자이너, 설정 기획자</t>
  </si>
  <si>
    <t>수료 후에는 강의에서 배운 기획 프로세스를 토대로 포트폴리오를 작성할 계획 입니다. 게임 제작 감각을 익혀서 개인 또는 팀 프로젝트를 진행하여 시제로 적용해보는 경험을 쌓고 싶습니다. 최종적으로는 유저의 재미를 설계할 수 있는 게임기획자로 성장하는 것이 목표입니다.</t>
  </si>
  <si>
    <t>걱정되는 부분은 없습니다. 강의에 성실히 참여하여 기획 과정을 제대로 익혀보고 싶습니다.</t>
  </si>
  <si>
    <t>jyh9805@gmail.com</t>
  </si>
  <si>
    <t>정영현</t>
  </si>
  <si>
    <t>서울대학교 수학교육과 / 방송통신대학교 컴퓨터과학과</t>
  </si>
  <si>
    <t>기존에 웹앱개발을 하였으나, 어쩌다보니 혼자서 프리랜서 비슷하게 일하게 되었는데, 성향에 맞지 않아, 여러 의견을 수합하고 남을 설득시키는 일을 하는 기획쪽으로 관심을 가지게 되었습니다. 
이전에 취미생활로 팬게임을 유지보수/마이그레이션을 했던 스크립트(js기반 웹게임) 및 유니티에 대한 약간의 경험도 있습니다.</t>
  </si>
  <si>
    <t>지금까지 본업/취미로 개발을 해보면서, 기획과 함께 일해본 적이 없습니다. 한줄로 "이런 기능이 추가되어야 한다" 라고 하면 일단 혼자서 고민하고 만들긴 하지만, 업무 특성상 이것이 어떤 의도로 필요한 것인지에 대한 커뮤니케이션이 막혀있었습니다.
 때문에 이에 대해 고민하는 기회가 있었고, 구현하는 자체 보다는 사용자가 어떻게 느낄지 고민하는 과정 자체가 더욱 즐거웠으나, 이에 대한 피드백을 받을 순 없어 스트레스를 받아 퇴사 후 여러 분야에 대해 알아보던 중, 주변에 게임 업계인이 많아 여러 이야기를 들어본 후에 우선 수업을 들어보는 것이 좋겠다라는 판단을 하게 되었습니다.</t>
  </si>
  <si>
    <t>게임관련해서는 기존에 해본것은 없으나 취미로 monogatari엔진으로 작성된 비쥬얼노벨 팬게임을 유지보수 (신 캐릭터 추가 등)해보거나, 이 게임을 Unity엔진으로 마이그레이션해보는 등의 작업을 혼자 공부하며 해 본 적은 있습니다.</t>
  </si>
  <si>
    <t>우선 기존경력과 관련이 있는 시스템 기획자를 시작으로 삼고 싶은데, 다양한 게임의 설계방식들을 보고 유저 및 컨텐츠기획자가 좋은 경험을 할 수 있도록 동작을 설계하는 업무로 알고 있습니다.</t>
  </si>
  <si>
    <t>아직은 식견이 부족해 구체적인 목표가 없는 상황입니다. 때문에 우선은 제가 만들고 싶은 게임을 기획하기보단, 다른 사람들이 게임을 만들기 위해 필요로 하는 작업들을 해주는 포지션 정도를 해낼 수 있으면 좋겠습니다.</t>
  </si>
  <si>
    <t>크론병 / 면역억제제 
현재 크게 통증이 있는 상황은 아니고 화장실을 자주 가는 정도입니다.</t>
  </si>
  <si>
    <t>주로 저녁/새벽에 일하게 되는 오프라인게임 관련 프리랜서 오퍼가 들어와서, 근무시간은 조율이 가능한데 병행하면 시간을 쓰는건 괜찮으나 제적관련 이슈가 있을까 걱정이 됩니다.
아직 업무,환경, 처우등에 대한 이야기가 전혀 진행되지 않아 수개월 안에는 진전되지 않을 것 같기도 하고, 본 과정을 우선으로 생각할 것 같습니다.</t>
  </si>
  <si>
    <t>ownerjeong@gmail.com</t>
  </si>
  <si>
    <t>정우경</t>
  </si>
  <si>
    <t>39세(86년생)</t>
  </si>
  <si>
    <t>한양대 경제학부</t>
  </si>
  <si>
    <t>안녕하세요, 이번 온라인 게임 기획자 부트캠프 4기에 지원한 정우경입니다. 대학에서 경제학을 전공하고 회사 생활을 하다가, 게임 개발에 생각이 있어 이번 교육에 지원하게 되었습니다.</t>
  </si>
  <si>
    <t>인디 게임 개발에 관심이 생겨 본 과정에 지원하게 되었습니다. 처음 1인 개발을 생각으로 여기저기서 정보를 얻는 과정에서, unity가 초보자가 하기 좋은 엔진이라 생각하여 unity를 선택하였습니다. 처음 개발을 하는 과정에서 어려움도 있고 비효율적인 부분이 있어서, 좋은 강의를 들으면서 개발하면 좋겠다는 생각이 들어 관련 강의를 찾고 있었고, 경일 아카데미의 강의 커리큘럼이 좋아 보여 신청하였습니다.</t>
  </si>
  <si>
    <t>게임과 관련된 학습 및 업무 경험은 없습니다.</t>
  </si>
  <si>
    <t>게임개발자, 게임 데이터 분석가, 게임 디자인&amp;아트</t>
  </si>
  <si>
    <t>제가 염두하고 있는 게임을 개발하여 퍼블리싱하는 것이 우선 목표입니다. 그리고 경험을 포트폴리오 삼아 게임 기업에 취업할 계획입니다.</t>
  </si>
  <si>
    <t xml:space="preserve">비록 늦은 시작이지만 그만큼 생각도 많이 하고 신중하게 생각하여 선택한 진로입니다. 쉽게 포기하지 않고 최선을 다할 생각입니다. </t>
  </si>
  <si>
    <t>naoeriki8@gmail.com</t>
  </si>
  <si>
    <t>정재용</t>
  </si>
  <si>
    <t>충청대학교 일본어 통역학과</t>
  </si>
  <si>
    <t>저는 충청대학교에서 일본어통역을 전공한 정재용 이라고 합니다. 실제 일본으로 교환 유학과 서비스직으로 일했던 경험이 있어 일본어에 대한 자신감이 있습니다. 일본에서의 생활은 조금 힘들었지만 그때 저에게 힘이 되어준것이 바로 쉬는날에 친구들과 또는 지인들과 통화 하면서 했던 게임입니다. 그래서 저도 친구들과 혹은 지인들과 멀리 떨어져있어도 같이 즐길 수 있는 게임을 만들어보고 싶어 지원했습니다.</t>
  </si>
  <si>
    <t>일자리를 알아보던 중 친구의 추천으로 제가 좋아하는 게임을 기획 또는 개발을 국비지원으로 배울 수 있다는것을 알게 되었습니다. 지금까지 게임을 플레이만 하며 좋아했지만 지금은 게임은 어떤식으로 기획되며 어떻게 개발되는지 배워보고 싶어서 신청하게 되었습니다.</t>
  </si>
  <si>
    <t>게임 총괄 디렉터, 어시스턴트 디렉터, 시나리오 라이터, 모션 디자이너</t>
  </si>
  <si>
    <t>게임을 직접 기획하고 개발하여 제 전공인 일본어를 살려 제가 만든 게임을 수출 하거나 포트폴리오로 만들어 일본 게임 회사에 취업하는게 목표입니다.</t>
  </si>
  <si>
    <t>제가 가장 좋아하는 노래 가사중에 "격조높게 미래영겁 아름답게 피어나는거야." 라는 가사가 있습니다 이 노래 가사 처럼 격조높게 미래영겁 피어나도록 최선을 다해 끝까지 하겠습니다.</t>
  </si>
  <si>
    <t>fkrndy17@gmail.com</t>
  </si>
  <si>
    <t>정재훈</t>
  </si>
  <si>
    <t>한국공학대학교 (구 한국산업기술대학교) 컴퓨터공학전공</t>
  </si>
  <si>
    <t>게임 기획자 부트캠프 4기 지원자 정재훈입니다. 대학교에서 컴퓨터공학을 전공했고 게임 기획 직무에 관심이 있어 배워보고 성장하고자 지원하게 되었습니다. 잘부탁드립니다!</t>
  </si>
  <si>
    <t>평소에 게임 기획 직무에 관심이 있었지만 어떻게 준비해야할지 잘 모르고 막막했었는데, 게임 기획 부트캠프가 있다는 걸 알게됐습니다. 여기서 배운것과 경험들로 이후 기획 직무 취업에 도움이 됐으면 하는 마음으로 참여를 신청하게 되었습니다.</t>
  </si>
  <si>
    <t>배우거나 경험은 없습니다.</t>
  </si>
  <si>
    <t>레벨디자인 기획자, 밸런스 기획자, 전투 기획자, 컨텐츠 기획자</t>
  </si>
  <si>
    <t>수료과정을 통해 성장하고, 과정에서 알게된 것들과 경험을 기반으로 기획 직무에 취업하는 것이 목표입니다!</t>
  </si>
  <si>
    <t>이번 기회를 저를 성장시킬 수 있는 좋은 기회로 만들고 싶습니다. 교육 과정을 잘 따라가 취업할 수 있을만큼 성장하겠다는 각오로 임하겠습니다.</t>
  </si>
  <si>
    <t>wldms2860@gmail.com</t>
  </si>
  <si>
    <t>정지은</t>
  </si>
  <si>
    <t>계명문화대학교 경찰행정과</t>
  </si>
  <si>
    <t>안녕하세요. 게임 개발자로 성장하고 싶은 신입 정지은입니다. 저는 문제를 끝까지 파고드는 습관과 협업 속도가 높아서 어떤 일이든 해낼 수 있다는 마인드를 장착하고있습니다. 아직 경험은 많지 않지만, 새로운 기술을 빠르게 학습하고 주도적으로 기능을 완성해보려는 태도는 누구보다 자신 있습니다. 귀사의 개발 환경 속에서 한 단계씩 성장하며, 유저가 즐길 수 있는 안정적인 게임을 만드는 데 기여하고 싶습니다. 감사합니다.</t>
  </si>
  <si>
    <t>저는 게임을 만드는 일을 해보고 싶었고 처음 접해보는 분야라 혼자 공부하는 것만으로는 방향을 잡기 어려워 본 과정에 참여하게 되었습니다. 기초 개념이 제대로 잡혀 있지 않다 보니 체계적인 교육의 필요성을 크게 느꼈습니다. 또한 실제 게임 개발이 어떤 흐름으로 진행되는지, 팀에서는 어떤 방식으로 소통하는지 경험해본 적이 없어 스스로 한계를 느꼈습니다. 그래서 기초부터 차근차근 배우고, 실습과 팀 프로젝트를 통해 직접 만들어보며 개발자의 사고방식을 익힐 수 있는 본 과정에 지원하게 되었습니다. 비록 경험은 부족하지만, 꾸준히 배우고 성장하고 싶은 의지는 누구보다 강합니다. 본 과정을 통해 기초를 확실히 다지고, 게임 개발자로 나아가기 위한 첫걸음을 제대로 만들고 싶습니다.</t>
  </si>
  <si>
    <t>솔직히 경험이 하나도 없습니다.</t>
  </si>
  <si>
    <t>게임개발자는 캐릭터의 모습, 움직임 등 화면전환이나 버튼을 구상하고 각 분야별로 맡은 역할을 한데 모아 한 게임을 만드는 일을 하는 것으로 알고 있습니다. 게임개발자도 클라이언트, 서버, 엔진, 툴 등 다양한 분야가 있는걸로 알고 있고 논리적인 사고와 협업능력, 게임에 대한 이해도나 감각이 어느정도는 있어야 할 수 있는 직업이라고 생각합니다.</t>
  </si>
  <si>
    <t>본 과정을 수료한 뒤에는 배운 내용을 바탕으로 기본 기능을 스스로 구현할 수 있는 신입 게임 클라이언트 개발자로 성장하는 것을 목표로 하고 있습니다. 우선 Unity와 C# 실력을 꾸준히 다져, 캐릭터 이동·UI 개발·데이터 처리 같은 기본 기능을 안정적으로 만들 수 있는 역량을 갖추고 싶습니다. 또한 개인 혹은 팀 프로젝트를 지속적으로 진행하며, 실제 게임처럼 동작하는 완성도 있는 포트폴리오를 구축하는 것이 첫 번째 목표입니다. 이를 통해 개발자로서의 실력을 객관적으로 보여줄 수 있는 작품을 만들고 싶습니다. 장기적으로는 모바일 게임 개발 분야에서 유저 경험을 고려한 기능 구현을 담당하는 개발자로 성장하고 싶습니다. 비록 시작은 늦고 경험은 부족하지만, 꾸준히 배우고 프로젝트를 반복하며 실력을 쌓아 실제 서비스되는 게임 개발에 참여하는 것이 최종 목표입니다.</t>
  </si>
  <si>
    <t>생계를 스스로 유지를 해야하는 상황이지만 그렇게 큰 어려움은 아닙니다 다만 경제적인 부분에서 교육만 들으며 어떻게 유지할지 고민이 클뿐입니다</t>
  </si>
  <si>
    <t>장기교육과정을 잘 견디고 들을 수 있을지 조금 걱정이 되기도하고 내가 생각했던 일과 크게 다른 부분이 느껴지게되면 어떡하나 하는 걱정이 됩니다..!</t>
  </si>
  <si>
    <t>jogwanghui8@gmail.com</t>
  </si>
  <si>
    <t>조광희</t>
  </si>
  <si>
    <t>동신대학교 군사학과</t>
  </si>
  <si>
    <t>사교성과 붙임성이 좋아 주변 사람들과 근무환경에 잘 동화하고 처음 하는 일에 있어 거부감이 없고 조기에 숙달할 수 있으며, 맡은 바 책임감이 강한 편입니다.</t>
  </si>
  <si>
    <t>어렸을때부터 다양한 웹과 게임들을 많이 접함으로써 관심을 키워왔으나, 20대는 군에서의 경험을 쌓았고, 전역 이후 관련 교육, 회사 취업등을 찾아보던 중 경일게임아카데미의 기획자 교육에 대해 알게 되어 지원하게되었습니다.</t>
  </si>
  <si>
    <t>게임기획자를 신청하였습니다. 웹과 게임 등을 어떻게 구성할지 아이디어를 내고 게임개발자를 통해 기획한 것을 실체화하여 테스트까지 하는 것으로 알고있습니다.</t>
  </si>
  <si>
    <t>게임기획자를 수료하여 경일게임IT아카데미에 지원할 예정입니다.</t>
  </si>
  <si>
    <t>해당 분야에 대해 관심은 항상 있었지만 현재까지 배움이 없었습니다. 지금부터라도 기회가 찾아온만큼 게임기획에 대해 잘 배워 해당분야에 종사하고 싶습니다!</t>
  </si>
  <si>
    <t>cminhyeong1999@gmail.com</t>
  </si>
  <si>
    <t>조민형</t>
  </si>
  <si>
    <t>인문고등학교 졸업</t>
  </si>
  <si>
    <t>안녕하세요, 유니티를 통하여 세상을 만들고 싶은 조민형입니다. 해당 수강을 들으면서 제 자신이 한층 발전하는 시간을 보내게 되었으면 좋겠습니다.</t>
  </si>
  <si>
    <t>경일아카데미에서 개설하기로 하였던 devops 풀스택 과정이 무산되었다고 하여서 기존에 관심을 가지고 있었던 유니티 과정을 이번기회에 신청하기로 하였습니다. 특히 제가 많이 즐겨하는 게임 중 하나가 원신인데 원신이 유니티 기반으로 개발되었다고 하여 더더욱 관심이 있어서 이번 기회에 신청하게 되었습니다.</t>
  </si>
  <si>
    <t>대학교에서 게임공학을 2학년 1학기까지 수강하다 자퇴를 하게 된 경험이 있습니다.</t>
  </si>
  <si>
    <t>모바일 게임 개발이나 VR 개발쪽에 관심이 있습니다.</t>
  </si>
  <si>
    <t>능력이 된다면 인디게임 제작을 도전해보고 싶고, 취업쪽으로는 게임회사를 목표를 정하고 싶습니다</t>
  </si>
  <si>
    <t>열심히 배워서 재밌는 게임 하나 만들어보고 싶습니다.</t>
  </si>
  <si>
    <t>youngmincho99@gmail.com</t>
  </si>
  <si>
    <t>조영민</t>
  </si>
  <si>
    <t>숭실대학교/벤처중소기업학과</t>
  </si>
  <si>
    <t xml:space="preserve"> 안녕하세요. 저는 게임을 정말 좋아해서 자연스럽게 게임 기획에 관심을 가지게 된 사람입니다. 여러 게임을 플레이하면서 항상 시스템이나 메커니즘을 빠르게 이해하고 ‘이 부분이 왜 이렇게 설계됐을까?’ 같은 고민을 즐겨왔습니다. 비전공자이긴 하지만 이런 관찰 습관 덕분에 기획자의 시선으로 게임을 바라보는 데 익숙해졌습니다.
 회사 생활을 하면서도 결국 제가 가장 몰입하는 건 게임과 구조를 분석하는 일이라고 생각했습니다. 그래서 뒤늦게라도 진짜 좋아하는 분야에 도전해보고 싶어 부트캠프를 지원하게 됐습니다. 기초부터 차근차근 배우면서 실제로 플레이어가 재미를 느낄 수 있는 시스템을 설계하는 기획자가 되고 싶습니다!</t>
  </si>
  <si>
    <t xml:space="preserve"> 저는 게임을 플레이하면서 시스템을 분석하고 구조를 이해하는 과정에서 큰 흥미를 느껴 게임 기획자로 더 나아가 게임 디렉터 진로를 결정했습니다. 하지만 비전공자라 독학만으로는 한계가 있다고 느껴지고 체계적으로 배우고 실제 프로젝트 경험을 쌓을 수 있는 본 과정을 신청했습니다. 기본기부터 기획 실습까지 제대로 배우며 취업까지 이어갈 실력을 진지하게 갖추고 싶습니다.</t>
  </si>
  <si>
    <t>게임 플레이 경험만 있고 학원, 타 부트캠프, 회사 등의 경험은 없습니다. 넥슨 회사의 다른 직무로 서류 합격 및 면접 경험 있습니다.</t>
  </si>
  <si>
    <t>게임 기획자는 여러 가지 분야로 존재하는데 시스템 기획, 콘텐츠 기획, 디자인 기획, UI 기획, 레벨링/전투 기획 등 중에서 시스템 기획이 전체적인 게임의 경제적인 부분을 기획하고 게임의 환경을 조성한다고 알고 있습니다. 또한 언리얼 엔진, 유니티 엔진을 통해서 게임을 구현하고 기획자 입장에서 개발에 대한 지식 또한 갖추면 정말 유용하고 게임을 더 깊이 이해할 수 있다고 알고 있습니다.</t>
  </si>
  <si>
    <t xml:space="preserve"> 수료 후에는 먼저 시스템 기획자로 취업해 다양한 게임 프로젝트를 경험하며 실무 역량을 쌓고 싶습니다. 게임의 구조와 메커니즘을 깊이 이해하면서 플레이어에게 재미를 주는 기획을 만드는 능력을 키우는 것이 첫 목표입니다. 장기적으로는 이러한 경험을 바탕으로 게임 전체의 방향과 전략을 제시할 수 있는 디렉터로 성장하는 것이 제 꿈입니다. 단순히 아이디어를 내는 것에 그치지 않고 실제로 팀과 협업하며 완성도 높은 게임을 만드는 과정을 주도하고 싶습니다</t>
  </si>
  <si>
    <t>학교 선배 및 후배</t>
  </si>
  <si>
    <t xml:space="preserve"> 저는 게임을 좋아하고 시스템을 분석하는 것을 즐기지만 비전공이라 부족한 부분이 많습니다. 이번 부트캠프를 통해 기획의 기초부터 실무 프로젝트까지 제대로 배우고 경험을 쌓아 실력을 빠르게 키우겠습니다. 도전을 두려워하지 않고 끝까지 책임감을 가지고 완주하겠습니다 감사합니다!</t>
  </si>
  <si>
    <t>0wjstjf10@gmail.com</t>
  </si>
  <si>
    <t>조준현</t>
  </si>
  <si>
    <t>구미대학교 비주얼게임콘텐츠학과</t>
  </si>
  <si>
    <t>제가 만든 루틴속에 유저의 성장을 즐겁게하는 재미를 기획을 하고 싶은 조준현입니다. 주로 하는 게임은 승리의 여신 니케, 트릭컬 리바이브, 그랑사가 키우기, 이터널 리턴 등의 게임을 하고있습니다.
특히 게임 기획자가 되기 위해서 학교생활중 여러 수업이나 공교육 행사등을 두루 다니며 노력했고 졸업을 4개월 정도 앞둔 지금 보완과 포트폴리오 프로젝트가 필요하다고 생각하여 지원하게 되었습니다</t>
  </si>
  <si>
    <t>몇안되는 게임잼 참여경력과 여러 게임제작과 관련한 잡지식이나 수업등을 두루 찾아다니며 대학생활을 하고 있으며 졸업을 앞두고 직접 프로그래머 지망생들과 프로젝트를 연결해주시고 기본부터 알려주시는 이번 기회를 알게 되어 신청하게 되었습니다. 스스로 포트폴리오를 제작하는 과정에서 저의 부족을 깨닫고, 붙잡아주시고 함께해주실 선생님이 간곡히 필요하다는것을 뼈저리게 느끼고 있습니다. 특히 제가 기획서 역기획서 분석서 등의 문서 작업을 할때 항상 사소한 고민부터 시작해 조금의 차질이라도 생기면 질문할곳이나 여쭈어볼 곳이 부족하여 포기부터 하게되었는데 이번기회에 도움을 많이 받고 취업을 하고 싶습니다.</t>
  </si>
  <si>
    <t>대전 SBS, 구미대학교 비주얼게임콘텐츠학과, 이븐아이, 충북글로벌게임센터 기획과정 수료</t>
  </si>
  <si>
    <t>밸런스 기획자, 콘텐츠 기획자, 시스템 기획자, 사업PM, 개발 PM, 시나리오 기획(라이터), 퀘스트 기획, 경제기획</t>
  </si>
  <si>
    <t>시프트업, 넷마블에 먼저 입사지원하여 붙고싶습니다. 굳이 2곳이 아니더라도 서브컬쳐 게임을 제작하는 개발 프로젝트면 좋습니다. 그외에는 이터널리턴이나 에피드게임즈, 콩스튜디오같은 제가 하는 혹은 했었던 게임사에 입사를 희망합니다</t>
  </si>
  <si>
    <t>1형당뇨, 인슐린 2종 ( 매일 1회투여 , 매일 7~8회 투여 ) 장기 훈련 과정중에도 병원 검진과 같은 피할  수 없는 일정외에는 질병으로 인한 수업에 지장 없습니다 ( 일반 노환 및 비만으로 발생하는 당뇨 아닙니다 )</t>
  </si>
  <si>
    <t>한살이라도 더 어릴때 게임업계에 취업하겠습니다</t>
  </si>
  <si>
    <t>jsephf01@gmail.com</t>
  </si>
  <si>
    <t>조현일</t>
  </si>
  <si>
    <t>전남도립대 자동차학과</t>
  </si>
  <si>
    <t>안녕하십니까 자동차 엔지니어링을 전공한 24살 조현일 입니다. 평소 어렸을 적부터 닌텐도를 시작으로 많은 콘솔게임과 온라인 게임을 즐겼습니다. 그러던 최근 시프트업의 첫 콘솔작 스텔라 블레이드를 감명 깊게 플레이하여 저도 이와 같은 혹은 더 재밌는 게임을 기획하며 제작하고 싶어 지원하였습니다.</t>
  </si>
  <si>
    <t>초등학교 2학년 가을쯤이 기억납니다. 제 용돈을 모아 처음으로 닌텐도 dsi 포켓몬스터 블랙 에디션을 구매했습니다. 당시 학교만 갔다 오면 포켓몬을 켜며 친구들과 통신대전도 즐겼던게 지금도 선명하게 기억납니다. 당시는 어려서 데미지 공식이나 제가 공들여 키운 포켓몬이 약한 개체값이라는 것도 일절 모르고 그저 즐겁게 플레이했습니다. 그렇게 시작된 콘솔 게이머 라이프는 초중고 쭉 이어졌습니다. 그러던 중 대학과 군대를 가며 바빠 콘솔게임을 손 놓았다가 최근 PC판으로도 출시한 시프트업의 스텔라 블레이드를 접하고 준수한 최적화에 놀라며 시간 가는 줄 모르고 집중해 플레이했습니다. 게임에 주요 시스템인 패링과 회피 조작 판정이 어려워 첫 스테이지 중간 보스를 10번이나 리트라이해야 했지만 스트레스보다는 순간순간 조작에 적응해 나가며 클리어하는 재미가 인상적이었습니다. 동시에 저도 이러한 게임을 만드는 방법을 성실히 배우고 더 재밌는 게임을 만들고 싶다는 마음에 지원하게 되었습니다. 감사합니다.</t>
  </si>
  <si>
    <t>중학교 3학년쯤 게임 원화를 sbs 아카데미에서 짧게 배운적이 있습니다 당시 토일 주말반에 포토샵을 사용해 게임 캐릭터 원화를 트레이싱하며 캐릭터의 비율이나 인체에 대해 약간 그리고 음영에 대해 배우던중 그만두고 제가 좋아하는 자동차쪽에 집중하였습니다.</t>
  </si>
  <si>
    <t>제가 알기로는 시스템 기획자, 콘텐츠 기획자, 레벨 디자이너, UI/UX 기획자, 테크니컬 디자이너, BM 기획자 등으로 알고 있습니다.</t>
  </si>
  <si>
    <t>제가 가장 희망하는 시프트업의 공고를 보면 게임 기획자이면서도 유니티에 대해 높은 이해도와 실무 능력을 요구하는 것으로 알고 있습니다. 경일 아카데미에서 게임기획 과정에 대한 기본기와 실무 능력을 키우며 유니티에 능숙해지는 것이 1차 목표이며 이를 활용해 입사해서도 꾸준히 배우며 끊임없이 자신을 발전시켜 시프트업의 차기작 프로젝트 스피릿이나 스텔라 블레이드2의 개발 일원으로서 참신하고 실용적인 기획을 도출하며 실무에 대해서도 각 파트의 실무자들을 빠르게 이해하고 협업하여 완성된 게임을 플레이하는 모든 유저분에게 게임이 할 수 있는 가장 즐거운 경험을 드리고 싶습니다.</t>
  </si>
  <si>
    <t>현재 독학을 시작한 지 얼마 안 된 노 베이스 인지라 게임 회사에서 원하는 유니티와 언리얼에 대하여 특히 강의에 있는 유니티에 대하여 심도 있게 배우고 싶은 마음이 큽니다. 과정 참여시 프로젝트 두 개가 있다고 사전에 안내 해주셔서 이와 관련해서도 성실히 참여하며 시프트업에서 게임기획자가 될 수 있도록 노력하겠습니다. 감사합니다</t>
  </si>
  <si>
    <t>jusiyoon@gmail.com</t>
  </si>
  <si>
    <t>주시윤</t>
  </si>
  <si>
    <t>전남대학교, 자율전공, 경제학과</t>
  </si>
  <si>
    <t>한번 하기로 한 일은 책임지고 성실하게 할 자신있습니다. 재무회계 공부하면서 데이터 분석의 중요성을 깨닫고 꼼꼼함을 익혔습니다. 적극적으로 수업에 임하는 학생이 되겠습니다.</t>
  </si>
  <si>
    <t>재무회계 쪽 진로를 생각하고 있었는데 실무경험이 없고 스펙도 부족해서 취업에 어려움을 겪고 있습니다. 게임을 자주 하는데 흥미가 있는 분야에서 공부하면 얼마나 제가 시너지를 만들면서 열심히 할지 궁금했습니다. 예전에 잃었던 저의 열의와 흥미를 되찾고 싶어서 신청하게되었습니다.</t>
  </si>
  <si>
    <t>게임개발자, 프로젝트 메니저, 게임디자이너</t>
  </si>
  <si>
    <t>게임 관련 실무 프로그램을 공부하여 취업에 성공하고 싶습니다.</t>
  </si>
  <si>
    <t>쉬는 시간이 있는지 궁금합니다. 진로 상담 받아보고 싶습니다. 자소서, 면접 준비도 해주시는지 궁금합니다.</t>
  </si>
  <si>
    <t>drake741236@gmail.com</t>
  </si>
  <si>
    <t>주재형</t>
  </si>
  <si>
    <t>서강대학교 컴퓨터공학과</t>
  </si>
  <si>
    <t>서강대학교 컴퓨터공학과를 졸업했습니다. 게임 프로그래머로 취업을 준비하고 있었는데 취업에 어려움을 겪어서 기획도 공부를 하려고 합니다. 유니티와 언리얼 엔진, 그리고 게임 서버 개발을 공부했습니다. 감사합니다.</t>
  </si>
  <si>
    <t>원래 게임 프로그래머를 목표로 취업 준비를 했었습니다. 하지만 결과가 원하는 대로 잘 나오지 않았습니다. 또한 포트폴리오를 위한 개인 작업물을 만드는 과정에서, 기획 능력이 없는 채로 게임을 만드는 것이 정말 힘들다는 것을 실감했습니다. 그래서 기획을 배우고 싶습니다.</t>
  </si>
  <si>
    <t>독학으로 언리얼 엔진과 유니티, 게임 서버를 공부했습니다.</t>
  </si>
  <si>
    <t>밸런스 기획자, 전투 기획자, 클라이언트 개발자, 서버 개발자, 아트</t>
  </si>
  <si>
    <t>좋은 회사에 취업하는 것이 1차적인 목표입니다. 궁극적으로는 내가 만들고 싶은 게임을 설계하고, 그것을 구현하는 능력을 모두 갖추는 것이 목표입니다.</t>
  </si>
  <si>
    <t>cowlgud9888@gmail.com</t>
  </si>
  <si>
    <t>채지형</t>
  </si>
  <si>
    <t>홍익대학교 게임소프트웨</t>
  </si>
  <si>
    <t>안녕하세여 게임기획자가 되고 싶은 채지형입니다. 전공으로 코딩을 했지만 예전부터 꿈은 기획자에 가까웠기 때문에 기획자에 대해 공부하고 되고 싶어 신청하게 되었습니다. 감사합니다.</t>
  </si>
  <si>
    <t>게임 개발 전공학과를 나와 기획에 대해서는 얕게 알려주시거나 거의 없었던 것으로 잘 안다뤘던 것 같습니다. 제가 원하는 분야는 기획에 관한 분야였어서 이번 과정에 신청하게 되었습니다.</t>
  </si>
  <si>
    <t>게임 소프트웨어전공을 해서 코딩, 유니티, 언리얼(조금),directX(조금) 경험이 있습니다.</t>
  </si>
  <si>
    <t>시스템기획자, 콘텐츠기획자, 레벨기획자, 전투,시나리오기획자</t>
  </si>
  <si>
    <t>취업에 성공해 기업의 mmorpg기획에 참여하고 싶습니다.</t>
  </si>
  <si>
    <t>휴학하고 오랜만에 하는 공부지만 최선을 다해서 수료하도록 노력하겠습니다.</t>
  </si>
  <si>
    <t>dudgus0565@pusan.ac.kr</t>
  </si>
  <si>
    <t>천영현</t>
  </si>
  <si>
    <t>대학교 재학(4학년)</t>
  </si>
  <si>
    <t>부산대학교/경영학과</t>
  </si>
  <si>
    <t>안녕하십니까, 부산대학교 경영학과 천영현입니다.
저는 창업이라는 명확한 목표로 경영학과에 진학했으며, 지난 1년간 웹/안드로이드 기획자로 4회의 프로젝트와 2회의 학술 동아리 활동을 통해 실무 역량을 성공적으로 쌓았습니다.
특히 프로젝트 경험에서는 PM으로서 개발 및 디자인 팀과의 협업을 조율하며 리더십과 책임감을 발휘했고, 다양한 의견을 하나로 모아 성공적인 결과물을 만드는 노하우를 체득했습니다.
또한, 전공 지식을 활용해 마케팅과 데이터 분석 역량을 기획에 접목하여, 사용자 중심의 아이디어를 현실화하고 더 나은 경험을 제공하는 데 기여했습니다. 이러한 경험과 강점을 바탕으로 게임 기획자로서 저의 역량을 마음껏 펼치고 싶습니다</t>
  </si>
  <si>
    <t>AI를 활용하여 전문적인 프로젝트를 진행하며, 창업을 목표로 했지만 목표와는 다르게 팀원 모집, 기술적 한계, 진입장벽등 여러요소로 인해 반쯤 포기를 한 상태였습니다. 그러던 중 실패는 모든 도전에서 나오고 성공 또한 모든 도전에서 비롯된 다는 생각이 들었고 직접 코딩을 배워 기획을 한다면 어떨까 라는 생각을 하게 됐습니다. 생각과 동시에 무작정 찾던 중 지리적 한계와 공급 부족에 포기했던 게임 기획을 보게 되어, 아직 젊기도 하고 후회할 수 있다는 생각이 들어 우선 도전을 해보자는 결정을 했습니다. 
과거 군제대 이후 빠른 복학을 택했던 이유도 선택의 갈림길에 서게 된다면 도전할 수 있는 시기와 기회를 얻고자 했기에 도전하게 됐습니다. 또한 1년간의 경험으로 기획자라는 직업이 적성에 맞음을 알게 되어, 게임 기획의 오랜 꿈과 전공을 살려서 조금 더 전문적으로 활동하기 위해서 지원하게 됐습니다.</t>
  </si>
  <si>
    <t>게임과 관련된 학습 및 업무의 경험은 없습니다.</t>
  </si>
  <si>
    <t>밸런스 기획자, 콘텐츠 기획자 같은 기본적인 것들만 인지하고 있습니다.</t>
  </si>
  <si>
    <t>수료 후 취업의 목표로는 넥슨, 크래프톤, 엔씨소프트와 같은 대기업에 들어가는 것이 제 최종 목표입니다. 개인적인 목표로는 기획자로서의 역량을 최대한 극대화하고 개발,디자인 직무의 업무 이해도를 높여 보다 성공적인 기획자가 되는 것이 목표입니다.</t>
  </si>
  <si>
    <t xml:space="preserve">1. 나이 관련: 게임 기획자 도전하기에 지금 저의 나이가 너무 이른 건 아닌지 궁금합니다. (혹은 '적절한 나이인지')
2. 실력과 노력에 대한 걱정: 기획 직무는 실력으로 평가받는다는 것을 잘 알고 있습니다. 그동안의 노력과 경험이 부족할 수도 있다는 막연한 두려움과 함께, 완전히 새로운 분야에서 다시 시작한다는 점에서 많은 걱정이 됩니다. 혹시 이러한 상황에서 조언을 구할 수 있을까요?
3. 외국어 능력 필요 여부: 게임 기획자에게 외국어 능력이 필수적인지 궁금합니다.
4. 필수 스펙: 게임 기획자로 취업하기 위해 꼭 갖춰야 할 필수 스펙이나 역량은 무엇인가요?
5. 게임 기획자 트렌드: 현재 게임 기획 분야의 주요 트렌드나 변화하고 있는 부분이 있다면 알고 싶습니다.
6. 초기 참여 어려움 (출결 관련): 15일까지 대학교 수업이 있어 8일부터 프로그램 참여가 어렵습니다. 그렇다 보니 그전은 결석으로 처리된다고 들었습니다. 초중고 모두 개근할 정도로 출석에 민감한 편이라 첫 시작부터 결석 처리되는 것이 염려됩니다. 혹시 8일부터 15일까지 참여가 어려운 기간에 대한 다른 해결 방안이 있을지 문의드립니다.
</t>
  </si>
  <si>
    <t>chlrkd2ek@gmail.com</t>
  </si>
  <si>
    <t>최강타</t>
  </si>
  <si>
    <t>전문대졸업</t>
  </si>
  <si>
    <t>학점은행제, 경영학과</t>
  </si>
  <si>
    <t xml:space="preserve">다른 세상을 접하는 걸 좋아합니다. 처음에는 게임이나 소설을 보면서 그저 경험하는 것만으로 만족했지만, 어느 순간부터 머릿속에서 상상해 나가기 시작했습니다. 그런 머리 안에만 있던 것들을 이제는 스스로 만들어 나가보고 싶습니다. </t>
  </si>
  <si>
    <t>게임을 만들고 싶다고 막연히 생각만 하다 기획과 그 외 관련된 것들을 배울 수 있는 경일아카데미를 알게되었습니다. 아카데미의 커리큘렴과 전문성, 기업과 연계하며 직접 게임을 만들어 보는 과정이 마음에 들어 신청하게 되었습니다.</t>
  </si>
  <si>
    <t>직접적으로 한 적은 없으나, 평소 관심이 있었기에 게임이 만들어지는 과정을 영상을 통해 간접적으로 접해 보긴 했습니다.</t>
  </si>
  <si>
    <t>게임개발기획자</t>
  </si>
  <si>
    <t>스스로 만족할 만한 게임들을 만들어 나갈 수 있는 역량과 목표를 가지고 사람들이 즐겁게 할 수 있는 그런 게임을 만들고 싶습니다.</t>
  </si>
  <si>
    <t>스스로 만족할 만한 게임을 만들자</t>
  </si>
  <si>
    <t>cjh1654@gmail.com</t>
  </si>
  <si>
    <t>최선동</t>
  </si>
  <si>
    <t>대학교 1학년 1학기 후 중퇴</t>
  </si>
  <si>
    <t>경희대학교 음악학과</t>
  </si>
  <si>
    <t>저는 고등학교 때부터 음악 전공을 했었습니다.
대학교를 중퇴하고 음악에 대해 회의감을 느껴 전공과는 다른 직무인 세무회계, 사회복지, 각종 서비스업 매니저 업무를 수행해 본 경험이 있습니다.
다양한 직종에서 일해봤지만 어느 한 곳에서 1년 이상 끈기 있게 근무해 본 경험이 없습니다.
저의 끈기가 부족하기도 했지만 업무의 성격들이 저와 맞지 않은 경우가 많았다고 생각합니다.
저는 현재도 제가 원하는 일을 찾기 위해 열심히 노력 중입니다.</t>
  </si>
  <si>
    <t>저는 예전부터 게임을 즐겨 하며 게임 음악에 대하여 관심이 많았습니다.
넥 x 네오 x 등 게임회사에 음악 관련 직무에 지원했었지만 서류면접도 떨어졌었습니다.
저는 게임에 대한 엔진 활용 및 기초지식조차 없어서 떨어진 게 아닐까 생각합니다.
개인 사정으로 인하여 음악은 포기하게 되었지만, 제가 플레이하는 게임에 대한 운영방식과 게임 프로그램 엔진에 대하여 배우고 게임 관련 직무에 의미를 두며 관련 회사에 입사하고
싶어 해당 프로그램에 지원하게 되었습니다.</t>
  </si>
  <si>
    <t>아니오, 없습니다.</t>
  </si>
  <si>
    <t>컨텐츠, 밸런스, 시스템 , 디자인 관련 기획자 , 프로그래머 등</t>
  </si>
  <si>
    <t xml:space="preserve">어느 곳이든 제가 배울 수 있는 것이 있다면 취업하여 열정적으로 실무 일을 배우고
삶에 지친 사람들에게 편안한 휴식이 될 수 있는 게임에 힘을 쓰고싶습니다. </t>
  </si>
  <si>
    <t>전세로 이사오느라 모아둔 목돈이 없는 상태. 하지만 주말에 아르바이트 병행하여
유지해볼 예정,</t>
  </si>
  <si>
    <t>제가 잘 따라갈 수 있을지가 걱정이네요, 열심히 해보겠습니다.</t>
  </si>
  <si>
    <t>mangobear1217@gmail.com</t>
  </si>
  <si>
    <t>최유택</t>
  </si>
  <si>
    <t>32살 (94년생)</t>
  </si>
  <si>
    <t>고졸입니다!</t>
  </si>
  <si>
    <t>안녕하세요 게임 기획자를 지망하고 있는 최유택입니다. 레벨 디자이너로 취업을 하고싶어서 콜로소로 강의도 듣고 관련 책도 사서 읽는 등 독학을 하고 있습니다. 게임 기획에 관해 검색을 하던 중에 우연히 부트캠프를 발견했습니다. 혼자 막막했는데 곁에 함께하는 분들이 계시면 너무 든든할 거 같다는 생각이 들어서 지원하게 됐습니다. 32살이라는 나이에 새로운 분야로 취업을 도전한다는 게 쉽지 않지만 그만큼 간절하기도 합니다. 잘 부탁드립니다!</t>
  </si>
  <si>
    <t>게임 회사에 기획자로 입사를 희망하고 있습니다. 이제 막 걸음마 단계라 혼자서 레벨 디자인 및 콘텐츠 기획에 관한 공부를 하고 있었습니다. 어떻게 준비를 해야할지 막막하던 와중에 부트캠프를 발견했습니다. 전략적으로 그리고 열심히 준비해서 꼭 취업하고 싶습니다.</t>
  </si>
  <si>
    <t>콜로소 온라인 강의만 들어봤습니다.</t>
  </si>
  <si>
    <t>레벨 디자이너, 시스템 기획자, 콘텐츠 기획자, 시나리오 기획자, 퀘스트 기획자 등등</t>
  </si>
  <si>
    <t>포트폴리오를 잘 준비해서 꼭 취업하고 싶습니다. 회사 근처로 이사도 가고 여자친구랑 결혼 준비도 하고 게임 기획자로서, 가장으로서 착실하게 살고싶습니다.</t>
  </si>
  <si>
    <t>기획에도 여러 파트가 있는 것으로 알고 있습니다. 모든 파트를 깊이 공부하기 보다 제가 가고자하는 파트 위주로 뾰족하게 준비해서 꼭 취업에 성공하고 싶습니다.</t>
  </si>
  <si>
    <t>dream8837z@gmail.com</t>
  </si>
  <si>
    <t>최한빈</t>
  </si>
  <si>
    <t>33(92년생)</t>
  </si>
  <si>
    <t>단국대학교 문예창작과</t>
  </si>
  <si>
    <t>안녕하세요, 방송/전시/메타버스 등 다양한 디지털 콘텐츠 제작 경험과 경력을 살려 메이저 게임 기획자로 성장하고자 하는 최한빈이라고 합니다. 게임에만 1만 시간 이상, 기획에도 1만 시간 이상 총 2만 시간을 보낸 제 삶에서의 순간을 토대로 사람들이 사랑하는 게임을 만드는 것이 목표입니다.</t>
  </si>
  <si>
    <t>일을 하고 싶은 욕구가 가장 큽니다. 다만 잘하기 위해선 경쟁력과 지식을 키워야 합니다. 때문에 본 교육으로 게임 기획과 개발에 대한 전반적인 지식 및 이해도를 향상시키고 차별화된 포트폴리오를 제작하고자 합니다. 그리고 궁극적으론 게임 기획과 개발을 동시에 할 수 있는 올라운더가 되어 주목받는 인재로 성장하는 것이 목표입니다.</t>
  </si>
  <si>
    <t>(주)아크나인 - 박물관 게임 콘텐츠 기획(유니티 엔진)(2년 5개월)
(주)메타버즈 - 메타버스 게임(RPG, 시뮬레이션 등, 유니티 엔진)(2년 1개월) 기획</t>
  </si>
  <si>
    <t>게임기획자는 전투나 경제 등의 밸런스, 콘텐츠, 퀘스트, 캐릭터 디자인, UI/UX, 스토리 기획 등으로 분류된다고 알고 있습니다. 상기 분류의 업무는 이전 회사에서 일부 경험하였으나 본격적으로 시도하고자 지원하게 되었습니다.</t>
  </si>
  <si>
    <t>게임 기획자로 취직하는 것이 목표입니다. 제 삶과 시간을 맡길 수 있는 곳에서 제가 가진 역량을 최대치로 발휘해 회사와 함께 성장하는 게임 기획자가 되고 싶습니다.</t>
  </si>
  <si>
    <t>생활비가 부족한 상황입니다.</t>
  </si>
  <si>
    <t>실제 취업률은 얼마나 되는지, 제 나이에도 게임 기획자로 취직이 가능한지, 취업지원은 어떤 방향으로 이뤄지는지 등 교육 수료 후 취업과 연계되는 상세 과정이 궁금합니다. 그리고 9 to 6로 교육이 진행되는 것으로 알고 있는데 시간대별 스케쥴도 있는지 궁금합니다.</t>
  </si>
  <si>
    <t>swrcprn@gmail.com</t>
  </si>
  <si>
    <t>표훈</t>
  </si>
  <si>
    <t>대학교 3학년 재학</t>
  </si>
  <si>
    <t>삼육대 경영학과</t>
  </si>
  <si>
    <t>안녕하세요 저는 삼육대 경영학과 3학년 재학중인 표훈입니다. 
게임 기획에 관심이 많아 교내 게임개발 동아리와 게임개발 프로젝트팀으로 경험의 폭을 넓히고 있습니다. 전국 기획 팔랑크스 연합 동아리내 30주차를 졸업 준비하고 있으며, 주로 게임 기획과 레퍼런스에 대해 작성했습니다. 게임이외에 기획의 폭을 넓히고자 내년 기획 앰버서더 모집을 준비하고 있습니다. 감사합니다.</t>
  </si>
  <si>
    <t>게임 기획에 대한 디테일과 개발, 아트에 달하는 다양한 분야까지 간접적으로 경험하고 싶어서 참여 신청하였습니다. 게임내 경험은 많지만 개발까지 진행한 경험이 적어서 이번 기회를 놓치지 않고 싶었습니다.</t>
  </si>
  <si>
    <t>교내 프로젝트만 경험했습니다.</t>
  </si>
  <si>
    <t>게임 기획자에서의 밸런스, QA, 마케팅, CS 관리자 등을 알고 있습니다.</t>
  </si>
  <si>
    <t>게임 기획 페이지를 당당하게 보여줄수 있는 기획자와 저만의 차별화된 인싸이트를 창출하고 싶습니다.</t>
  </si>
  <si>
    <t>김성회 지식백과 광고를 통해서 배웠습니다.</t>
  </si>
  <si>
    <t>제가 12월 8일부터 진행하는 수업이 학교 기말고사입니다, 그래서 한주동안 한시간씩 수업을 치루고 나머지 부분은 성실하게 이행하고자하는데 혹시 이에 관한 부분을 감안해주실 있는지 여쭙고 싶습니다. 이외에는 성실하게 이행하겠습니다!</t>
  </si>
  <si>
    <t>hgy091@naver.com</t>
  </si>
  <si>
    <t>한가영</t>
  </si>
  <si>
    <t>서울디지털대학교 AI소프트웨어공학과</t>
  </si>
  <si>
    <t>비전공자로 초보지만 하는데까지 열심히 해보겠습니다.
게임기획자를 꿈꾸는데 꼭 취업까지 성공하고싶습니다.</t>
  </si>
  <si>
    <t>게임기획자가 되고싶어서요 열심히 참여를 하여 좋은 게임 만들어서 
제 가족들 먹여살리고 싶습니다. 열심히 하여 실질적은 결과를 만들어 내고 싶습니다.
꿈을 꾸었지만, 꿈꾸기만 하지않고 실제로 이뤄보고싶습니다!</t>
  </si>
  <si>
    <t>게임기획자,게임개발자</t>
  </si>
  <si>
    <t>게임 개발자 또는 기획자가 되어서 좋은 게임을 만들고싶습니다</t>
  </si>
  <si>
    <t>우울증 약을 먹고있습니다.</t>
  </si>
  <si>
    <t>아이가 있습니다. 5살딸아이. 남편은 25년 9월달에 별세하였습니다.</t>
  </si>
  <si>
    <t>꼭 좋은게임 유명한 게임 만들고 싶습니다</t>
  </si>
  <si>
    <t>hanuiho98@gmail.com</t>
  </si>
  <si>
    <t>한의호</t>
  </si>
  <si>
    <t>서올호서직업전문학교 애니메이션&amp;게임그래픽과</t>
  </si>
  <si>
    <t>웹툰 작가로 목표로 준비 하다가 어려움을 느껴 고민하다가 가장 관심이 많은 분야인 게임과 관련된 직업을 찾아 기획자로서 진로를 결정했습니다. 잘 부탁드립니다.</t>
  </si>
  <si>
    <t>웹툰 작가를 목표로 준비 하였으나 어려움을 느끼고 진로를 변경 하게 되었습니다. 2D 원화, 3D 그래픽 등의 아트 계열 직군으로 가기에는 경쟁력이 떨어진다고 판단 하였고 프로그래밍 쪽도 마찬가지 이지만 이전에 그림을 그리던 경험이 기획 파트에서는 가산점으로 적용 되지 않을까 싶어 타 직군이 아닌 기획자로서 진로를 결정하였습니다.</t>
  </si>
  <si>
    <t>전문학교에서 2D 그래픽을 배웠으나 제가 주로 사용하는 프로그램이 다르고 배운지 시간이 많이 지났기에 사실상 전무 한 수준입니다.</t>
  </si>
  <si>
    <t>밸런스 기획, 시나리오, 레벨 디자인, 이벤트 기획</t>
  </si>
  <si>
    <t>단기적인 목표로는 기획자로서 취업 및 경력을 쌓아가는 것이고 장기적인 목표로는 제가 만들고 싶었던 게임을 제작 하는 것입니다.</t>
  </si>
  <si>
    <t>당뇨</t>
  </si>
  <si>
    <t>가정에 빚이 있습니다.</t>
  </si>
  <si>
    <t>열심히 성실하게 배우고 꼭 취업에 성공하겠습니다.</t>
  </si>
  <si>
    <t>mutunt3668@gmail.com</t>
  </si>
  <si>
    <t>한재현</t>
  </si>
  <si>
    <t>완산고등학교 자연계</t>
  </si>
  <si>
    <t>안녕하세요. 게임을 좋아하여 게임을 만들어 보고 싶은 한재현 입니다. 게임 그래픽 관련 경험을 1년간 배워 본 경험이 있고, 그 경험을 토대로 이펙트 효과를 만들어 보는 등, 게임 엔진에서 여러 작업을 해 보았습니다. 또한 개발, 혹은 관련 작업에 여전히 관심이 있기에 이번 신청을 기회 삼아 본격적으로 배우고 싶습니다. 이 경험을 통해 제가 만들고 싶었던 것을 만들어 보고 싶습니다.</t>
  </si>
  <si>
    <t>본래 게임 개발 관련으로 취업을 생각하던 학생으로서, 놓친 기회를 다시 붙잡고 싶었습니다. 게임 기획, 개발이라는 것이 재미가 있음을 넘어서 상상하던 것을 실현할 수 있다는 점에서 제 관심을 강하게 붙잡았습니다. 이번 기회를 통해 기획과 개발의 경험을 쌓고 최종적으로는 취업과 같은 활동을 통하여 저의 꿈을 실현하고 싶어서 이 프로그램에 참여 신청을 하게 되었습니다.</t>
  </si>
  <si>
    <t>호서 전문 학교에서 1년간 관련 교육을 받은 경험이 있습닏다.</t>
  </si>
  <si>
    <t>이펙트 디자이너, 게임 일러스트레이터, 시나리오 작가, 맵(배경)디자이너, 캐릭터 디자이너 등</t>
  </si>
  <si>
    <t>취업을 목표로 하고 있지만, 결과적으로 이 경험을 통해 제가 만들고 싶었던 게임을 구현하고 싶은 것이 최종 목표입니다.</t>
  </si>
  <si>
    <t>우울증, ADHD 관련</t>
  </si>
  <si>
    <t>불안정안 수입원</t>
  </si>
  <si>
    <t>인터넷(유튜브)</t>
  </si>
  <si>
    <t>혼자 배우는 것엔 익숙하지만 여러 사람들과 함께 하는 일이나 과제는 늘 어렵고 곤란한 부분이었습니다. 또한 끈기가 부족한 저로써는 많거나 높은 난이도의 과제를 끝까지 완수하지 못 했습니다. 분명 이번에도 그럴 것을 알지만, 스스로를 발전 시켜보는 계기가 될 만큼 좀 더 익숙해지고 내가 할 수 있다는 경험을 해 보고 싶습니다.</t>
  </si>
  <si>
    <t>bakafenxiguan@gmail.com</t>
  </si>
  <si>
    <t>한재환</t>
  </si>
  <si>
    <t>27세(98년생)</t>
  </si>
  <si>
    <t>대진대학교(생물학과, 휴학)</t>
  </si>
  <si>
    <t>편의점, 홈플러스, 다이소에서 일하다가 꿈을 쫒고 싶은 마음이 강해졌습니다.
그래서 가장 좋아하던 게임 혹은 문학에 마지막으로 불 태워보고 싶어 이곳저곳 찾다가
가장 평가가 좋은 이곳에 지원하게 되었습니다.</t>
  </si>
  <si>
    <t>꿈과 전혀 상관없는 근무 그리고 백수로 한심스럽게 긴 시간을 보냈기에
정말 마지막이라는 생각으로 그동안 잃어버린 노력과 흥미를 다시 되살려 내 꿈인 게임 관련 직장을 다니기 위해 지원하게 되었습니다.</t>
  </si>
  <si>
    <t>아쉽지만 없습니다.</t>
  </si>
  <si>
    <t>레벨 디자인, 스토리 기획자, 이벤트 기획자, 던전 기획자</t>
  </si>
  <si>
    <t>수료 후 게임 업계에 취직해 점점 나아가 제 꿈의 직장인 넥슨에 들어가 이름을 알리고 싶습니다.</t>
  </si>
  <si>
    <t>반드시 열심히 배워 게임 회사에 취직하겠습니다.
많은 도움 부탁드립니다.</t>
  </si>
  <si>
    <t>han87pink@gmail.com</t>
  </si>
  <si>
    <t>한정한</t>
  </si>
  <si>
    <t>38살</t>
  </si>
  <si>
    <t>혜천대학 이벤트연출 서울사이버대학 특수심리치료</t>
  </si>
  <si>
    <t>다양한 서비스 업의 관리자와 다양한 자격증과 다양한 경험을 체득한 사람입니다 이제는 새로운 스킬을 배우고자 지원했습니다</t>
  </si>
  <si>
    <t>저는 평소 게임을 분석하고 개선점을 고민하는 것을 즐겼습니다. 이 부트캠프를 통해 게임 기획에 대한 체계적인 지식과 실무 경험을 쌓아, 사용자에게 즐거움을 선사하는 매력적인 게임을 직접 만들고 싶습니다. 현직자의 멘토링을 받아 제 잠재력을 폭발시키고, 업계에서 인정받는 기획자로 빠르게 성장하는 것이 목표입니다.</t>
  </si>
  <si>
    <t xml:space="preserve">아쉽게도 없습니다 여기서 열심히 배워 보겠습니다 </t>
  </si>
  <si>
    <t>게임 기획자는 게임을 만드는 모든 과정을 이끄는 사령관과 같습니다. 단순히 아이디어만 내는 것이 아니라, 어떤 재미와 경험을 플레이어에게 줄지 고민하며 게임의 핵심 컨셉과 규칙, 스토리, 레벨 디자인 등을 구체적으로 설계합니다. 개발팀(프로그래머, 아티스트 등)이 하나의 비전을 가지고 움직일 수 있도록 문서화하고 소통하며 전체 프로젝트를 조율하는 중요한 역할을 합니다. 한마디로, '재미있는 게임'을 현실로 만들어내는 사람이라고 할 수 있습니다</t>
  </si>
  <si>
    <t>전 늘 새로운 분야에 강합니다 이번 부트캠프를 통해 새로운 사람으로 태어나서 새로운 업계에서 오랫동안 사랑받고 인정받는 사람이 되겠습니다</t>
  </si>
  <si>
    <t xml:space="preserve">코로나로 인해 오랜 구직생활 </t>
  </si>
  <si>
    <t>만약 기회가 되어서 부트에 참여한다면 최선을 다해 새로운 기술을 익혀서 새롭게 태어나겠습니다</t>
  </si>
  <si>
    <t>tarentella92@gmail.com</t>
  </si>
  <si>
    <t>한지우</t>
  </si>
  <si>
    <t>대구예술대학교 한국미술컨텐츠학과</t>
  </si>
  <si>
    <t>안녕하세요 제 이름은 한지우라고 합니다. 34살이구요  취미는 그림그리기랑 유튜브시청, 음악듣기와 게임이 있습니다 게임을 워낙 좋아해서 여러가지 게임을 해본것 같습니다 적성에 맞는 게임은 rpg게임류를 전반적으로 오래 재미있게 즐긴것같아요! 롤,사이퍼즈,클로저스,엘소드를 했었고 지금도 rpg게임을 즐겨하고 있습니다.라테일,아이온2를 플레이하고 있구요 성격은 차분한편이고 조용한편입니다 같이 꾸준하게 열심히 수업 들으면 좋겠습니다. 감사합니다.</t>
  </si>
  <si>
    <t xml:space="preserve">부끄럽지만 학창시절 가정불화로 인해 많이 힘들었던 적이 있었습니다. 때문에 자신감과 자존감이 많이 떨어졌었는데, 온라인 게임을 하면서 안좋은 감정들을 잠시나마 잊고 새로운 친구들을 알게 되면서 자존감을 채울 수 있었습니다. 이제는 제가 개발자가 되어 저처럼 힘들어하는 다른 사람들에게 용기를 줄 수 있는 개발자가 되고 싶어 신청하게 되었습니다. </t>
  </si>
  <si>
    <t>무경험자 입니다.</t>
  </si>
  <si>
    <t>전투 기획자, 시스템 기획자, 컨텐츠 기획자, 시나리오 기획자</t>
  </si>
  <si>
    <t xml:space="preserve">앞서도 이야기 했지만, 수료를 하고 성공적으로 취업하게 되면, 저처럼 힘들어하는 다른 사람들에게 용기를 줄 수 있는 개발자가 되고 싶어 신청하게 되었습니다. </t>
  </si>
  <si>
    <t>나이가 좀 있고 사회 경험이 적은 편이라 취업이 잘 될지 걱정입니다.</t>
  </si>
  <si>
    <t>w01047898667@gmail.com</t>
  </si>
  <si>
    <t>홍태광</t>
  </si>
  <si>
    <t>영남이공대 디자인스쿨</t>
  </si>
  <si>
    <t>안녕하세요. 홍태광이라고 합니다. 저는 디자인 쪽을 전공했으며 이때까지 캐릭터 디자인을 연습해왔으며 최근까지 그림 커미션을 받으며 지내왔습니다.</t>
  </si>
  <si>
    <t>나라의 부름을 받아 사회복무를 진행하는 도중에 잠시 그 길에서 멈추게 되었고 문득, 한 생각이 떠오르게 되었습니다. 
'나는 왜 캐릭터를 잘 그리려 했을까?' 
그런 생각이 들자, 저는 제가 관성적으로 해오던 일들을 멈추고, 생각을 해봤지만 실행해보지는 않은 일들을 시도해보기 시작했습니다. 그 중 하나가 게임 기획이었습니다.
머릿속으로 생각하며 메모장에 끄적이는 어줍잖은 기획은 상당히 재밌었습니다. 그리고 제가 미처 생각하지 못한 부분까지 설계를 해야한다는 사실을 배웠으며 이 기획을 검증하기 위해서는 코딩 지식이 필요하다고 느꼈습니다. 이는 자연스레 적절한 교육의 필요성을 체감하였고 이 부트캠프에 신청을 하게되는 계기가 되었습니다.</t>
  </si>
  <si>
    <t>학원과 대학교에서 2d 캐릭터 디자인, 3ds max와 Blender를 이용한 객체 모델링, Spine을 이용한 캐릭터 애니메이션 방법을 배웠습니다.</t>
  </si>
  <si>
    <t>게임 밸런스 기획자, BM 설계 기획자, 이벤트 콘텐츠 기획자, 프론트엔드, 백엔드 개발자</t>
  </si>
  <si>
    <t>넥슨, 펄어비스 같은 기업의 인턴십을 신청하여 합격하는 것이 당장의 목표입니다.</t>
  </si>
  <si>
    <t>현재 제 목표는 작심삼일이 되지 않도록 노력하는 것입니다.</t>
  </si>
  <si>
    <t>인터뷰 데이터</t>
  </si>
  <si>
    <t>평가 기준</t>
  </si>
  <si>
    <t>기본 정보</t>
  </si>
  <si>
    <t>평가자</t>
  </si>
  <si>
    <t>면접의 증빙 자료로  녹화본, 캡처본, 평가표를 작성해야합니다.</t>
  </si>
  <si>
    <t>이메일</t>
  </si>
  <si>
    <t>드라이브</t>
  </si>
  <si>
    <t>https://drive.google.com/drive/folders/1swEGp9Mvwz3dJC394GfFeoHWFPm-j7By?ths=true</t>
  </si>
  <si>
    <t>모집페이지</t>
  </si>
  <si>
    <t>adm.develrocket.com</t>
  </si>
  <si>
    <t>최종학력</t>
  </si>
  <si>
    <t>성별</t>
  </si>
  <si>
    <t>나이</t>
  </si>
  <si>
    <t>질문/안내 리스트</t>
  </si>
  <si>
    <t>지원 동기</t>
  </si>
  <si>
    <t>- 왜 기획자가 되고 싶은가. ( 게임을 만든다면, 개발자도 있는데 )  + 기획자는 무엇을 하는 사람이라고 생각하는가</t>
  </si>
  <si>
    <t xml:space="preserve">- 기획자로서 달성하고 싶은 목표가 있는가        </t>
  </si>
  <si>
    <t>캠/마이크 보유</t>
  </si>
  <si>
    <t>지인 중 업계 종사자</t>
  </si>
  <si>
    <t>추천인</t>
  </si>
  <si>
    <t>가능성</t>
  </si>
  <si>
    <t>- 기획자에게 가장 중요한 것은 무엇이라고 생각하는가</t>
  </si>
  <si>
    <t>기타 정보</t>
  </si>
  <si>
    <t xml:space="preserve">- 게임 기획자에게 게임 경험은 재산이다. 어떤 게임을 플레이 해왔는가? 왜 재미있는가? </t>
  </si>
  <si>
    <t>지병 / 질환</t>
  </si>
  <si>
    <t xml:space="preserve">- 본인의 강점/약점은? 또는 쌓고 싶은 강점은?        </t>
  </si>
  <si>
    <t>수업</t>
  </si>
  <si>
    <t>- 주5일 9 to 6로 진행되는 과정이며, 자신의 성장을 위해서는 추가 시간도 활용하는 것이 유리하다. 수업 진행에 문제는 없는가</t>
  </si>
  <si>
    <t>경제적인 어려움</t>
  </si>
  <si>
    <t>- 기획자는 여러 파트와 협업하고 다른 사람들 앞에서 자신의 생각을 이야기할 수 있어야 한다. 따라서 팀 작업과 발표가 진행되는데 괜찮은가</t>
  </si>
  <si>
    <t xml:space="preserve">- 학원에서 MSOffice(워드, 엑셀, PPT) 사용법은 알려주지 않는다. 스스로 학습해야한다        </t>
  </si>
  <si>
    <t>게임과 관련 학습/업무 경험</t>
  </si>
  <si>
    <t>과정 중 기관과 타 훈련생에게 어려움을 주지 않을 것으로 판단</t>
  </si>
  <si>
    <t>면접에 임하는 태도</t>
  </si>
  <si>
    <t>면접참여시간 준수</t>
  </si>
  <si>
    <t>행동, 자세, 표정, 말투(표현), 의사소통, 질문/답변의 진정성</t>
  </si>
  <si>
    <t>면접 참여 시간 및 연락상태</t>
  </si>
  <si>
    <t>우수</t>
  </si>
  <si>
    <t>면접 자세가 우수하고 질문/답변이 우수하다</t>
  </si>
  <si>
    <t>시간 전에 미리 들어와 설정을 마쳤다</t>
  </si>
  <si>
    <t>양호</t>
  </si>
  <si>
    <t>면접 자세는 준수하나 답변의 깊이가 얕다</t>
  </si>
  <si>
    <t>시간에 맞춰서 들어왔다</t>
  </si>
  <si>
    <t>기본 소양</t>
  </si>
  <si>
    <t>보통</t>
  </si>
  <si>
    <t>의사소통은 가능하다</t>
  </si>
  <si>
    <t>5분 미만 지각</t>
  </si>
  <si>
    <t>타인과 갈등 속에서 어떻게 대처하는가</t>
  </si>
  <si>
    <t>미흡</t>
  </si>
  <si>
    <t>소통은 가능하나 표현이 거칠고 불량하다</t>
  </si>
  <si>
    <t>5분 이상 지각</t>
  </si>
  <si>
    <t>긴급</t>
  </si>
  <si>
    <t>의사소통에 어려움이 있다</t>
  </si>
  <si>
    <t>연락 두절</t>
  </si>
  <si>
    <t>자신의 실수나 실패에 어떻게 대응하는가</t>
  </si>
  <si>
    <t>직무에 대한 열정</t>
  </si>
  <si>
    <t>자기소개</t>
  </si>
  <si>
    <t>신청 이유</t>
  </si>
  <si>
    <t>타인의 부족한 부분이 보였을 때는?</t>
  </si>
  <si>
    <r>
      <rPr>
        <sz val="11"/>
        <color theme="1"/>
        <rFont val="Arial"/>
        <family val="2"/>
      </rPr>
      <t xml:space="preserve">기획자를 목표하는 자신을 소개, </t>
    </r>
    <r>
      <rPr>
        <sz val="11"/>
        <color rgb="FF980000"/>
        <rFont val="Arial"/>
        <family val="2"/>
      </rPr>
      <t>서류와 다름이 없는지</t>
    </r>
    <r>
      <rPr>
        <sz val="11"/>
        <color theme="1"/>
        <rFont val="Arial"/>
        <family val="2"/>
      </rPr>
      <t xml:space="preserve"> 확인</t>
    </r>
  </si>
  <si>
    <r>
      <rPr>
        <sz val="11"/>
        <color theme="1"/>
        <rFont val="Arial"/>
        <family val="2"/>
      </rPr>
      <t xml:space="preserve">명확한 이유와 그동안의 행동,  </t>
    </r>
    <r>
      <rPr>
        <sz val="11"/>
        <color rgb="FF980000"/>
        <rFont val="Arial"/>
        <family val="2"/>
      </rPr>
      <t>서류와 다름이 없는지</t>
    </r>
    <r>
      <rPr>
        <sz val="11"/>
        <color theme="1"/>
        <rFont val="Arial"/>
        <family val="2"/>
      </rPr>
      <t xml:space="preserve"> 확인</t>
    </r>
  </si>
  <si>
    <t>알고있는 취업 분야</t>
  </si>
  <si>
    <t>상황에 맞는 자기소개서를 준비해 왔다</t>
  </si>
  <si>
    <t>명확한 이유와 사전에 쌓아온 행동들이 있다</t>
  </si>
  <si>
    <t>상황에 맞게 자신을 소개할 수 있다</t>
  </si>
  <si>
    <t>명확한 이유는 있으나 행동은 없었다</t>
  </si>
  <si>
    <t>미흡하지만 상황에 맞는 소개를 했다</t>
  </si>
  <si>
    <t>추상적이지만 이유가 있다</t>
  </si>
  <si>
    <t>유복한 가정에서 1남 1녀 중 첫째로 태어났다</t>
  </si>
  <si>
    <t>그냥 한번 배워보자</t>
  </si>
  <si>
    <t>소개</t>
  </si>
  <si>
    <t>자기소개를 거부하거나 거짓이 있다</t>
  </si>
  <si>
    <t>답변을 거부하거나 이야기에 거짓이 있다</t>
  </si>
  <si>
    <t>수료 후 목표</t>
  </si>
  <si>
    <t>교육과정 참여와 취업에 대한 각오 및 다짐</t>
  </si>
  <si>
    <r>
      <rPr>
        <sz val="11"/>
        <color theme="1"/>
        <rFont val="Arial"/>
        <family val="2"/>
      </rPr>
      <t xml:space="preserve">명확한 목표와 계획, </t>
    </r>
    <r>
      <rPr>
        <sz val="11"/>
        <color rgb="FF980000"/>
        <rFont val="Arial"/>
        <family val="2"/>
      </rPr>
      <t>서류와 다름이 없는지</t>
    </r>
    <r>
      <rPr>
        <sz val="11"/>
        <color theme="1"/>
        <rFont val="Arial"/>
        <family val="2"/>
      </rPr>
      <t xml:space="preserve"> 확인</t>
    </r>
  </si>
  <si>
    <t>수업(9시~6시), 발표, 팀작업, 프로젝트 밤/주말작업 등 가능한지</t>
  </si>
  <si>
    <t>구체적인 목표와 앞으로의 로드맵이 있다</t>
  </si>
  <si>
    <t>도전에 긍정적이고 수업 참여 의사가 강하다</t>
  </si>
  <si>
    <t>추상적이지만 목표가 있고 계획도 있다</t>
  </si>
  <si>
    <t>힘들겠지만 열심히 해보겠다</t>
  </si>
  <si>
    <t>추상적이지만 목표는 있다</t>
  </si>
  <si>
    <t>여건상 추가로 노력하기 어렵다</t>
  </si>
  <si>
    <t>배워보면 어떻게든 되겠지...</t>
  </si>
  <si>
    <t>힘든건 하기 싫고 편하게 듣고 싶다</t>
  </si>
  <si>
    <t>답변을 거부하거나 부정적인 태도를 보인다</t>
  </si>
  <si>
    <t>수료까지 참여할 수 있는 상황</t>
  </si>
  <si>
    <t>지원자가 교육과정을 수행하기 위해 생각한 계획 및 준비</t>
  </si>
  <si>
    <t>지원자가 교육과정에 집중할 수 있도록 하기 위해 공유하고 싶은 사항</t>
  </si>
  <si>
    <t>본 과정에 참여를 신청한 이유</t>
  </si>
  <si>
    <t>공부할 환경을 만들었는가 ( 필요한 것, 위험요소의 인지 )</t>
  </si>
  <si>
    <t>지병/경제적 여건, 타업(알바/대학)병행, 주변 가족들의 지지</t>
  </si>
  <si>
    <t>스스로에게 필요한 것을 알고 계획을 해두었다</t>
  </si>
  <si>
    <t>과정에만 집중하여 교육에 임해보겠다</t>
  </si>
  <si>
    <t>수업에 문제가 없도록 환경을 준비했다</t>
  </si>
  <si>
    <t>주말에 단기 알바정도만 하고 있고 평일은 괜찮다</t>
  </si>
  <si>
    <t>문제 없을 것 같지만 생각해보지 않았다</t>
  </si>
  <si>
    <t>다른 일과 병행하고 있지만 해보겠다</t>
  </si>
  <si>
    <t>여행 등 우선시되는 계획이 있긴 하다</t>
  </si>
  <si>
    <t>지병이 있으나 약을 먹고 있고 알바도 하고 있다</t>
  </si>
  <si>
    <t>수업 진행에 문제가 될 위험요소가 있다</t>
  </si>
  <si>
    <t>과정을 정상적으로 수강하기 어려운 상황이다</t>
  </si>
  <si>
    <t>보유 역량</t>
  </si>
  <si>
    <t>교육과정에 대한 기존 학습 경험</t>
  </si>
  <si>
    <t>교육과정에 대해 기대하거나 바라는 내용</t>
  </si>
  <si>
    <t>유사 경력, 학력, 탐색, 게임 플레이 여부</t>
  </si>
  <si>
    <t>질문 준비 자세, 질문의 적합도</t>
  </si>
  <si>
    <t>수료 후 자신의 목표</t>
  </si>
  <si>
    <t>게임 업계 또는 유사한 업무를 진행했다</t>
  </si>
  <si>
    <t>현실적이고 유의미한 궁금증이나 요청이 있다</t>
  </si>
  <si>
    <t>유사한 학업 경험이 있거나 독학을 해보았다</t>
  </si>
  <si>
    <t>유의미하진 않지만 적극적인 질문이 있었다</t>
  </si>
  <si>
    <t>다양한 장르와 플랫폼의 게임을 플레이 해보았다</t>
  </si>
  <si>
    <t>바라는 점은 없고 열심히 하겠다</t>
  </si>
  <si>
    <t>특정 장르/플렛폼의 게임만 플레이 해보았다</t>
  </si>
  <si>
    <t>질문을 해야할까요?</t>
  </si>
  <si>
    <t>게임을 많이 플레이해보지 않았다</t>
  </si>
  <si>
    <t>싸늘하다... (휴가, 중도이탈 질문)</t>
  </si>
  <si>
    <t>총평</t>
  </si>
  <si>
    <t>결과</t>
  </si>
  <si>
    <t>마무리 ( 궁금한 점 , 바라는 점 )</t>
  </si>
  <si>
    <t>▶ 면접 결과 리스트</t>
  </si>
  <si>
    <t>점수</t>
  </si>
  <si>
    <t>학력</t>
  </si>
  <si>
    <t>상황</t>
  </si>
  <si>
    <t>A</t>
  </si>
  <si>
    <t>91~100</t>
  </si>
  <si>
    <t>우수한 인원</t>
  </si>
  <si>
    <t>00년생 이하</t>
  </si>
  <si>
    <t>나이가 문제는 안 됨</t>
  </si>
  <si>
    <t>대학</t>
  </si>
  <si>
    <t>지병</t>
  </si>
  <si>
    <t>총원</t>
  </si>
  <si>
    <t>B</t>
  </si>
  <si>
    <t>81~90</t>
  </si>
  <si>
    <t>양호한 인원</t>
  </si>
  <si>
    <t>97~99년생</t>
  </si>
  <si>
    <t>기본 역량이 있다면 가능</t>
  </si>
  <si>
    <t>경제</t>
  </si>
  <si>
    <t>불합/이탈/보류</t>
  </si>
  <si>
    <t>C</t>
  </si>
  <si>
    <t>71~80</t>
  </si>
  <si>
    <t>역량도 문제도 없는 인원</t>
  </si>
  <si>
    <t>94~96년생</t>
  </si>
  <si>
    <t>반에서 상위권은 찍어야 함</t>
  </si>
  <si>
    <t>둘다</t>
  </si>
  <si>
    <t>합격</t>
  </si>
  <si>
    <t>D</t>
  </si>
  <si>
    <t>70점 이하</t>
  </si>
  <si>
    <t>주의가 필요한 인원</t>
  </si>
  <si>
    <t>93년생 이상</t>
  </si>
  <si>
    <t>남들보다 3배는 해야함</t>
  </si>
  <si>
    <t>계</t>
  </si>
  <si>
    <t>번호</t>
  </si>
  <si>
    <t>면접자</t>
  </si>
  <si>
    <t>면접일</t>
  </si>
  <si>
    <t>평가지 링크</t>
  </si>
  <si>
    <t>RPG 계열의 게임을 좋아하며, 마인크래프트를 좋아한다고 합니다.
모바일 게임은 많이 즐기지는 않으며, 신작이 나오면 해보는 정도라고 합니다.
나중에는 개발도 배워서 1인 개발도 해보고 싶다고 합니다.
모바일 게임 회사에서 1년반 QA(테스터) 업무를 진행한 경험이 있어, 업무 프로세스에 대한 이해는 어느정도 있을 것으로 보입니다.
9-6 수업을 진행하는 것에는 문제될 부분은 없을 것으로 보이며, 팀 실습과 발표에 대한 거부감도 없다고 합니다.
QA로서의 강점도 있고 면접 분위기에서도 크게 문제될 부분은 없었습니다.</t>
  </si>
  <si>
    <t>안중재</t>
  </si>
  <si>
    <t>https://docs.google.com/spreadsheets/d/1XbM7ecV-SXzNNru2i-Pxd4qyOSW2Nntm8fq77D0vVaQ/edit</t>
  </si>
  <si>
    <t>이탈</t>
  </si>
  <si>
    <t>결벽증이 많이 심하여 사회 활동에 어려움이 있다고 합니다.
청소한 공간에 대하여 가족들을 통제하고 밖에서 사용한 물건은 집에 들여보내지 않는다고 합니다.
어쩔 수 없이 들여보내야하는 핸드폰은 방수 케이스를 사용하여 비누로 씻어서 사용한다고 합니다.
결벽증으로 아르바이트를 해본적이 없으며, 취업도 재택근무나 출근일이 적은 회사를 가고 싶다고 합니다.
게임 기획자로서의 마인드나 게임 경험은 나쁘지 않으며, 소통을 함에 있어서는 문제는 없었습니다.
로드오브히어로즈를 오픈부터 쭉 플레이해오고 있어서 클로버게임즈에 가고 싶다고 합니다.
아침에 잘 일어나지 못하는 부분이 걱정이라고 합니다.</t>
  </si>
  <si>
    <t>https://docs.google.com/spreadsheets/d/1vxEWjXJWW-Zst5wQnpO-gSGUbzGiNOYV_jVX9-0pmkI/edit</t>
  </si>
  <si>
    <t>독학으로 언리얼,유니티 무료과정 수강 및 쯔꾸르 개발 경험이 있습니다.
게임은 다양하게 즐기며 PC/모바일/콘솔 가리지 않고 다 하는 스타일입니다.
롤모델로는 김용하PD 라고 하며 서브컬쳐에 대한 이해도가 높은 인원입니다.
9-6 수업을 진행하는 것에는 문제될 부분은 없을 것으로 보이며, 팀 실습과 발표에 대한 거부감도 없다고 합니다.
특히 프로그래밍의 중요성을 인지하고 있고 기획을 더 잘하기위해 수료 이후에 시간이 나면 플밍 공부도 진행한다고 합니다.</t>
  </si>
  <si>
    <t>양윤석</t>
  </si>
  <si>
    <t>https://docs.google.com/spreadsheets/d/1q4FYjg9ceV0oVeHjQ-rtCiXI_7Z9lDQueFWpqwZwjTU/edit</t>
  </si>
  <si>
    <t>[화상 인터뷰 합격]
게임을 만들고 싶은 목적에 개발자를 먼저 시작하게 되었다고 합니다.
이전 회사에서 개발자로서 업무를 진행했으나 기획자(대표)의 요구사항이 명확하지 않아, 기획의 중요성을 깨닫게 되었다고 합니다.
이후 게임을 만들고자 하는 목표에 독학을 해보았으나 기획자 교육을 받아야 겠다고 생각이 들었다고 합니다.
('대표님 고개 못들게 할랍니다'라는 목표는 퇴사 후 대표님이 자신을 험담하는 것을 전해들어, 유명해지고 싶다고 합니다.)
아직 어떤 기획자가 되고 싶다는 명확한 목표는 없어 고민이라고 합니다.
자신의 강점을 살릴 수 있는 부분으로 강화하는 것을 추천해주었습니다.
과정 진행에 문제될 부분은 없어 보이며, 개발적 사고의 강점이 있을 것 같습니다.</t>
  </si>
  <si>
    <t>https://docs.google.com/spreadsheets/d/1hiMmOBWW7mVmAXYVLhpNFbcHWqCPKLsVNZr1EZWrCic/edit</t>
  </si>
  <si>
    <t>불합격</t>
  </si>
  <si>
    <t>[화상 인터뷰 불합격]
이전 회사에서 2달정도 다니다가 굳이 내가 일 할 이유가 없을 것 같다고 하여 나왔다고 합니다.
공채도 합격했었었고 다니면서 이직 준비를 하는 것이 쉽지 않아서 퇴사를 했다고 합니다.
AI를 활용해서 간단하게 게임도 만들어보고 했고 취업 경험도 있어 강점은 있습니다.
하지만 현재 취업 활동을 진행하고 있고,
이번 교육 커리큘럼에서 AI 활용에 목적으로 두고 있어 교육 과정에는 적합하지 않음을 이야기했습니다.
결과적으로 수강을 희망하지 않는 방향으로 이야기를 마무리하였습니다.</t>
  </si>
  <si>
    <t>https://docs.google.com/spreadsheets/d/1NGc_FoIKpAgiz-1WVy0kVuLzM5Z6gAphngIhbLy8-QE/edit</t>
  </si>
  <si>
    <t>자기소개중 학과 고민도 있었다길래 전주대에 게임학과 편입 고려해봤는지 질문했는데 학과가 있는지 방금 알았다고합니다(?) 
게임 플레이는 다양하게 해보았고 최근 명조를 즐겨하고 있다고 합니다.
태도나 마인드셋은 건전하고 협업에도 문제가 없을것 같습니다.
대출 관련 이야기도 필요시 내용이며 일반적으론 크게 학업에 지장이 가지 않는 내용이라고 합니다.
우려되었던 시나리오는 1지망일뿐이고 신입은 테이블 작업하는걸 알고있다고 합니다.
시나리오가 아니여도 게임 업계에 취업하고자 하는 의지가 강합니다.</t>
  </si>
  <si>
    <t>https://docs.google.com/spreadsheets/d/1KMXeR-zSPK6rQp9BHqyfVfWmD_1DBwpC4OksiuXRZ6s/edit</t>
  </si>
  <si>
    <t>새로운 아이디어로 게임의 규칙을 만드는 것에 흥미가 생겨서 과정을 신청했다고 합니다.
게임은 PC플랫폼 위주로 RPG(로스트아크) FPS(에이펙스), 생존시뮬레이션(굶지마)를 대표적으로 이야기했습니다.
아직 기획자로서 자신의 목표나 강점은 찾지 못한 상태로 보입니다.
과정 진행하는 것에 있어서 9to6 또는 주말 학습에 대하여 문제될 부분은 없다고 합니다.
팀 작업과 발표에 대해서도 문제는 없다고 합니다.
좋게 이야기하면 차분한 성격으로 보이나, 적극적으로 자신의 생각을 보여주는 부분에 대해서는 걱정이 되기도 합니다.
과정 진행에는 큰 문제는 없을 것으로 판단됩니다.</t>
  </si>
  <si>
    <t>https://docs.google.com/spreadsheets/d/1BzAcjYR0MyH6RMA7mOyhN2rOxDBEwYy7_V4VefG7OWw/edit</t>
  </si>
  <si>
    <t>3년간 마케팅업무를 진행하면서 게임에 대해서 시야를 넓혀왔습니다
콘솔, PC, 모바일 게임의 다양한 플랫폼과 캐주얼장르의 게임도 즐겨했으며, 현재 BM에 대해 살펴보기 위해 리니지M을 해보고 있다고 합니다.
서로 발전적인 관계를 이어가는 것이 부트캠프의 강점이라 생각하고 있어 기대되는 인원입니다.
열심히 하려는 인원으로서 미진자와의 협업에서 어떻게 반응할지 지켜봐야겠으나, 현 시점에서는 강점도 뚜렷하며 목표도 있어 우수하다고 평가됩니다.</t>
  </si>
  <si>
    <t>https://docs.google.com/spreadsheets/d/13Zp2sgUMiByAHJqrDCeftjYOpuhpcl2sHImbJrDR-Ks/edit</t>
  </si>
  <si>
    <t>면접 10분전에 들어와서 준비하고 있었습니다.
2년동안 영업직 업무를 보다가 반복되는 업무에 성장을 느끼지 못했고, 게임을 만들고 싶다는 꿈을 찾아 왔다고 합니다. 
기획에 대해서 아직 알고 있는 부분은 없으나, 수업을 들을 수 있는 주변 환경과 개강까지 어떤 것을 준비해야할지 적극적으로 물어보는 부분이 있었습니다.
문화컨텐츠학과와 영업직 경험을 강점으로 살릴 수 있는 방향으로 지도해도 좋을 것 같아 보입니다.
수업을 참여하는 것에는 문제될 부분은 없어보입니다.</t>
  </si>
  <si>
    <t>https://docs.google.com/spreadsheets/d/1wIOl7Z1EMdeHuG7pQ2mFzN0f515zOaS4weqGixOLH40/edit</t>
  </si>
  <si>
    <t>광고 대행, 출판, 앱 개발(신문을 앱에 띄우는 것)의 창업을 진행했다고 합니다.
현재 창업에 실패하여 부채를 갚아가고 있다고 합니다.
과정 진행에 문제는 없는가에 대하여 해결해야하는 부분이니 문제는 없다고 합니다.
게임은 좋아하나 기획자가 게임 플레이를 많이 해봐야 하는 것에 대한 의문이 있어보이며,
과정의 이탈률, 과정 개설의 연기에 대해서 질문이 있었습니다.
부채를 갚고 있는 상황과 본인의 생각이 견고하고 불신이 있어 보이는 부분이 걱정되나,
면접에서 탈락 사유까지 도달한 사유는 없었습니다.</t>
  </si>
  <si>
    <t>https://docs.google.com/spreadsheets/d/1vac2r6mqga8cy9EcVLbYCSiZ82tNo82KidHSFgIPASo/edit</t>
  </si>
  <si>
    <t xml:space="preserve">소프트웨어 학 졸업예정생입니다.
기획 배우고 싶은데 마땅히 못찾아서 개발 배우면 뭐라도 알려주겠지 하면서 시작했다고 합니다.
성실하진 않지만 의사소통에 문제는 없습니다.
요즘하는게임은 배그,로아 게임은 다양하게 하려고 노력하는편 모바일은 하지 않습니다.
게임 기획자가 되고싶었던 게임이 블소이며 가고싶은 회사는 시프트업이라고 합니다.(롤모델 김형태)
전형적인 노베이스 인원이라 과정 진행중 잘 주입하면 되지않을까 생각됩니다.
</t>
  </si>
  <si>
    <t>https://docs.google.com/spreadsheets/d/1YHSrraEgKKkcoTV0j9OSgGJYL4viSEsy5KWo-lGuwhg/edit</t>
  </si>
  <si>
    <t xml:space="preserve">다양한 직무를 경험하고 훈련과정에 신청한 수강생입니다.
개발자 안한 이유 : 지인 개발자(오토 에버)가 뜯어 말려서 기획자 과정 신청했습니다.
게임은 유튜브로 많이 시청 하지만 플레이는 잘 하지 않습니다. 하는건 롤하고 던파입니다.
열심히 하는 노력가 타입입니다. 다만 협업에 약합니다.
기획을 배워보진 않았지만 과정 시작전에 준비하면 좋을것들을 질문하며 열의를 보였습니다.
</t>
  </si>
  <si>
    <t>https://docs.google.com/spreadsheets/d/1unUb8aGiaIJFpWhEivayE2zLrz2MyYkH-RxX34KsLZA/edit</t>
  </si>
  <si>
    <t>굉장히 적극적이며 호의적인 수강생입니다.
게임은 다양하게 해보려고 노력하는 타입입니다.
이것저것 다해보면서 배우는걸 좋아합니다. 본인이 생각하는 단점으로는 준비 과정이 오래걸린다고 합니다.
본인이 노베이스인걸 알기에 레트로의 유니티 책으로 독학중이라고합니다.
과정진행에도 다른 문제가 없어 합격입니다.</t>
  </si>
  <si>
    <t>https://docs.google.com/spreadsheets/d/1xwu8wb23DH1rSnSn252ub8BEIFF1YdG2t1LtCUUQbw0/edit</t>
  </si>
  <si>
    <t xml:space="preserve">화상 인터뷰에 3분 정도 지각했습니다.
의사소통에 무리가 없으나 태도가 소극적입니다. 
주로하는 게임은 PC - 로아, 모바일 - 세나 리버스 게임 장르는 다양하게 해보려는편입니다.
본인이 생각하는 장점 - 꼼꼼함, 단점 - 생각이 많음...
컴공이며 게임 기획 시스템 벨런스 사전 학습 경험있습니다. 
</t>
  </si>
  <si>
    <t>https://docs.google.com/spreadsheets/d/1BdiS0aJBlE-OdQFtVpNwgScMG8KGT9t-HNooRt1wcoI/edit</t>
  </si>
  <si>
    <t>사람이 긍정적이며 면접에 적극적입니다
대학시절 개발 하다가 벽느끼고 여러가지 게임 업무를 접해보고 최종적으로 가장 재미있던 기획자를 하기로 했다고 합니다.
파이널플로 게임기획 기획으로 1년 근무 했지만 본인이 공부를 위해 퇴사했다고 합니다.
본인이 부족하다 생각하는 점은 한번에 일을 못끝내는 점, 일하다 놓치는거 개선하고 싶어서 지식을 더 축적하고자 합니다.
게임은 RPG 장르를 취직에 쓰기위해서 주로 플레이 한다 하여 다양한 장르의 시스템을 차용하는 경우도 있으니 다양하게 해보라고 조언 했습니다.
경제적 어려움 같은 경우 국취제를 물어봤으나 이전에 취직할때 사용했다보니 국취제가 풀리려면 기간이 아직 남았다고 했습니다.
그래서 추가적으로 직업훈련생계비 융자를 안내를 진행했습니다.</t>
  </si>
  <si>
    <t>https://docs.google.com/spreadsheets/d/1ubx7fKhjjSfetwP91PIKDhoAqwwP81Vzq6Fhhqv2V_w/edit</t>
  </si>
  <si>
    <t>프로그래머를 독학하며 준비했는데 결과가 좋지 않아서 현재 다른일 하고 있다고 합니다.
과정을 시작하면 일은 그만두고 과정에 집중한다고 합니다.
SRPG를 좋아하며 PC플랫폼의 경험만 있으며, 모바일 게임은 즐기지 않는다고 합니다.
기획자로서 다양한 장르와 다양한 플랫폼의 경험은 재산이 될 것을 이야기해주었습니다.
개발을 공부했던 부분에 강점이 있으나, 기획도 배워보자 하는 느낌이 있어 기획자로서의 목적성은 얕아보입니다.</t>
  </si>
  <si>
    <t>https://docs.google.com/spreadsheets/d/1M7S9U556RUHtP0lJ_tfrySM6qSI9RmKx1-FhpLvFCF4/edit</t>
  </si>
  <si>
    <t>스타듀벨리 개발자 글을 보고 게임을 만들고 싶다는 도전을 하게 되었다고 합니다.
PC게임 위주로 플레이해보았으며, 오래전에 플레이해본 게임(바람의나라, 카트라이더, POE1 등)이후로 많이 플레이한 게임은 없었다고 합니다.
한부모 가정으로 딸 아이가 있으나, 부모님이 봐주고 계서서 과정에 문제는 없을 것이라고 합니다.
스스로 할 수 있고 도전해보고 싶다고 하여, 다양한 게임 플레이로 경험을 쌓고 남들보다 2~3배 이상은 노력해야 할 것을 이야기해주었습니다.</t>
  </si>
  <si>
    <t>https://docs.google.com/spreadsheets/d/16X7VeoWixB4GoUQtxNlVG0ZDUtUL5z1c0nJ_4I586sg/edit</t>
  </si>
  <si>
    <t>기획자로서 시야를 넓히고 싶어 지원했으며, 협업 경험과 유니티학습, AI도 활용도 기대하고 있다고 합니다.
레벨디자인을 희망하며, 게임을 넘어서 경험을 설계하는 매력을 느끼고 있다고 합니다.
레벨디자인 공부를 위해 1달정도 인터넷 강의(이용태님 강의)를 들었으며, 심리학 사회과학에도 관심이 있다고 합니다.
프로젝트에서 기획자가 어떤 일을 하게 되는지 질문이 있었으며, 전체적으로 차분하고 예의가 있어 보였습니다.
내년 10월부터 결혼 준비를 계획하고 있어 취업이 우선이며, 과정중에는 영향이 없을 것이라고 합니다.</t>
  </si>
  <si>
    <t>https://docs.google.com/spreadsheets/d/18GIkAmuB8-NHkpsUrXtNmXJxIICIEl9LdP_PzRih2WQ/edit</t>
  </si>
  <si>
    <t xml:space="preserve">고등학생 시절부터 SBS아카데미에서 게임 기획자를 꿈꾸며 관련 경험을 쌓아왔고, 이후 펄어비스 근무를 통해 실제 개발 환경을 경험한 만큼 목표의식과 현실 감각을 모두 갖춘 인재로 보인다. 
플랫폼이나 장르를 가리지 않고 다양한 게임을 플레이하며 기획적 감각을 확장해 온 점에서 게임에 대한 깊은 열정이 느껴진다. 
책임감이 강한 성향으로 맡은 일에 끝까지 최선을 다하는 모습이 장점이지만, 그만큼 완벽을 추구하는 강박으로 이어질 수 있어 균형 잡힌 자기 관리가 필요하다. 
전반적으로 콘솔 게임 제작이라는 뚜렷한 목표 아래 실무 경험과 자기 성장을 병행하고 있는 성장형 기획자로 평가된다.
</t>
  </si>
  <si>
    <t>https://docs.google.com/spreadsheets/d/1tV0hSrjJvT9Zq9gBXSyh92grDi-BjDv2QD318m3yQy4/edit</t>
  </si>
  <si>
    <t>지원자는 다양한 장르와 플랫폼의 게임을 즐기며 게임 제작에 흥미를 느껴 기획자를 목표로 하게 된 인물입니다. 
게임적 레퍼런스가 풍부한 편이며, 하나의 일에 깊이 몰두하는 집중력을 가지고 있습니다. 
다만 의사소통에는 큰 문제가 없지만 다소 의기소침한 면이 있어 자신감 있는 표현이 필요해 보입니다. 
전반적으로 노베이스 지원자의 평균적인 수준의 역량과 태도를 가진 지원자로 평가됩니다.</t>
  </si>
  <si>
    <t>https://docs.google.com/spreadsheets/d/1zcpv5A-A2hK4_7YR-FAjvlzkV3mVOlN5a7HFQvjVhRE/edit</t>
  </si>
  <si>
    <t>조금 다운되어 있는 분위기의 훈련생으로, 호요버스 계열 서브컬처 게임부터 스위치 게임까지 다양하게 즐기는 편입니다. 
추가로 클로소에 유리링 게임기획 강의를 수강했습니
영화 기획 이력이 있어 콘텐츠 기획 전반에 대한 이해도가 있는 편이며, 
이해력이 좋아 새로운 내용을 빠르게 흡수하는 강점을 지녔습니다. 다만 완성도에 대한 강박이 있어 작업 속도가 다소 늦어질 수 있습니다. 
강의는 AI 관련 내용을 배울 수 있다는 점에서 흥미를 느껴 선택했으며, 전반적으로 무난한 수준의 태도와 역량을 가진 훈련생입니다.</t>
  </si>
  <si>
    <t>https://docs.google.com/spreadsheets/d/1KFrsMSNUkM2Bqei_AQbhnWmZCoXo9nr10X_2xELOWxk/edit</t>
  </si>
  <si>
    <t>전공 관련 자격증을 오랜기간 준비하다가 잘 안되어서 다른 길을 선택하게 되었다고 합니다.
게임 개발에 관심이 생겨서 언리얼 C++을 얕게 독학을 해보았는데 혼자 공부해서 잘 안되었다고 합니다.
개발과 기획을 고민하다가 게임의 방향성을 잡는 기획자를 희망하게 되었다고 합니다.
게임 플레이는 다양하진 않으나 게임 방송을 많이 보아 얕고 넓게는 알고 있다고 합니다.
재미있게 플레이한 게임은 발더스게이트3, 팰월드라고 합니다.
목표의식이 강하게 느껴지지는 않으나 면접 태도에는 문제 없었습니다.</t>
  </si>
  <si>
    <t>https://docs.google.com/spreadsheets/d/1a0UJy4hctoKCk5LtPvK6ijDSCouSPqR_dROk1Ev8t04/edit</t>
  </si>
  <si>
    <t>타 업계 모델러로서의 경험이 있으며, 기획안을 받아보는 과정에서 기획에 대한 흥미가 생겨 지원하였습니다
기획에 대한 이해도는 아직 높지 않은 편이나, 다양한 플랫폼의 게임을 즐기만 캐주얼 장르로 한정되어 있습니다. 
본인의 강점으로는 비전공자임에도 모델링 분야에서 도전과 노력을 통해 성과를 이룬 점을 꼽았으며, 단점으로는 자신감 부족을 언급했습니다.
면접 태도는 전반적으로 차분했으며, 의지나 열정이 강하게 드러나지는 않았으나 면접 진행에는 별다른 문제는 없었습니다.</t>
  </si>
  <si>
    <t>https://docs.google.com/spreadsheets/d/1S50TYdaK5Gqd81_oU1JEYML5d1AXJXGAwawpcCix9oU/edit</t>
  </si>
  <si>
    <t xml:space="preserve">디자인 전공으로 모델링과 애니메이션에 대한 이해도가 있으며, 게임 기획에 대해서도 노베이스지만 어느정도 이해도가 있는 편입니다.
 다양한 게임을 플레이하지는 않지만 경험하려 노력하며, 특히 워프레임을 1,400시간 이상 플레이했다고 합니다.
본인이 생각하는 강점으로는 경청을 잘한다고 합니다, 단점으로는 시간 개념이 다소 약한 편이라고 합니다.
생각이 깊어보이며 말할 때 약간의 딜레이는 있으나 의사소통에는 문제가 없습니다. </t>
  </si>
  <si>
    <t>https://docs.google.com/spreadsheets/d/1FFE-oa12thAhK8aoad0qJ1wzqVXnqV2HVsJp3TuTgng/edit</t>
  </si>
  <si>
    <t>포스터/전단지, 인터넷 쇼핑몰 등 편집 디자인 업무를 7~8년정도 했다고 합니다.
AI가 발전함에 따라 디자인 업무에 미래가 불투명하였고 기획을 도전하게 되었다고 합니다.
종교 동아리 활동에서 리더 역할도 하고 있고 보드 게임 동아리에서 게임도 즐겼다고 합니다.
게임 경험은 PC/콘솔에 집중되어 있으며(포켓몬, 해리포터 레거시, 스텔라블레이드, 오공, 데바데 등),
모바일 게임 경험은 길지 않다고 합니다.
팀 프로젝트의 인원과 비대면으로만 진행되는지 질문이 있던 것으로 보아, 팀플에 걱정이 있어 보입니다.
나이가 있어 걱정이 되며, 디자인적 강점을 차별성으로 살려야 할 것으로 보입니다.</t>
  </si>
  <si>
    <t>https://docs.google.com/spreadsheets/d/1mE--I3wUJBxfQHVgbWtxXHDBLRMvusbLuZmAIIL8JMY/edit</t>
  </si>
  <si>
    <t>철도학과를 올 해 졸업했으나, 사고로 인해 외근직이 불가능(목디스크, 어지러움증)하다고 하여 옛날 꿈을 찾다가 기획자를 도전했다고 합니다.
메가스터디에서 9개월동안 기획 과정을 진행한 이력이 있다고 합니다.
다만, 3시간씩 주 3회 진행되었으며 포폴만 7개월을 써와서 기초가 부족하다고 느꼈다고 합니다.
면접까지 보기는 했는데 면접에서 부족함이 많다는 피드백을 받았다고 합니다.
전투 기획자를 희망하고 있으며, 다양한 장르와 플랫폼의 게임을 즐겨왔다고 합니다.
사이퍼즈, 이터널리턴 등 1000시간 이상 플레이해본 게임도 있고 최근 나온 카오스제로나이트메이도 해보고 있다고 합니다.
대학생때 학과 대표도 했으며, 창업 PR대회에서 우수상도 받아봤다고 합니다.
기존에 준비해본 것이 있어서 스타트라인은 약간 앞에 있으나, 협업 역량이 괜찮을지는 지켜봐야 할 것 같습니다.</t>
  </si>
  <si>
    <t>https://docs.google.com/spreadsheets/d/1sOuHVfSniy7ThVGms26t4NSse83ByRolM_zW9sHbW8c/edit</t>
  </si>
  <si>
    <t>취준을 하던중 크로노 스튜디오 면접관이 과정을 추천해주셨습니다.
애니메이터이자 감독으로써의 경력이 화려하며 기획에 대한 이해도는 있으나 게임적으로는 부족합니다.
게임은 잘 못해서 유튜브나 스트리밍으로 접한다고 합니다. 스토리텔링 중심적으로 치우져져있습니다.
본인이 생각하는 강점 - 순발력과 상황대처 능력, 단점 - 과몰입(지금은 고쳤다고 합니다)
면접에 임하는 자세도 진중하고 기대가 되는 수강생입니다.</t>
  </si>
  <si>
    <t>https://docs.google.com/spreadsheets/d/1LAz1jOoNe38gs5x3TqmD15MOmnxePdqcmenl6o2S6i8/edit</t>
  </si>
  <si>
    <t>게임을 만들고 싶어 플밍을 배우다가 적성에 맞지는 않는거 같아서 기획자로 전향했습니다.
혼자서 준비하다 벽을 느껴 지원하게 되었다고 합니다.
코나미1차는 합격했다보니 일본 취업에 대한 열망이 강합니다.
게임은 다양하게 해보려고 합니다. 선호 하는장르는 TCG,RPG라고 합니다.
친구가 오프라인 과정을 듣는다고 합니다. (김사윤 언리얼) 
태도는 나쁘지 않지만 협업에 있어서 과한 소통방식만 우려됩니다.</t>
  </si>
  <si>
    <t>https://docs.google.com/spreadsheets/d/138To6mnZxhJ6rcZvSfFEafxd0q01T3lNVpe1HkOrGug/edit</t>
  </si>
  <si>
    <t>펄어비스에서 검은사막 QA (1년3개월) 붉은사막 QA (9개월)을 진행했다고 합니다.
계약이 10월초에 만료되었고 QA만으로는 취업문이 좁아서 기획도 공부해보려고 한다고 합니다.
붉은사막 퀘스트 제작을 도와준 경험도 있고 콘텐츠 기획을 희망한다고 합니다.
게임 경험은 다양하게 있으며 QA경험으로서의 강점이 있습니다.
과정중 취업활동을 진행할 예정이며 실업급여를 받는 5개월 이전에는 취업하고 싶다고 합니다.</t>
  </si>
  <si>
    <t>https://docs.google.com/spreadsheets/d/1Ul_JzrrjbYr3jbb_ackCtU7sKHpexW7IX_IAPaZv3JQ/edit</t>
  </si>
  <si>
    <t>스토리를 짜고 설계하는 것을 하고 싶어서 기획자를 희망했다고 합니다.
스트리머의 팬카페에서 부트캠프에 대한 추천을 받아, 부트캠프를 찾던 중 경일게임아카데미에 연락을 했다고 합니다.
게임은 서브컬쳐 게임을 좋아하고 있으며 니케, 카제나, 스텔라소라, 미호요 게임들을 주로 플레이했다고 합니다.
인터넷 방송에서 의견을 많이 구하는 것으로 보이며, 말이 어눌하고 시나리오 기획자로서의 꿈이 깊이 있습니다.
시나리오 기획자는 준비할 허들이 높기 때문에 필요한 부분에 대해서 이야기해주었습니다.
발표에 대한 거부감도 있고 발음 교정, 기획자로서의 마인드가 과정과 취업까지 원활할 수 있을지 걱정됩니다.
열심히 하겠다고 하였으며, 9to6의 과정에 어려움은 없다고 합니다.</t>
  </si>
  <si>
    <t>https://docs.google.com/spreadsheets/d/10d-aft7YYJm7_exCT606Q6pi1INtYkoH6o_ImlXh-x8/edit</t>
  </si>
  <si>
    <t>SBS, 게임학과, 게임과정 등 다양한 게임 교육을 받아온 이력이 있습니다.
1년전에 과정을 다녔는데 생각보다 취업의 문이 높아 다시 학원에 등록하게 되었다고 합니다.
출시를 통한 프로젝트 경험을 쌓는 것에 큰 목표를 갖고 있는 것으로 보입니다.
전투 또는 밸런스 기획을 희망하고 있다고 합니다.
이야기로는 과거에 조금 알고 있던 것으로 건방진 태도를 보인 흑역사가 있어, 이번 과정에서 처음 배우는 친구들이라도 잘 협업해보겠다고는 합니다.
하지만 협업을 진행할 때, 정말 발전적인 방향으로 진행하는지는 지켜볼 필요가 있어보입니다.</t>
  </si>
  <si>
    <t>https://docs.google.com/spreadsheets/d/1U-h02Iquzj9PPZQEisv7V0oKF5FCj9UzrRVxViv5ncE/edit</t>
  </si>
  <si>
    <t>서류부터 미흡하며 이전 플밍 4기에 지원한후 4일만에 기획으로 재신청 한 인원입니다.
정말 기획자가 되고싶은지 의심이 되며 답변의 퀄리티는 높지 않은거 같습니다.
게임은 대중적인것만 플레이하며 다양하게 즐기진 않습니다.
기획자에게 필요한건 잘못 이해를 하고 있으며 고집이 강합니다.
처음에는 언리얼 생각하고 과정 신청했고 이번 면접때도 온라인 과정인데 오프라인이냐고 질문을 했었습니다 
허나, 면접에서 탈락까지 도달한 사유는 없었습니다.</t>
  </si>
  <si>
    <t>https://docs.google.com/spreadsheets/d/11DYABwtXK1yfr6WTIJOiA9NjAtVoNYl6m-LwdnO8jrM/edit</t>
  </si>
  <si>
    <t>태도는 좋으나 의사소통이 원활하진 않는 수강생입니다.
이전 게임 프로젝트 경험에서 기획적으로 하고싶은 마음이 강해져서 지원하였다고 합니다.
어느정도 기획자로써 이해도가 있으며 취업에 대한 의지도 있습니다.
게임은 MMORPG 중심으로 플레이 하며 다양한걸 즐겨 볼려고는 한다고합니다.
걱정이 많고 소극적이긴 하지만 하고자하는 의지가 강하여 문제가 없다고 판단합니다.</t>
  </si>
  <si>
    <t>https://docs.google.com/spreadsheets/d/1WZJ4I8ctgdvvgfOETSVHY1c1NieowpbVd2FylAoPY8g/edit</t>
  </si>
  <si>
    <t>영상 편집 및 유튜브, 버추얼 및 3D 애니메이션 관련 사업 경험이 있습니다.
라이어 게임, 메타버스, VR, AI를 보고 신청하여 커리큘럼과 약간의 거리감이 있어보입니다.
그래도 게임 기획자와 관련된 질문들에 대해 긍정적으로 답변했습니다.
본인이 가진 경험을 토대로, 논리적인 대화를 할 수 있습니다.
리더십이 강하고 팔로워십은 상대적으로 약한 편으로 보입니다.
또한 협업 경험이 많으나 대부분 리더로서의 경험이어서, 팀 프로젝트 단계에서 약간의 이슈가 생길 우려가 있습니다.
게임 이력이 매우 적은편이지만, 학습에 대한 열의는 높아보입니다.
우울증 질병 이력이 있습니다.</t>
  </si>
  <si>
    <t>김상준</t>
  </si>
  <si>
    <t>https://docs.google.com/spreadsheets/d/1MEfwOHbJdZgh_Op7BqmyaqXzJ-Tora5xvnQ0pQQhwtU/edit</t>
  </si>
  <si>
    <t>[면접 합격]
3D 모델러로써 7년 정도 근무했는데, 경영 악화 + 회사 방향성 변경 + AI의 발달로 그만두었다고 합니다.
그래서 본 과정에 관심을 갖게된 1차적 이유는 게임이지만, 2차적으로 'AI를 활용한' 이라는 키워드에 크게 끌렸다고 합니다.
모델러로써 다양한 툴을 사수 없이 배우며 새로운 것에 도전하는 것에 거리낌이 없고,
팀 협업 or 클라이언트와의 협업 등 많은 협업 경험이 있다고 합니다.
게임과 게임 기획에 대한 제반 지식은 많이 부족한 편입니다.</t>
  </si>
  <si>
    <t>https://docs.google.com/spreadsheets/d/1CYBh5mxJb-hJGSHUh9eH7kOriLvPugpjpP7wwQg_CgQ/edit</t>
  </si>
  <si>
    <t>지인의 추천으로 게임 업계에 관심을 가지게 되었으며, ‘나쁘지 않다’는 의견을 듣고 지원했습니다.
기획자로서의 명확한 지원 동기는 아직 부족하지만, 취업에 대한 열의는 매우 강합니다.
기획 직무에 대한 기본적인 이해와 태도, 의지 모두 긍정적인 편입니다.
다만 현재 생계 유지 등의 이유로 중도 이탈 가능성이 있어 보이긴 하나, 전반적으로 큰 문제는 없다고 판단됩니다.</t>
  </si>
  <si>
    <t>https://docs.google.com/spreadsheets/d/1xonwzLs2PHcAzhBMkhRe3AxqpdxEzUndgRli1Yix2HU/edit</t>
  </si>
  <si>
    <t>시나리오 라이팅을 하고싶어서 게임 기획자에 지원하였다고 합니다.
마비노기 모바일의 지인이 과정을 추천해서 왔다고 합니다.
시나리오 라이터가 목표라고해서 현실을 알려주고 다른 직무도 고려해볼것을 권장했습니다.
대화에 있어서 어리버리하며, 의사소통이 원활하진 않습니다.
허나, 탈락까지의 사유는 없었습니다.</t>
  </si>
  <si>
    <t>https://docs.google.com/spreadsheets/d/1dGvBpzPUs9qpPvhKor94vTjKEfBhdHjcpqT5r8J_-MA/edit</t>
  </si>
  <si>
    <t>게임 E스포츠 코치 출신이며 OPGG서비스 기획을 경험했었습니다.
그러다 게임 기획에 관심에 생겨 지원하게 되었다고합니다.
기획에 대한 전반적인 이해도도 있으며 면접자세와 의사소통이 원활합니다.
게임은 다양한 장르및 다양한 플랫폼을 경험해보았습니다. 이리,와우 즐겨한다고 합니다.
장점이자 강점으론 과몰입이 있습니다. 질문도 적극적이며 취업에 대한 의지가 강합니다.</t>
  </si>
  <si>
    <t>https://docs.google.com/spreadsheets/d/17x9VDclG9ZHs2PH04myS-I-VVFhNSSMozEyb6SwmaUs/edit</t>
  </si>
  <si>
    <t>22년 제대 후 3년 동안 별다른 활동을 하지 않았다고 합니다.
이미 나이가 어느 정도 차버려서 이제는 '해보고 싶은 걸 해야겠다' 라는 마음으로 게임 기획을 알아보게 됐다고 합니다.
이븐아이에서 상담을 받아봤지만, 가격이 비싸 국비지원되는 과정을 알아보다가 경일게임IT아카데미를 알게 됐다고 합니다.
세계관 구상, 글쓰기를 좋아하고 그래서 대학교를 자퇴하고 공모전 준비를 했다고 합니다. 시나리오 기획자에 대한 희망이 있습니다.
말이 많이 어눌하고, 원활한 의사소통에 어려움이 있었습니다.
코딩은 어려울 것 같아서 기획을 지망한다고 얘기했습니다.
팀 작업과 발표에 대해 거의 할 줄 모른다고 합니다.
전체적으로 '열심히 하겠다'라고는 하지만, 원활한 수업이 어려울 것으로 생각됩니다.</t>
  </si>
  <si>
    <t>https://docs.google.com/spreadsheets/d/1oK5wF-1o3Xxz6qpB6scj0Rbjy_i8745oYaIHCUQm2Mc/edit</t>
  </si>
  <si>
    <t>최근 본인의 스펙업과 정보 공유를 위해 로스트아크의 스킬 구조, 밸런스 분석을 해봤고, 그러다가 게임 기획에 관심이 생겼다고 합니다.
'내가 원하는 방향성의 게임'을 만드는 것에 대한 열망이 큰 편입니다.
타르코프, 배그 등 루트 슈터 장르에 대해 관심이 많습니다.
스스로의 단점으로 흥미가 없는 분야에 대해 적극적으로 행동하지 않는다고 했는데,
고3때 흥미로 시작했던 제과제빵에 대해서도 관련 자격증을 4가지까지 취득할정도로 열정이 금방 식지는 않는다고 어필했습니다.
제과제빵쪽에서 일한 경험이긴 하지만, 함께 일한 경험이 있어 협업은 자신 있고, 발표도 충분히 할 수 있다고 합니다.
추가 질문으로 코딩에 대한 질문을 했는데, 코딩에 대한 걱정이 있어보였습니다.
큰 불합격 사유는 없지만, 어느정도 집중적인 관리가 있어야 과정을 따라올 것 같다고 느껴졌습니다.</t>
  </si>
  <si>
    <t>https://docs.google.com/spreadsheets/d/1qjHKswxnsXrucM08LQ_J0PWbpbR8gYfS17VZOAQ6oAI/edit</t>
  </si>
  <si>
    <t>[사전 인터뷰 합격]
병원 물류 쪽 직장을 다니다가 퇴사하고, 오래 일하기 위해서는 적성이나 흥미에 맞는 직무를 찾아야겠다고 생각함.
그래서, 직업 상담을 받아봤고 기획 직무 추천이 뜨길래 평소에 좋아하던 게임 기획 직무에 대해 찾아봄.
게임 기획 독학을 하다가 학원을 찾아오게 됨.
기획이 도면을 그리는 것과 비슷하다고 했으며, 기획 직무에 어떤 파트가 있는지, 그리고 기획 직무들의 경계가 희미하다는 부분에 대해 미리 알고 있었음.
물류쪽 중간관리자에서 일하며 쌓은 커뮤니케이션 스킬이 있고, MS Office등 문서 툴은 가끔 사용했음.
집중력이 강하지만, 그래서 시간 관리 등 놓치는 부분이 많은 성격이라고 함
오래전에 AI 관련 부트캠프를 7~8개월 들은 적이 있다고 함
매우 현실적이기 유의미한 궁금증이 많았음. 질문이 많아서 커트함.</t>
  </si>
  <si>
    <t>https://docs.google.com/spreadsheets/d/16JotleDJl3onjJTXA-LRgYdG4w15tqR01tSPlXq_vWg/edit</t>
  </si>
  <si>
    <t>[사전 인터뷰 합격]
롤, 배그, 메이플 등 메이저한 게임만 해본 편입니다.
엄격한 가정에서 자라서, 성인 이후로 게임을 많이 접했다고 합니다.
운동쪽으로 일한 경험이 있고, 그래서 커뮤니케이션 쪽으로는 자신이 있어 보입니다.
게임 기획 자체에 대한 이해도는 높지 않습니다.
공부를 열심히 하는 편은 아니고, 그래서 과정을 따라갈 수 있을지에 대한 걱정이 있습니다.
워드프로세서 자격증이 있고, 컴활 1급 필기까진 합격하고 실기를 준비하고 있다고 합니다.
성취도가 뛰어나진 않더라도, 과정 자체에는 성실히 임할 것으로 보입니다.</t>
  </si>
  <si>
    <t>https://docs.google.com/spreadsheets/d/1xWMzIyVfEUxs3wyqK0EA6-zjjfyji_GW18WLsjvpplY/edit</t>
  </si>
  <si>
    <t xml:space="preserve">[화상 인터뷰 합격]
서브컬쳐를 매우 좋아하는 사람이라고 소개했습니다.
이전에 공부를 너무 안해서, 마지막 기회라는 심정으로 게임 기획자 과정에 지원했다고 합니다.
캐릭터, 시나리오 기획 쪽에 관심이 많은데, 그 중에서도 특히 시나리오 기획자가 되려면 '글을 얼마나 잘 써야 하는지' 에 대한 질문이 있었습니다.
MS Office나 AI는 거의 사용해본적이 없다고 합니다.
대화가 약간 어려운 정도로 낯을 매우 많이 가립니다.
말을 잘 못합니다.
수업을 따라오는데 어느 정도 난항이 예상됩니다.
</t>
  </si>
  <si>
    <t>https://docs.google.com/spreadsheets/d/1uIcWK3sFn5Rwo0SMSL9XQz_0kT2m55LLmdKc54xzbLU/edit</t>
  </si>
  <si>
    <t>[화상 인터뷰 합격]
젠지 오버워치 코치로 3년, 코칭 프로그램 기획 및 운영으로 1년 근무
코치, 마케터 등의 사람들과 협업 경험이 많음
업무의 속도가 느리다는 것을 단점으로 꼽음
업무의 스펙트럼이 너무 좁다는 생각이 들어 전반적인 게임업계에서 근무하기 위해 게임 기획 직무 희망
오버워치, 몬헌 시리즈, 33원정대, 스텔라 블레이드 등 한 가지 게임에 몰두하는 편 (모바일 게임 싫어함)
게임 기획에 대해, 또는 세부 직무 등 기획 자체에 대한 이해도는 없음
MS Office는 꾸준히 사용해와서, 심화 기능을 제외하고 어느정도 다룰 수 있음 → 심화기능까지 다룰 수 있어야 한다고 설명함
상당히 현실적인 질문들이 많았음 (게임 기획 직무가 본인의 성향에 잘 맞을지? 기획자의 초봉? 기획자는 왜 필요한가요? 기획자의 전망은?)</t>
  </si>
  <si>
    <t>https://docs.google.com/spreadsheets/d/1ROc0LIDzT5M9b6UGXRJkVS2aQUQd-m5wjUmi0zhc31c/edit</t>
  </si>
  <si>
    <t>과정에 대해서 목적성이 강하지 않지만 그래도 해볼려는 의지는 있습니다.
질문 답변할때 이유를 설명하는 과정이 빠져있습니다. 의사소통은 가능하나 답답한 부분이 있습니다.
프로젝트 문 을 좋아하며 수집형 RPG 위주로 하며 다양하게 즐기진 않았습니다.
본인이 생각하는 강점으론 관찰력, 단점으론 내향적이라고 합니다.
팀 작업시 의사소통 관련해서 우려되는 트러블 말고는 문제될건 없어보입니다.</t>
  </si>
  <si>
    <t>https://docs.google.com/spreadsheets/d/1l81bAQVfpmpRon_5UqBvshp9o7UfN-217Y1eRHk5yk8/edit</t>
  </si>
  <si>
    <t>사업을 하기위해 원래부터 기획자를 지망하였으며 안드로이드/웹을 배우면서 느낀점을 바탕으로 게임쪽으로 포지셔닝을 정했다고 합니다.
범용적인 기획자에 대한 이해도가 있으며 목표도 뚜렷합니다.
게임은 대중적으로 플레이하며 스팀게임을 즐겨합니다.
본인이 생각하는 강점으로는 신뢰도, 약점으로는 복잡하게 생각이 많다 라고 합니다.
질문도 적극적이며 유의미한것들이 많았습니다.
다만, 초반 대학교 일정 관련해서 5일 이상 결석을 할수있어 50% 미만 제적에 대한 부분이 우려됩니다.</t>
  </si>
  <si>
    <t>https://docs.google.com/spreadsheets/d/1foEqGT4sR6u0bLtQ7PrliYKgL1AcCSCcBvrQUYTQzMM/edit</t>
  </si>
  <si>
    <t>해외에서 유학생활을 오래했고, 대학 연구소에서 심리학쪽으로 일을 한 경험이 있습니다.
해외에서 UX/UI 디자이너 직군으로 취업 준비를 했으나, 비자 문제로 취업을 하지 못했다고 합니다.
PS1~PS5를 모두 보유중이고, 스팀 게임도 많이 하며, 롤, 배그 등 메이저한 게임도 해봤으며, 모바일 게임에서는 브롤스타즈와 쿠킹덤을 오래했다고 합니다.
친화력이 좋고, 대인 관계가 좋다는 평가를 듣는 편이라고 하고, 거절을 잘 못하는 성격이라고 합니다.
대학교에서 여러 프로젝트를 리더로써 진행해본 경험이 있다고 합니다.
원하는 회사는 크래프톤과 넥슨이라고 밝혔습니다.
'다른 사람에게 재미를 전달하는 것' 이라는 확고한 목표가 있습니다.
조곤조곤하면서 논리적인 성향입니다.
다만 팀 프로젝트 단계에서 어떻게 행동하는 지는 지켜볼 필요가 있어보입니다.</t>
  </si>
  <si>
    <t>https://docs.google.com/spreadsheets/d/1gzEYXiEAM0nFUNLzLwBJjMzNKWMWrpSul8ETwl2H5h4/edit</t>
  </si>
  <si>
    <t>[화상 인터뷰 합격]
동아리에서 게임 만들어본 경험이 있고, 게임잼에 2회 참여해봄
만든 게임을 itch.io에 올려본 경험이 있음
프로그래머로써 게임을 만들었지만, '게임을 통해 즐거워하는 사람들의 모습을 보고 싶다'는 생각이 들어 기획을 시작함
공모전에서 한달 반동안 기획자로써 게임을 만들어본 경험이 있음 (결과는 좋지 않았음)
도전적인 편이라고 생각하며, 흥미와 성취도가 비례하는 편이라고 함
문서 툴은 기본적으로 어느정도 다룰 수 있음
게임 플레이 경험도 다양한 편.
논리적이면서 예의바르다는 느낌을 받았음.
게임과 게임 기획에 대한 정보를 이미 어느 정도 수집해 본 것으로 보이고, 무난하게 과정을 잘 따라올 것으로 생각되나 약간의 멘탈 케어는 필요할 것으로 보임.</t>
  </si>
  <si>
    <t>https://docs.google.com/spreadsheets/d/1ztYa8v71megvHIaZnF5nAIuB68av30J4KIYebPUHVtE/edit</t>
  </si>
  <si>
    <t>보드게임 매니저로 4년동안 일했던 강점이 있습니다.
보드 게임은 글롬헤이븐이라는 보드게임을 가장 인상깊게 했으며, 디지털 게임은 롤토체스를 좋아한다고 합니다.
모바일 게임을 길게 플레이한 경험은 없으며, 엔딩이 있는 패키지 게임이 취향이라고 합니다.
과정중에 게임잼같은 공모전 같은 것이 있는지 질문이 있어, 게임 제작 합반 프로젝트를 이야기해주었습니다.
12월부터 과정 시작으로 아직은 일을 하고 있어서 온보딩 캠프 참여는 어려울것 같아 보입니다.</t>
  </si>
  <si>
    <t>https://docs.google.com/spreadsheets/d/1ivAIyfts5-buVDhvnzSKIb7kUl4RV1PZ46I6yMaYYvI/edit</t>
  </si>
  <si>
    <t>웹툰쪽을 준비하다가 실력의 부족함을 느끼고, 게임 기획 직무를 알아보게 됨.
'왜 아트를 준비하지 않았는가?' 라는 질문에 '웹툰과 게임의 아트 방향성이 달라서'라고 답함.
봉괴:스타레일, 젠레스 존 제로, 이터널 리턴 등 서브컬처류 게임을 좋아하고, 엘든링, 다크소울 3등 소울라이크 장르도 다수 플레이해봄.
아이디어가 많으나 이를 구체화하는 능력은 부족하다고 스스로 평가함.
사람은 선하나, 대화의 근거가 많이 부족하다고 느껴짐.
스스로 소통에 미숙하고 발표를 잘 하진 못한다고 얘기했고, 어느정도 사실로 보이긴 하나 극복 의지를 보임.
신입 시나리오와 레벨 기획자의 어려움을 설명했으나, 잘 받아들인 것으로 보이진 않음.
문제를 일으킬 인원은 아닐 것으로 보이나, 어느 정도의 관리가 필요한 인원으로 판단됨.</t>
  </si>
  <si>
    <t>https://docs.google.com/spreadsheets/d/1zPlMm3lUs4llRxjI9HCnSYZp-7eyVGU1QzSo2uISwoU/edit</t>
  </si>
  <si>
    <t>대학교를 중퇴하고, 마케팅, 금융(이라고는 하는데 보험 영업쪽이라고 합니다), 라운지 관리, 주류 판매 영업쪽에서 일해왔다고 합니다.
과정중에도 주말에 라운지에서 계속 일할 예정이라고 답했습니다.
축구 게임을 매우 좋아하여, FC온라인과 위닝 등을 제일 많이 플레이했고, 롤, 서든, 삼국지 시리즈를 열심히 플레이했다고 합니다.
'문서는 AI로 만들면 된다' 라고 답했습니다.
기존에 플레이하던 게임들의 패치와 업데이트가 마음에 들지 않아 기획자를 희망하게 됐다고 합니다.
자신이 만든 게임에서 페이커같은 스타가 탄생하면 좋겠다고 했습니다.
추진력이 강하고 낙천적이나, 고집이 매우 강하다고 합니다.
협업 경험을 묻는 질문에, 보험을 판매할 때 신뢰를 심어주기 위해 팀 단위로 동선을 짜고 전문적인 용어를 사용하며
중요한 타이밍 맞춰서 전화를 걸었다는 얘기를 했습니다...
성격 자체에 문제가 있진 않지만, 대화에서 포장이나 과장이 다소 느껴졌습니다.
학습 분위기나 운영진에 대한 신뢰에 부정적인 영향을 끼칠 것이 약간 우려되는 인원입니다.</t>
  </si>
  <si>
    <t>https://docs.google.com/spreadsheets/d/18huZxZIXR-otjrlmWnGv18UAuwxyFAa319U26DGUvVA/edit</t>
  </si>
  <si>
    <t>[화상 인터뷰 합격]
자영업이 잘 안되서 찾아보다가 평소 게임을 좋아하니 게임 기획자를 잘 할 수 있을 것 같아서 지원했다고 합니다.
디아블로 2, 3, 롤, 배그, 애니팡, 라오킹 등, 플레이한 게임의 폭이 넓진 않습니다.
연령에 관계없이, 넓은 유저층이 할 수 있는 쉬운 게임을 만들어보고 싶다고 합니다.
흥미가 있을 땐 끈기 있으나, 흥미가 떨어지면 금방 식는편이라고 합니다.
병원에서 일할 때 약간의 협업 경험이 있다고 합니다.
의견 충돌이 있을 때, 처음에는 양보하고 안되면 본인 방식대로 끌고 나가는 편이라고 합니다.
자영업 정리로 인해, 과정 초반까지는 일주일에 두어번 정도는 한두시간씩 빠져야 한다고 합니다.
취업률이 사실인지에 대해 질문하여, 사실이라고 답했습니다.
면접에서 큰 문제는 없었지만, 지원 동기나 대화에서 열의가 느껴지지 않고, '그냥 한번 해보자' 느낌이 있습니다.
그래서 나이에 따른 현실을 마주했을 때의 이탈이 약간 걱정되는 인원입니다.</t>
  </si>
  <si>
    <t>https://docs.google.com/spreadsheets/d/157FsPYD3H_fFiRZ4x_cxZic4TWrdgqL5hjmG1PrO8mM/edit</t>
  </si>
  <si>
    <t>어렸을 때부터 게임 관런 직종에서 일하고 싶었다고 하고, 주위 사람들의 얘기를 들어보니 게임 기획 업무가 재밌어보여서 지원했다고 합니다.
주변의 2~3명 정도가 경일에서 수업을 듣고 추천했다고 합니다.
게임의 기틀을 만들 수 있다는 게 매력적이라고 생각해서 기획자를 지망하게 되었다고 합니다.
코딩을 유튜브로 독학하다가 그만둔적이 있다고 하여 코딩 수업이 괜찮은 지에 대해 물었는데, 수업이 있으면 오히려 좋을 것 같다고 답했습니다.
남한테 민폐가 되는 것을 매우 싫어하여 매우 예의 바르나, 그만큼 벽을 쌓는 편이라 다른 사람들이 다가오기 어려운 성격이라고 답했습니다.
문서 툴은 기본적인 수준에서 사용이 가능하다고 답했습니다.
큰 문제는 없어보이지만 팀 프로젝트 단계에서는 주시해야 할 인원으로 보이고, 기획에 대한 열정은 별로 없는 편이라고 느꼈습니다.</t>
  </si>
  <si>
    <t>https://docs.google.com/spreadsheets/d/1y_lgjSvY374c-hKS23HiQKQdnzcA0ceizpvWKfui9GM/edit</t>
  </si>
  <si>
    <t>게임을 만들고 싶어서 지원했다고 합니다.
게임 공고를 어느 정도 찾아봤는데, 개발쪽 공고를 위주로 많이 본 것 같습니다.
'기획자는 높은 사람 아닌가요?'라는 질문이 있었으며, 기획과 기획자에 대한 이해도는 거의 없었습니다.
뚜렷한 목표는 없었고, 취업에 대해 여러번 확인했는데, 취업 의지가 매우 낮아보였습니다.
빠르게 취업하겠다가 아니라, 더 좋은 기획자가 되기 위해 더 공부할거라고 했고, 현업자보다 지망생이 더 많은 역량을 쌓을 수 있을 거라고 답했습니다.
게임은 다양하게 플레이 해본 편입니다.
흥미에 매우 끌리는 편이라고 이야기했고, 8개월 간의 긴 과정에 대해서는 '싫어져도 그냥 할 것'이라고 답했습니다.
말투나 태도는 양호했습니다.
전체적으로 배우려는 의지는 있으나, 생각이 많이 얕고 목표가 뚜렷하지 않은, 많이 어린 학생 느낌입니다.</t>
  </si>
  <si>
    <t>https://docs.google.com/spreadsheets/d/1F8Y1sFQuh5B3Pv3RAbdcRYHfBSO1FcIQh774bI2XgI8/edit</t>
  </si>
  <si>
    <t>웹툰 작가를 희망했으나, 현실적으로 맞지 않다고 느끼고 게임 기획을 공부하기로 함.
세계관을 만드는 것을 좋아해 스토리 기획을 희망하지만, 다른 기획에 대해서도 열려있는 편.
유니티로 간단한 게임을 만들며 게임 기획에 흥미를 느낌 (모델링, 코딩 쪽은 흥미가 없어졌다고 함)
강점은 팀 작업에서 마찰없이 지낼 수 있다를, 단점은 회피 성향이 있다를 꼽음
문서 툴 사용 역량은 거의 없다고 함.
게임, 또는 게임 업게에 '흔적을 남기는 것' 을 목표로 한다고 함.
소통에 큰 문제는 없었으나 약간 말이 어눌했고, 마음이 여려 보임.</t>
  </si>
  <si>
    <t>https://docs.google.com/spreadsheets/d/1m0Y_LOzmWeYCvro3-HMV8joDMPELKBOQIy1cR9xgGRo/edit</t>
  </si>
  <si>
    <t>외국에서 웨딩 촬영, 영상 편집, 마트 매니저, 요리 등의 일을 하다가 2개월 전 귀국했다고 합니다.
캐나다 영주권자라고 합니다.
서브컬쳐에만 관심이 매우 많다고 합니다. (플레이중인 게임만 10종 이상...)
게임 기획과 기획자에 대해 아는 정보가 거의 없었습니다.
김용하 PD님처럼, 애정과 열정을 가지고 게임을 만드는 기획자가 되고 싶다고 합니다.
긴장을 많이 하는 편입니다.
소통에 큰 문제가 있진 않았으나, 자신감은 다소 부족해보입니다.</t>
  </si>
  <si>
    <t>https://docs.google.com/spreadsheets/d/1sr7EntLSxadPCQjJtLzbt2VWNASacy-LdQauS4v_oQM/edit</t>
  </si>
  <si>
    <t>게임 기획에 흥미와 적성이 맞을 것 같아 지원하게 됐다고 합니다.
게임을 할 때 게임의 요소를 분석하는 걸 좋아하고, 스토리를 찾아보는 것도 좋아한다고 합니다.
쿠키런은 9년 했고, 최근 TFT를 자주 한다고 합니다. 이외에도 스팀에서 다양한 게임을 플레이하거나 플레이 영상을 시청한다고 합니다.
한 회사에서 안정적으로 오래 일하고 싶다고 해서, 이직이 잦다는 이야기를 했으나 크게 개의치 않아 했습니다.
책임감이 강하지만 계획적이지 못한 편이라고 했고, 단점을 보완하기 위한 체크리스트, 근거 등을 생각하는 편이라고 합니다.
대학 생활에서의 발표 경험과 학생회에서의 협업 경험이 있고, 조교 생활을 1년 하면서 문서 툴은 어느 정도 다룰 수 있게 됐다고 합니다.
넥슨에서 일하는 친척이 있다고 합니다.
논리가 완벽하진 않지만 조리 있게 말하는 편이며, 매우 침착한 성격으로 보입니다.
과정을 무난하게 따라올 것으로 보입니다.</t>
  </si>
  <si>
    <t>https://docs.google.com/spreadsheets/d/1TjvYM9_G4avwg3h53viSoexyhIM5WMgrj4ibSDF16cE/edit</t>
  </si>
  <si>
    <t>게임 개발에 흥미를 느끼고, 유니티를 기초적인 수준까지는 공부해봤다고 합니다.
누나가 현업 게임 개발자로 일하고 있어서, 도움을 좀 받았다고 합니다.
게임을 개발하다보니, 결국 '게임의 구조나 틀이 정립되어있어야 한다' 라는 생각이 들어 게임 기획을 알아보게 됐는데,
점점더 게임 기획에 더 흥미를 느껴 이젠 개발자가 아닌 기획자로의 취업을 희망하고 있다고 합니다.
로스트아크, 롤, 에이펙스 등 하드하게 몰입하는 게임을 좋아하고, 모바일 등 라이트한 게임은 별로 좋아하지 않는 편이라고 합니다.
한 가지에 몰두하는 성격이 강점이지만, 그러다보니 주위의 다른 부분들을 놓치는 것을 단점으로 꼽았습니다.
MS Office는 기본적인 수준에서 사용할 수 있다고 합니다.
경제적 어려움때문에 저녁이나 주말에 일을 해야 할 것 같아, 팀 작업과 발표에 대한 고민이 있다고 했습니다.
예의가 바르며 선한 가치관을 지닌 사람이라고 느껴졌습니다.</t>
  </si>
  <si>
    <t>https://docs.google.com/spreadsheets/d/1BkFlEGb5JZxHpDIF05o7YcV3tAMXbZVygt3FYmuW0FY/edit</t>
  </si>
  <si>
    <t>메이플스토리, 롤, 오버워치의 시스템, 콘텐츠 분석을 해봤고, 게임 기획 관련 서적을 사서 읽어봤다고 합니다.
메이플스토리, 롤, 오버워치를 주로 하지만, 플레이 스토어에서 디펜스류 게임이 보이면 바로 해보는 편이라고 합니다.
강점으로는 끈기가 있는 성격을, 약점으로는 쉽게 긴장하는 성격을 꼽았습니다.
팀 작업은 대학교때 어느 정도 해봤고, 문서툴은 사회복무기간동안 어느 정도 써본 정도라고 합니다.
메이플스토리의 전투 기획자로 일하며, 직접 만든 캐릭터나 보스가 사람들에게 좋은 평을 받는 것을 목표로 한다고 합니다.
수업을 잘 따라올 인원으로 보입니다.</t>
  </si>
  <si>
    <t>https://docs.google.com/spreadsheets/d/17gCuA9Q9KswXtTdNck8FysfVXJURue0gsTAbUUEaygA/edit</t>
  </si>
  <si>
    <t>콘텐츠'에 관심이 많아서 대학에 진학할 때도 콘텐츠 전공을 선택했다고 합니다.
공부하다보니 많은 콘텐츠 중에서도 게임이 다양한 가능성을 가지고 있다고 판단하여 게임 기획자를 꿈꾸게 됐다고 합니다.
게임 산업에 대한 전반적인 이해도, 기획의 전반적인 직무, 포트폴리오를 목표로 과정에 들어왔다고 합니다.
이미 여러 채용 공고를 살펴봤다고 합니다.
주로 서브컬쳐 모바일 게임을 하며, 롤, 철권, 오버워치 등도 한다고 합니다.
마음에 여유를 항상 두지만, 그래서 결정장애, 거절의 어려움 등이 있다고 합니다.
의견 차이가 있는 상황을 어떻게 해결하겠냐는 질문에 정답이 있는 OX상황, 정답이 없는 AB상황으로 나누어 답변한 점이 인상적이었습니다.
중간에 취업이 되면 어떻게 되는지를 질문했습니다.
신념이 있지만, 유연하게 대처할 줄 아는 인원으로 생각됩니다.</t>
  </si>
  <si>
    <t>https://docs.google.com/spreadsheets/d/1PKMDy2ZPQXNmiP1Y1ubcx-PSm7eBJWNKQP-y599mRZA/edit</t>
  </si>
  <si>
    <t>2년 전에 경일게임IT아카데미 수업을 들으려 했는데, 금전적 이유로 일을 하게 되느라 시작하지 못했다고 합니다.
다른 부트캠프에서 개발을 배우다가 흥미를 잃고 포기했다고 합니다.
다만, 단순히 개발이 어려워서 포기한 것이 아니라 학원이 마음에 들지 않았다고 하며, 들었던 수업도 기획+개발 수업이었다고 합니다.
플레이하는 게임 장르가 매우 다양한 편이며, 고전 게임도 많이 즐긴다고 합니다.
시나리오, 퀘스트 쪽을 지망하나 다른 직군에 대해서도 열려있다고 합니다. (국어국문학과지만 연재, 수상 경력은 없음)
몰입을 했을 때의 집중력이 강하지만, 주위를 잘 둘러보지 않게 된다는 점을 단점으로 꼽았습니다.
대학 생활에서 협업한 경험이 많은데, 특히 학생회에서 축제 기획을 할 때 많은 경험을 쌓았다고 합니다.
수업 중에 마이크를 사용할 일이 많은지를 물어봤습니다. 현재는 동생이랑 방을 함께 쓰고 있으나, 따로 수업을 듣기 위한 공유 오피스를 알아보고 있다고 합니다.
코딩 단계에서의 성취도가 약간 걱정되나, 전체적으로 과정은 큰 무리없이 잘 따라올 인원으로 보입니다.</t>
  </si>
  <si>
    <t>https://docs.google.com/spreadsheets/d/1LY8y8XibkISQuZhRXaoa8w5fa42IluMwuJOyzsOjsT8/edit</t>
  </si>
  <si>
    <t>게임 사운드 디자이너가 되고 싶어서 사운드아트 전공을 선택했는데,
사운드 디자이너로의 취업이 어려워지면서 게임 관련 다른 직무를 알아보게 되었다고 합니다.
대학에서 [사운드 + 게임]에 대한 기획 수업이 있었는데, 관련 수업에서 좋은 성적을 받으며 게임 기획자의 진로를 생각하게 되었다고 합니다.
주로 서브컬쳐 게임을 하는 편이며, 시나리오 기획자를 희망하나 다른 직군에 대해서도 열려있는 편입니다.
기획자에게 중요한 것은 창의력이라고 답했습니다.
관심 있는 분야에서는 열정적이고, 관심 없는 분야에 대해서도 이전에 싫어하던 힙합을 공부했던 사례를 들어 열심히 할 수 있다고 답했습니다.
기초적인 수준으로 MS Office 활용이 가능하다고 합니다.
아직 재학중이라, 12/22(월)에 종강할 때까지 매주 월, 금 수업은 참여가 어렵다고 합니다.
졸업 작품 관련으로 합작을 하고 있고, 조별 과제에서도 팀장, 발표를 적극적으로 맡아왔다고 합니다.
다만 따돌림을 당한 적이 있다고 말한 것으로 보아, 대인 관계가 원활한 편은 아닌 것으로 보입니다.
수업과 팀 프로젝트 단계 양쪽 모두에서 약간의 우려가 되는 인원입니다.</t>
  </si>
  <si>
    <t>https://docs.google.com/spreadsheets/d/1sp0MF0hwI3vuo0SAQ8pEENBBmz_5IjXQAwGLSpQt5wk/edit</t>
  </si>
  <si>
    <t>한국게임과학고를 졸업하고 전남과학대 게임제작과는 1년 다녔으나, 집안 형편으로 인해 자퇴하고 아르바이트를 시작하며 게임 개발을 놓았다고 합니다.
프로그래밍 재능의 한계를 느끼고, 기획에 관심을 가졌으며, 플레이중인 게임의 역기획, 재미 요소 분석, 설계 분석 등을 해보았다고 합니다.
Visual Studio, 이클립스 (자바 개발 툴) 등을 이용해 피쳐폰 게임을 만들어본적이 있다고 합니다.
시나리오 기획을 희망하지만, 현실적으로 어렵다는 것을 잘 알고 있고 UI/UX기획부터 시작하고 싶다고 합니다.
학창 시절 게임을 팀 단위로 만들어보며, 기획자에게 제일 중요한 것은 '멘탈'이라는 생각이 들었다고 합니다.
플레이한 게임이 매우 다양한 편입니다.
최근 gpt oss를 다운받아, 본인이 하는 게임의 번역을 해주는 로컬 AI를 만드는등, 기술적인 학습을 강점으로 꼽았습니다.
전체적으로 소통이 원활하게 진행됐는데, 우울증과 ADHD가 있다고 합니다.
일반적인 상황에서는 뛰어난 성취도를 보일 것으로 생각하지만, 힘든 상황에 마주했을 때 어떻게 행동하는 지 지켜봐야 할 것 같습니다.</t>
  </si>
  <si>
    <t>https://docs.google.com/spreadsheets/d/120cUkWgXzH5i95i1R8G0ora1NEb0ConsIBSMYNPe_Xs/edit</t>
  </si>
  <si>
    <t>2020년에 한국영화아카데미에서 프로듀싱을 전공하여, 영화 기획, 스토리텔링, 가상 프로덕션, 콘텐츠 제작의 경험이 있다고 합니다.
작년에 제작사를 차린 후 영상 콘텐츠 기획을 주로 해왔으며, 최근에는 국가지원사업으로 AI캐릭터로 만드는 숏폼 콘텐츠 제작을 했다고 합니다.
영화, 드라마 등 영상 콘텐츠를 기획하고 만들던 경험에서 더 나아가 게임이라는 콘텐츠로의 확장을 이루고 싶어 지원하게 됐다고 합니다.
시나리오 기획을 지망하지만, 다른 기획도 배워보며 게임 기획 전반에 대한 이해를 갖추는 것을 우선으로 한다고 합니다.
게임 플레이 경험이 적은 편이고, 라스트 오브 어스, 용과 같이 등 콘솔 게임을 주로 했다고 합니다.
강점은 긍정적이고 도전적인 성격이라고 하고, 약점은 걱정과 불안이 많은 점이라고 합니다.
팀 작업, 발표, 문서 툴 사용에 모두 익숙하다고 합니다.
상당히 적극적이고 외향적인 성격으로 보이고, 시나리오나 콘텐츠 관련 수업에서는 수업에 긍정적인 영향을 끼칠 만하다고 생각됩니다.
다만 성격이 조금 급해보이고, 고집이 있어보입니다. 8개월이라는 긴 기간, 많은 나이에 대한 부분은 마음의 준비가 되어있다고 합니다.
취업보다 창업으로 가는 것을 희망한다고 합니다.</t>
  </si>
  <si>
    <t>https://docs.google.com/spreadsheets/d/1c_zcaPz_y7W8OgvzBYa9P1h8UIMxpAHWnVu5ReEHAuo/edit</t>
  </si>
  <si>
    <t>3월부터 11월까지 게임 기획에 대해서 강의를 들었다고 합니다.
원하는 기획은 전투 기획자로, 시스템 기획의 역량 보충을 고민하고 있다고 합니다.
시프트업에 관심이 많아 시프트업 취업자가 있는지 질문과 강사의 경력이나 회사, 강의 경력에 대한 질문도 있었던 것으로 보아,
좋게 이야기하면 신중하고 다르게 이야기하면 의심이 많은 것으로 보입니다.
기획에 대해 배운 것이 있고 원하는 기획이 후반부에 위치하고 있어 과정 집중에 걱정이 됩니다.
시스템 기획자로서 고점을 노린다면 개발을 배워보는 것은 어떤지 고민해보라고 했습니다.</t>
  </si>
  <si>
    <t>https://docs.google.com/spreadsheets/d/1N7Crv-LbnnDjfL0HZDhmlWf5yrF_md3msS7HdFmO6t4/edit</t>
  </si>
  <si>
    <t>게임을 너무 좋아해서 게임 기획자가 되고 싶어한다고 합니다.
롤, 피파, 배그, 오버워치 등 친구들과 함께할 수 있는 게임, 세키로나 엘든링같이 혼자 할 수 있는 게임 가리지 않고 다양하게 플레이한다고 합니다.
제일 좋아하는 게임은 포켓몬이며, 전 시리즈를 다 플레이해봤다고 합니다.
학교에서 한 달 동안 말을 아예 안한 적도 있을 만큼 소심한 성격이지만, 일에 있어서는 책임감이 강하다는 평가를 많이 들었다고 합니다.
대학교에서의 팀플 경험과 발표 경험이 다소 있고, 팀플에서 의견 차이가 발생하면 조용히 묻어가는 타입이라고 합니다.
매 주 주말 17~22시에는 알바를 한다고 합니다.
게임PM이 되고 싶어 이븐아이에서 PM 사전과정을 들은 적이 있는데, 게임 PM이 아닌 일반 PM과정임을 알고 그만뒀다고 합니다.
기획자에 대한 열정은 크지 않아보이지만, 취업에 대한 열망은 크다고 느껴졌습니다.
과정을 따라오는데 큰 문제는 없을 것 같지만, 소심한 성격에 대한 케어는 필요해보입니다.</t>
  </si>
  <si>
    <t>https://docs.google.com/spreadsheets/d/1rdmOih8FP6iPlysgLEcKg_VS9g3KZcbj688-omlfWMA/edit</t>
  </si>
  <si>
    <t xml:space="preserve">일본어학과를 나왔고, 방송영상쪽에서 일을 잠깐 해봤다고 합니다.
영상쪽은 현재 드라마가 주류인 분위기인데, 이 분위기와 맞지 않고 장래성에서도 게임이 좀더 유망해보이기 때문에 기획자를 지망하게 되었다고 합니다.
엘든링, 다크소울 시리즈, 레데리, GTA 라오어, 33원정대 등 트리플 A라고 불리는 게임들은 거의 다 해봤다고 합니다.
프롬소프트의 미야자키 히데타카와 같은 사람이 되어, 새로운 장르를 개척하고 싶다고 합니다.
ARPG등 헤비한 장르의 게임을 좋아하고, 라이트한 게임은 좋아하지 않는다고 합니다.
MBC 컴퓨터 아카데미에서 기획자 과정을 4일 들었는데, 거리가 멀어서 포기하고 본 과정에 지원하게 됐다고 합니다.
3D 프린터를 사용해봤다고 합니다.
문명 5의 시나리오 맵을 만들어본 경험이 있다고 합니다.
강점으로는 항상 무언가를 배우려고 하는 자세, 단점으로는 신경계가 예민하여 감각을 잘 느낀다고 합니다.
컴활 1급 자격증이 있다고 합니다.
게임을 예술로 생각하는 편이며, 철학이 확고하고 고집이 강해보입니다.
프로젝트 단계에서 팀원 배치를 세심하게 해야할 것으로 보입니다.
</t>
  </si>
  <si>
    <t>https://docs.google.com/spreadsheets/d/1D6TGZaJdoOhuqLGIa0PqNlXllWHtnx4BK3RtfaupvN8/edit</t>
  </si>
  <si>
    <t>첫 단계부터 게임에 관여할 수 있다는 점에 매력을 느껴 게임업계를 희망했다고 합니다.
고등학생때부터 진로를 게임 기획자와 디자이너 중에 고민했는데, 디자이너를 선택해서 시각디자인과에 진학했다고 합니다.
이후 sbs아카데미에서 캐릭터 디자인을 배웠는데, 학원에서 '2년정도는 더 해야...' 라고 해서 그만두고, 어렸을 때 고민했던 기획자를 선택했다고 합니다.
리틀 나이트메어 등 스토리텔링이 주가 되는 게임을 좋아한다고 합니다.
그래서 게임의 끝이 흐지부지되지 않도록, 멀리 보는 시야가 기획자의 주요 역량이라고 이야기했습니다.
기획자는 게임의 전체적인 틀을 만들고, 다른 부서와 조율해나가는 사람이라고 했습니다.
협업에서의 갈등은 최대한 원만하게 해결하려 하는 편이며, 그래서 팀원들의 의견을 더 수용하려고 하는 편이라고 합니다.
포토샵, 인디자인 등의 디자인 툴은 많이 사용해봤지만 파워포인트를 제외한 나머지 툴은 별로 사용해 본적이 없다고 합니다.
상당히 조용하고 내성적인 성격으로 보입니다.
문제를 일으킬 학생으로 보이진 않지만 그만큼 표현도 적은 성격으로 보여, 적극적으로 먼저 다가가야 할 것으로 보입니다.</t>
  </si>
  <si>
    <t>https://docs.google.com/spreadsheets/d/1u_B8GLJBUXmrNoBRHoZgsSvjRPyKVyOUnEnIbBmJOTE/edit</t>
  </si>
  <si>
    <t>호서 전문 학교에서 1년동안 유니티 사용에 대해 배웠지만, C, C#등 코딩에 대한 지식은 거의 없는 상태라고 합니다.
시나리오 작가만을 명확하게 지향하고 있어, 현실적인 어려움을 이야기해주었습니다.
밀리터리 장르, 스토리가 있는 서브컬쳐 장르를 좋아하지만 가챠를 매우 싫어한다고 합니다.
게임을 만들기 위한 활동들을 해왔고 지금도 TRPG를 만들고 있다고 합니다.
게임에 대한 본인의 철학이 매우 확고하며, 에고와 고집이 매우 강한 인원입니다.
팀 프로젝트, 발표에 대해 매우 자신이 없는 모습을 내비쳤고, '해 봐야 알 것 같다'라고 이야기했습니다.
궁극적으로는 1인 개발을 계획한다고 해서 개발을 추천했더니 흔들리는 모습을 보였는데, 면접 중간에 다시 기획으로 마음을 굳혔습니다.
말이 굉장히 많아 면접을 40분동안 진행했고, 면접관에게 AI에 대해 어떻게 생각하냐는 질문을 던지기도 했습니다.
과정을 잘 따라올지, 그리고 팀 작업에서 분란이 생기진 않을지 걱정이 되는 인원입니다.</t>
  </si>
  <si>
    <t>https://docs.google.com/spreadsheets/d/1FviKkpwZVGdSDw5SOtDTjJf02-vP_N8wT1mHz-F1LRw/edit</t>
  </si>
  <si>
    <t>게임을 좋아하고, 게임에 더 잘 알고 싶어서 지원했다고 합니다.
이터널 리턴, 듀앤나이트어비스를 주로 하고 있으며, 게임 플레이 경험은 좁은 편이라고 합니다.
기획자로써의 목표는 따로 없다고 합니다.
대화를 통해 갈등을 해결하려는 편이지만, 새로운 걸 배울 때 많이 느리다는 이야기를 듣는 편이라고 합니다.
생각과 소통이 약간 느리고 근거가 부족하긴 하나, 기본적인 소통은 되는 인원입니다.
2년정도 재고관리 업무를 한 적이 있고, 그 때 엑셀을 조금 다뤄봤다고 합니다.
개발은 어려울 것 같아서 기획에 지원했다고 합니다.
중간에 개발로 과정을 바꿀 수 있는 지를 질문했는데, 중간에 바꾸는 것은 어렵고 개발에 관심이 있다면 지금 바꾸는 것을 추천했습니다.
개발 화상 인터뷰 안내가 필요할 지를 물었는데, 고민하다가 결국 거절했습니다.
의욕이 별로 없어보이고 성취도에서도 걱정이 되는, 많은 관리가 필요해보이는 인원입니다.</t>
  </si>
  <si>
    <t>https://docs.google.com/spreadsheets/d/1C90idueOTokIzC5NrnOfPucJJ7VRJRzOqLV_Eb2ZSNw/edit</t>
  </si>
  <si>
    <t>전기공학과를 3년 다녔으나, 하고 싶은 일이 아니어서 휴학 - 자퇴를 하게 됐다고 합니다.
아르바이트를 하며 살다가 게임 관련 부트캠프 광고를 여러 차례 봤고, 특히 G식백과 광고에 끌려 지원했다고 합니다.
게임을 하다보면 아쉬운 부분이 많아서, 이를 고치고 싶어 기획자에 지원했다고 합니다.
기획자로서의 목표 등 구체적인 계획까진 따로 없다고 합니다.
거의 메이플스토리, 마비노기만 플레이해봤으며, 스팀에서 몇가지 게임은 해봤다고 합니다.
기획자에게 중요한 역량은 창의력, 소통력이라고 답했습니다.흥미를 가지면 열심히 하는 성격이지만, 낮을 많이 가리고 부정적인 생각을 많이 하는 편이라고 합니다.
팀 프로젝트와 발표에서 많은 어려움을 겪을 것 같다고 말했습니다.
문서 툴은 거의 다뤄본 적이 없다고 합니다.
소통이 원활하지 않았고 성취도에서도 걱정이 되는 인원이라, 많은 관리가 필요할 것으로 보입니다.</t>
  </si>
  <si>
    <t>https://docs.google.com/spreadsheets/d/1UEstrqpuxd_Miw5Xw14cAN62qiug9xIPSjqCvDE0cak/edit</t>
  </si>
  <si>
    <t>면접에 5분 일찍 양복을 입고 들어온 인원입니다.
RPG, FPS, 리듬게임, 서브컬쳐 쪽을 좋아하지만 플레이하는 게임이 그렇게 다양하진 않은 것 같습니다.
게임에서 제일 중요하게 생각하는 건 스토리, 캐릭터이며, 시나리오 기획자를 희망한다고 합니다.
기획자는 생각을 문서로 정리해서 공유하는 사람이며, 기획자의 제일 중요한 역량은 경청 및 수용이라고 답했습니다.
스스로를 질문이 있을 때 언제든지 대답할 수 있지만, 그 대답이 두루뭉술한 편이라고 평가했습니다.
갈등 상황에서는 상대방의 이야기를 들어보고, 프로젝트의 완성이라는 목표에 더 적합한 선택지를 찾는 편이라고 합니다.
워홀로 일본 호텔 식당에서 웨이터로 1년, 놀이동산 어트랙션 안내로 1년 반 정도를 일해봤다고 합니다.
자신이 만든 게임이 일본어를 포함하거나, 일본을 타겟으로 하면 좋을 것 같다고 합니다.
매우 예의 바르나, 쉽게 긴장하는 것이 역력히 보이는 인원입니다.
어느 상황에서도 무난한 선택과 성취를 보일 것으로 생각되어, 과정을 따라오는 데 큰 문제는 없을 것으로 보입니다.</t>
  </si>
  <si>
    <t>https://docs.google.com/spreadsheets/d/1WDQnceMmgrtbQYc4yXBqnuoC4wx5L9GjszUdkZCxyn4/edit</t>
  </si>
  <si>
    <t>졸업 시즌이 되어 취업을 고민하다가, 원래부터 좋아하던 게임의 기획을 선택하게 됐다고 합니다.
목표가 있냐는 질문에, '정확한 목표는 없지만, 협업을 통해 결과물을 만들고 발전시켜나가는 과정' 자체를 하고 싶어한다고 답했습니다.
메이플스토리를 주로 하며, 장르의 폭이 넓진 않은 편입니다.
한 가지에 파고 드는 성격이지만, 그 때문에 주위를 놓치는 성격이라고 합니다.
의견 차이가 생기면 원인 파악 후 대화를 통해 해결하는 편이라고 합니다.
졸업을 위해 필수로 들어아햐는 대학 영어 수업이 있어서, 아마 12/15부터 3주동안 주 3회씩 오프라인 수업을 들으러 가야 할 것 같다고 합니다.
행정적으로는 문제 없을 것이라는 답변을 받았다고 하는데, 결석으로 처리되지 않도록 안내를 해야할 것 같습니다.
수업적으로도 초반에 낮은 성취도를 보일 것으로 예상됩니다.
내성적이고 많이 어린 유형의 인원으로 보여, 초반 관리가 중요할 것 같습니다.</t>
  </si>
  <si>
    <t>https://docs.google.com/spreadsheets/d/1IvOZIWioUhq6GMgrtf6dHRCDjEbnPrswPUHY6c3DtSc/edit</t>
  </si>
  <si>
    <t>뮤지컬학과를 나왔지만, 취업을 고민하다가 게임 기획을 선택했다고 합니다.
마인크래프트 서버에서 마피아 게임에 여러 상황을 추가한 콘텐츠를 만들어본 적이 있다고 합니다.
다른 사람과 함께 하는 게임을 즐겨하고, 플레이한 게임이 그렇게 다양하진 않습니다.
상당히 완벽주의적인 성향이어서, 여러가지 시도를 잘 못한다고 합니다.
매사에 진지하고 항상 고민이 많아보이는 인원입니다.
기획자가 무엇을 하는 사람이라고 생각하는 지 묻는 질문에, 2분 정도 고민하다가 제대로 된 답을 하지 못했습니다.
 완벽주의적인 성향 때문에 발표도 자신은 없지만 해본 적은 있다고 하며, 뮤지컬을 할 때 팀 활동은 많이 해봤다고 합니다.
문서 툴은 사용해본적이 거의 없다고 합니다.
내성적이고 생각이 매우 많아보이는 성격이며, 생각에 비해 표현력이 많이 부족하다고 느껴졌습니다.
과정을 따라오는 데 큰 문제는 없을 것으로 보이나, 표현이 별로 없기에 운영진의 적극적인 케어가 필요해보입니다.</t>
  </si>
  <si>
    <t>https://docs.google.com/spreadsheets/d/1WHtbGLYADqA_l9o5Fun0YG7S69ay3-tBoKvIT4xNfQg/edit</t>
  </si>
  <si>
    <t>[화상 인터뷰 합격]
학점 은행제로 심리학을 공부했고, 올해 3월 컴퓨터공학과로 전과해서 C언어와 DB 구조, SQL을 공부하고 있다고 합니다.
책에 있던 C언어의 모든 예제를 풀어봤고, DB 구조와 SQL에 대해서도 교수님께 칭찬받을만큼은 공부햇다고 합니다.
대학교의 게임개발 동아리에서 보드게임 기획을 해본 경험이 있고, 유니티로 주사위를 굴리는 정도는 구현해봤다고 합니다.
동아리와 연계된 현업자들에게 기획서를 써보고 멘토링 받아본 경험이 조금 있다고 합니다.
커피를 마셔봐야 커피를 팔 수 있었던 경험을 이야기하며, 게임 기획을 하기 위해 개발을 공부한 이유를 설명했습니다.
게임 기획자를 재밌는 게임, 돈 되는 게임, (상대방을 설득할 수 있는) 말이 되는 게임을 만드는 사람이라고 정의했습니다.
고어한 게임을 제외하면, 모든 장르의 게임을 플레이하는 편이고, 제일 좋아하는 게임은 검은 사막이라고 합니다.
본격적으로 게임 기획 공부를 한 것은 9월부터이며, 부루마블에 대한 역기획서를 써봤다고 합니다.
본 과정의 지표 분석, 유니티 파트에 대한 궁금증이 크다고 합니다.
사무자동화산업기사 자격증이 있어 MS Office는 어느정도 다룰 수 있고, 최근에는 notion을 배워보고 있다고 합니다.
여러 회사의 커피챗을 신청해둔 상태라 과정 중에 하루씩 빠지게 될 수도 있다고 이야기했습니다.
과정에서 AI를 어떤 식으로 활용하는지, 커리큘럼에 있는 모든 기획을 배울 필요성이 있는지를 질문했습니다.
기획자가 되기 위한 준비를 많이 했다는 것이 느껴지는 인원이며, 뛰어난 성취도를 보일 것으로 기대됩니다.
다만 팀플에서 모든 것을 혼자 다 하려고 하는 성향이 있었다고 하여, 팀 프로젝트에서의 관찰이 필요해보입니다.</t>
  </si>
  <si>
    <t>https://docs.google.com/spreadsheets/d/153Varz5Q5WdrU0SHRcDqbchDq_MgGOo0AyjaL2uRE4s/edit</t>
  </si>
  <si>
    <t>인스타그램을 통해서 알게되어 한번 해볼까하여 지원했다고 합니다.
게임에 대해서는 고등학교시절 마비노기만 해봤으며, 게임보다는 애니메이션 보는 것을 좋아한다고 합니다.
컴퓨터에 대해서 it업계에 대해서, 게임 기획자에 대해서 아는 것은 없으며, 그냥 배워볼까 하는 마음으로 보입니다.
직업 훈련을 목적으로 한다는 안내에 조금 더 고민해봐야겠다는 답변이 있어 화상인터뷰를 종료했습니다.</t>
  </si>
  <si>
    <t>https://docs.google.com/spreadsheets/d/1EqDpxbLLWw2xaVI_Siqfa6bKO3LlK5Pb1QV870TdDRQ/edit</t>
  </si>
  <si>
    <t>서류에서 부터 문제가 있던 인원입니다. 
알고있는 취업분야에 직종을 나열하는 것이 아닌 "게임밸런스는 캐릭터들의 생김새,npc 등 게임에 나타나는 과정이기도 합니다" 라고 설명을 하는데 인터넷 검색만해도 알 수 있는 틀린 내용입니다.
지원자는 면접 전반에서 질문의 핵심을 이해하지 못하고, 대화의 맥락과는 무관한 답변을 반복하는 모습을 보였습니다. 
“왜 재미있는가”, “기획자는 역할을 하는 것이라 생각하나”와 같은 기본 수준의 질문에도 적절한 답변을 제시하지 못하였으며, 발언이 단편적이고 논리적 구조가 부족했습니다. 
이는 사고를 정리하고 언어화하는 능력, 상대의 의도를 파악하는 능력 등 평균치 이하의 인물입니다.
게임 기획자에 대한 이해도 또한 매우 낮은 수준이었습니다. 
더불어 자신의 목표나 동기를 설명하는 과정에서도 논리적 흐름이 유지되지 않아, 복잡한 정보를 문서화하거나 발표해야 하는 상황에 문제가 생길 인원입니다.
의사소통에서도 심각한 결함이 관찰되었습니다. 
동일한 질문을 여러 차례 설명해도 정확한 응답이 이루어지지 않았고, 발언 중 주제 이탈·즉흥적 내용 번복·비일관적인 문장 구조가 지속되었습니다. 
이러한 특성은 팀 프로젝트, 피드백 순환, 발표 등 협업 중심의 교육 과정 참여에 큰 장애가 될 것으로 판단됩니다. 
종합적으로 본 과정이 요구하는 최소한의 이해력·소통 능력·직무 적합성을 충족하지 못하므로, 선발은 부적합하다고 결론내렸습니다.</t>
  </si>
  <si>
    <t>https://docs.google.com/spreadsheets/d/1JtXOJosK4Dkqe4ykOQs0XyMBbmqtZA_CQxfGuJfsOuc/edit</t>
  </si>
  <si>
    <t>게임에 관심이 많아서 게임 관련된 일을 하고 싶다는 목표가 생겼다고 합니다.
처음부터 기획을 하고 싶어했지만, 기획을 하려면 개발 지식이 필요하다는 사실을 알고 기초적인 수준에서의 유니티와 코딩을 독학했다고 합니다.
하지만 독학의 한계를 느끼고, 과정에 지원하게 됐다고 합니다.
다양한 장르의 게임을 플레이 해본 편이라고 합니다.
기획자는 방향성을 잡는 역량이 제일 중요할 것 같다고 답했습니다.
스스로도 가능성은 매우 낮을 것 같지만, 게임 회사에 원서를 몇개 넣어둔 상태라고 합니다.
팀 작업과 발표에 회의적이지만, 경험도 있고 해야 한다는 필요성에 대해서는 공감한다고 합니다.
에고도 강하고 말도 많아보이는 편이나, 이를 정제하려한다는 느낌을 받았습니다.
수업에 잘 따라올 것으로 예상되나, 팀 프로젝트 단계에서의 관찰은 필요할 것 같습니다.</t>
  </si>
  <si>
    <t>https://docs.google.com/spreadsheets/d/15LA2BGaeWJDc173KpNt5u1NL6aOrx8CayOTZyEKX8-Q/edit</t>
  </si>
  <si>
    <t>Wixoss라는 오프라인 카드게임에서 알게 된 지인이 게임업계를 추천해서 게임 기획자를 지망하게 됐다고 합니다.
2023년 강남.. 으로 시작하는 학원에서 게임기획을 7개월 배웠다고 합니다.
수업에 집중하지 못했고, 포폴만 깎는 학원이어서 이번에 다시 게임 기획자 과정에 지원하게 됐다고 합니다.
목표는 따로 없다고 합니다.
서브컬쳐 장르 위주로 플레이 한다고 합니다.
본인의 강점을 소개하지 못했으며, 약점으로는 금방 질려하는 타입이라 한 게임도 오래 붙잡지 못하는 편이라고 합니다.
8개월의 긴 수업이 괜찮겠냐 여쭤봤는데, 지치면 그대로 수업을 듣기는 하겠지만 머리에는 잘 안 들어올 것 같다.. 라고 답했습니다.
팀 작업은 해본 적이 없고, 발표도 잘 못한다고 합니다.
전에 다니던 학원에서 MS Office는 조금 배워봤다고 합니다.
말이 매우 느리고, 대부분의 질문에 제대로 답을 하지 못하거나 고민 끝에 모르겠다라고 답했습니다.
자존감이 매우 약해보이는 인원입니다.
수업을 제대로 들을 수 있을 지 크게 우려가 되며, 팀 프로젝트 단계에서 소통이 매우 어려울 것으로 보입니다.</t>
  </si>
  <si>
    <t>https://docs.google.com/spreadsheets/d/1rlUAYD0cJeWtqBhJtNMt4kZyw5XwbR9RbcNnS60S7ag/edit</t>
  </si>
  <si>
    <t>어릴 때부터 드라마, 영화 등의 콘텐츠를 좋아하여 콘텐츠학과로 진학을 했고, 지금은 게임 콘텐츠에 관심이 생겨 지원하게 됐다고 합니다.
게임 기획에 대해 배운 적은 없지만, 학부에서 마케팅, 후킹 포인트, 고객 분석 등을 배웠다고 합니다.
RPG,TCG, 서브컬쳐, 패키지 게임 등 다양한 게임을 플레이하는 편이라고 합니다.
강점으로는 한 번 시작하면 끝을 보는 성격을, 약점으로는 사회화된 내향인이라 사람들과 깊은 관계를 맺지는 못하는 성격을 꼽았습니다.
현재 아르바이트를 하고 있으나, 수업이 시작하면 그만둘 예정이라고 합니다.
게임업계에 취업을 해도 당장 엄청난 게임을 만들 수 있진 않겠지만, 현실에서 느낄 수 없는 경험을 전달하는 게임을 만들고 싶다고 합니다.
통일부에서 주관하는 대학생 토론 대회를 나가본 적이 있다고 합니다.
온라인 수업에 대한 걱정을 질문했는데, 그리 큰 걱정은 아니었습니다.
생각을 정리해서 말하는 데 능숙하며, 게임 기획자에 대한 확신이 있어보이는 인원입니다.
무난하게 수업을 잘 따라오고, 팀원들을 리드할 것으로 보입니다.
다만 팀 프로젝트에서 어떤 역할을 맡는 지는 지켜볼 필요가 있어보입니다.</t>
  </si>
  <si>
    <t>https://docs.google.com/spreadsheets/d/1TqyWWtoGp5cRhqvuXVGhrmzGGqcPTtijtTExY4euGMs/edit</t>
  </si>
  <si>
    <t>면접에 3분 지각한 인원입니다.
게임이 관심이 많아 게임업계에서 일하러 왔다고 하는데, 개발보단 이벤트, 시스템 쪽에 관심이 있어서 기획자를 지망하게 됐다고 합니다.
기획자는 회사와 유저의 요구를 조율하여 시너지를 내는 사람이라고 답했습니다.
기획자에겐 게임시장에서 살아남기 위한 아이디어가 중요할 것이라고 답했습니다.
강점으로는 배움이 빠르다는 점, 약점으로는 멘탈이 좀 약해서 스트레스를 혼자 삭히는 점을 꼽았습니다.
스트레스는 외향적인 활동이나 게임을 통해 해소한다고 합니다.
팀 프로젝트, 발표는 외향적인 활동이라 좋아한다고 했지만, 해본 경험이 그리 많지는 않아보입니다.
옷 가게에서 2~3명의 팀 단위로 코디와 판매를 하던 경험과, 옷에 대한 발표를 진행한 경험을 이야기했습니다.
좋아하는 게임은 바람의 나라, 검은 사막, 그리고 로드나인와 리니지라고 합니다.
나이에서 오는 어려움에 대해 인지하고 있었지만, 게임업계와 관련된 경험이나 경력은 없었습니다.
양팔에 문신이 있었습니다.
이야기의 근거가 많이 부족함에도, 대부분의 질문에 시원하게 대답하는 부분에서 이야기의 진위를 약간 의심하게 됐습니다.
하지만 이탈 사유에 해당할 만한 말과 행동을 하진 않았습니다.</t>
  </si>
  <si>
    <t>https://docs.google.com/spreadsheets/d/1uGCRjGOZu4LNYwmE_TfLrcM6J1BZVUQH4Q5oNL9OAS0/edit</t>
  </si>
  <si>
    <t>3분 정도 지각한 인원입니다.
기획자는 게임의 전체적인 틀부터 세부적인 부분까지 만드는 사람이라고 답했습니다.
강점으로는 타인을 이해하려고 노력하는 성격을, 약점으로는 낯을 많이 가리는 성격일 꼽았습니다.
대학 생활, 그리고 공공 데이터 관련 업무에서 진행한 인턴십 과정에서의 협업 경험이 있다고 합니다.
협업에서 의견 차이가 발생하면 최대한 대화를 나눠보고, 그래도 해결이 안되면 수용하는 편이라고 합니다.
IGA신증이라는 신장 이슈가 있지만, 정말 많이 피곤한 것만 아니면 일상생활에는 문제가 없다고 합니다.
엑셀을 활용한 문서 작업은 어느정도 가능하다고 합니다.
내향적인 성격으로 대화를 그렇게 잘 하지는 못하지만, 예의가 바른 인원입니다.
나이에서 올 어려움을 이야기했고, 충분히 인지하고 있으며 노력해보겠다라고 답했습니다.
기획과 개발 사이에서 고민하다가 기획을 지원하게 됐다고 하여 개발쪽으로 바꾸는 것을 권유해봤지만, 결국 기획 과정을 선택했습니다.
과정을 따라오는 데 큰 문제는 없을 것으로 보이지만, 취업 단계에서는 많은 케어가 필요할 것으로 보입니다.</t>
  </si>
  <si>
    <t>https://docs.google.com/spreadsheets/d/1D5_xWCZMi__koJQEKp8TXFhj1-fbFY6N4I11SBV1EkQ/edit</t>
  </si>
  <si>
    <t>취미로 마인크래프트 사설 서버를 6개월동안 기획, 운영해본 경험이 있다고 합니다.
이 때 개발자들에게 무리한 요구를 해서 결국 팀이 해체된 경험이 있어, 좀더 좋은 기획자가 되기 위해 과정에 신청했다고 합니다.
기획자로서의 성장에 집중하려 하지만, 빠르게 중소기업에라도 취직해서 역량을 쌓겠다는 목표 또한 가지고 있습니다.
의견을 잘 내고, 문제점을 잘 인식하고 분석하는 편이지만, 이를 다른 사람에게 설명하는 능력이 부족하다고 스스로 평가했습니다.
메이플스토리, 메이플랜드, 롤, 배그 등 특정 장르의 게임만 플레이하는 편이라고 합니다.
의견 충돌이 생기면, 본인 의견의 설득을 우선으로 한 후 조율을 할 것 같다고 합니다.
컴활 시험 결과를 기다리고 있고, ITQ 자격증이 있다고 합니다.
도전에 긍정적이고 열심히 하는 인원으로 보여 과정은 문제없이 잘 따라올 것으로 보입니다.
다만 고집이 조금 강해보여, 팀 프로젝트 단계에서 지켜볼 필요가 있어보입니다.
12/8~12/11 예비군으로 첫 수업 4일을 빠지게 될 예정이라고 합니다.</t>
  </si>
  <si>
    <t>https://docs.google.com/spreadsheets/d/1A1vtExcRr0LbXbL_c39lnzqh9fDF1aFeqc5J5tOdU-U/edit</t>
  </si>
  <si>
    <t>타 학원에서 게임 기획을 6개월간 배워본 인원입니다. 포트폴리오 작성은 했는데, 면접에서 계속 떨어졌다고 합니다.
게임을 만든 경험이 없어, 프로젝트에 대한 관심을 갖고 과정에 지원했다고 합니다.
대화에서도 게임 기획에 대한 베이스는 어느 정도 깔려있는 것으로 보였습니다.
다양한 장르의 게임을 플레이하는 편이며, 그 중에서도 오픈월드 RPG 장르를 제일 좋아한다고 합니다.
기획자에게 제일 중요한 것은 소통 역량이라고 이야기했습니다.
ppt로는 포트폴리오를 작성한 적이 있다고 했고, 엑셀은 잘 다루지 못한다고 합니다.
제일 관심이 있는 직무는 시스템, 레벨이라고 합니다.
매우 꼼꼼한 성격이지만, 그 때문에 시간 약속을 지키지 못한 경우가 종종 있었다고 합니다.
대체로 둥근 성격으로 보이지만, 긴장하거나 당황하는 모습이 종종 보였습니다.
과정을 잘 따라올 것으로 생각됩니다.</t>
  </si>
  <si>
    <t>https://docs.google.com/spreadsheets/d/1EGEp-Tutzf_XDJyt47Hp4roTmaQZscKiEFoqSNGMQqs/edit</t>
  </si>
  <si>
    <t>게임 동아리에서 1년 정도 프로젝트를 진행하여, 대학 공모전에 제출한 경험이 있다고 합니다.
기획1, 개발2, 아트1로 구성된 팀이었고, 그 과정에서 기획자에게 중요한 것은 개발, 아트 등 다른 직군에 대한 이해라는 것을 배웠다고 합니다.
약간의 코딩과 유니티 엔진 사용을 경험해봤다고 합니다.
생각이 깊은 편이지만, 이를 다른 사람들에게 설명할 때 생기는 갈등을 회피하는 성향이 있다고 합니다.
평일 야간, 토요일 알바가 있는데 계속 할 예정이라고 합니다.
워드, 파워포인트 자격증이 있다고 합니다.
아직까지 내일배움카드 신청이 완료되지 않아, 첫 주 수업에서 출석처리를 하지 못하며, 첫 주엔 기말고사도 있다고 합니다.
SBS에도 수강신청을 해둔 상태라고 하며, 그쪽으로 갈 수도 있다는 이야기를 했습니다.
성격에는 큰 문제가 없으며, 성취도도 양호할 것으로 보이나 알바나, 다른 공부를 많이 하는 편인 것 같습니다.</t>
  </si>
  <si>
    <t>https://docs.google.com/spreadsheets/d/1cGoFCSmDsaT6ezYjz_rPqAD2E0kUl3zutC-p2CLiEn8/edit</t>
  </si>
  <si>
    <t>엘소드를 오래 플레이하여, 코그에 어떻게 하면 입사할 주 있는 지 메일을 보낸 적이 있다고 합니다.
5차례 정도 메일을 주고 받으며, 코그의 채용 정보를 듣고 간단한 역기획서를 써서 보냈는데, 좀더 공부하면 좋을 것 같다는 답변을 받았다고 합니다.
예전부터 게임에서의 경험, 감정을 설계하는 일을 하고 싶어했고, 그래서 과정에 지원하게 됐다고 합니다.
꼭 코그아 아니더라도, 다른 회사에 가서 역량을 쌓을 생각이 있다고 합니다.
팀 프로젝트를 해본 적은 없지만, 엘소드에서 레이드를 하면 많은 팀 활동을 해봤다고 합니다.
갈등이 생기면 최대한 타협안을 제시하여, 팀이 터지지 않도록 하는 편이라고 합니다.
진중하면서 조용한 성격으로 보였고, 팀 활동에서 문제가 될 만한 소지는 없어보였습니다.
다만 과정을 따라오는 것에 대해 걱정이 있어보여, 이 부분에 대한 관찰이 필요할 것 같습니다.</t>
  </si>
  <si>
    <t>https://docs.google.com/spreadsheets/d/1U1COvqY8Ma9_aTG4SC5wi8jlG919e_7DlTBvFVtNss8/edit</t>
  </si>
  <si>
    <t>게임 기획자가 되고싶어서 기존 대학교 자퇴하고 게임과를 들어갔던 인원입니다.
게임 기획에 대한 이해도가 높으며 의사소통에 문제가 없습니다.
게임은 서브컬쳐류를 주로 플레이하며 게임을 다양하게 하려고 노력합니다.
본인이 생각하는 강점으로는 UX 부분에 대한 인지 능력, 단점으로는 투머치토커... 라고 합니다.
시나리오 기획을 최선호 하지만 고집할생각은 없으며 다른 직종으로도 취업할 생각은 있다고합니다.
시나리오 기획에 대한 내용을 알려주었으며 이 인원도 그 내용에 대해서 인지 하였습니다.
전체적으로 핏도 좋으며 앞으로의 행보가 기대되는 인원입니다.</t>
  </si>
  <si>
    <t>https://docs.google.com/spreadsheets/d/1Tm7LfDgJJAtkhK02pXAte0xU-IdhX6fDxFYdtvAsP_g/edit</t>
  </si>
  <si>
    <t>게임콘텐츠학과를 졸업한 인원이며, 게임 기획서와 게임 프로젝트를 만들어 졸업했다고 합니다.
졸업 후 취업이 잘 안되서 다른 활동을 하다가 원래 꿈을 찾아 돌아왔다고 합니다.
기획자에게 제일 중요한 역량은 소통이라고 답했고, 자신의 강점도 소통이라고 이야기했습니다.
게임을 매우 다양하게 하는 편이며, 파판14, 모비노기에서 스프레드시트를 활용해 공대를 운영한 경험이 있다고 합니다.
다만 지나치게 꼼꼼한 성격을 단점으로 꼽았습니다.
주말에 알바를 하고 있다고 합니다.
MS Office, 구글 드라이브나 notion, slack 등 다양한 툴을 활용한 경험이 있다고 합니다.
개인 포트폴리오에 대한 피트백을 요청해도 되는지에 대한 질문이 있어, '행정적으로 어렵다' 라고 답했습니다.
과정을 무난하게 따라올 것으로 생각되는 인원입니다.
다만 팀 프로젝트 단계에서, 팀장을 맡았을 떄 어떻게 행동하는 지는 지켜볼 필요가 있어보입니다.</t>
  </si>
  <si>
    <t>https://docs.google.com/spreadsheets/d/1wVnhoyth77kfwPGvBcKluaFYnGebFmvn8i-lscgLsso/edit</t>
  </si>
  <si>
    <t>게임의 틀을 만드는 데 매력을 느꼈고, 게임업계에서 일하는 지인의 추천으로 게임 기획자를 지망하게 되었다고 합니다.
RPG 장르의 기획자가 되는 것이 목표지만, 현실적으로 취업 자체를 최우선으로 생각하고 있다고 합니다.
모바일, 콘솔쪽은 비교적 덜하지만 게임을 다양하게 해봤다고 합니다.
기획자에게 중요한 것은 소통 능력이라고 답했습니다.
성실함을 강점으로 꼽았고, 융통성이 떨어지는 점을 약점으로 꼽았습니다.
학원의 다른 과정도 들을 수 있는 지 등을 질문하기 위해 부원장님께 면담을 요청했으나 성사되지 않았다고 합니다.
정규 시간 이후의 Q&amp;A, 비치된 책 대여 여부, 취업률, 수료 이후의 강의 열람, 업계 분위기, 기업과의 협약 여부, 포트폴리오 등 매우 다양한 질문을 했습니다.
학원에 이미 한번 와봤다고 합니다.
질문이 30분정도 이어졌습니다.
많은 나이, 함께 할 다른 인원들의 퀄리티를 걱정하고 있었습니다.
수업을 따라오는 데는 문제가 없을 것으로 보이지만, 이탈하지 않도록 관리가 필요할 것 같습니다.</t>
  </si>
  <si>
    <t>https://docs.google.com/spreadsheets/d/124unUkRkJTIBk1YpE2s-aMcn70m7nPvM6G9IG97Wm-8/edit</t>
  </si>
  <si>
    <t>고3때 봉사활동에서 UI디자이너를 지망하던 대학생을 만나, 게임업계에서 일하는 것에 대한 꿈이 생겼다고 합니다.
하지만 현실적인 이유로 바로 공장에 취업하여 일하게 되었지만, 직업병도 생기는 등 업무에 대해 허무함을 느끼고 예전의 꿈을 다시 찾으려 한다고 합니다.
게임 기획에 대해 관련 유튜브나 블로그를 약간 찾아본 편이라고 합니다.
기획자에게 제일 중요한 역량은 소통이라고 답했습니다.
공장의 생산라인 책임자로서, 일을 분배하는 업무를 해왔다고 합니다.
2D 사이드 뷰의 어드벤쳐 게임을 만들고 싶다고 합니다.
수집형, 방치형 RPG를 좋아하지만 이외에도 다양한 장르의 게임을 좋아한다고 합니다.
매우 이성적이고 차분한 성격이지만, 스트레스를 받으면 다혈질이 되며, 산책과 게임을 통해 스트레스를 해소한다고 합니다.
워드 자격증은 있지만, 엑셀과 파워포인트는 거의 다뤄보지 않았다고 합니다.
수업 외 시간에 질문이 생기면 연락해도 되는지를 물었습니다.
수업은 잘 따라올 것으로 생각되나, 주기적인 체크는 필요해보입니다.
팀 프로젝트 단계에서 힘든 상황이 생겼을 때, 어떻게 반응하는 지 관찰이 필요할 것 같습니다.</t>
  </si>
  <si>
    <t>https://docs.google.com/spreadsheets/d/1oMS__fBx-IINWh9vq413Epvj_8hmfYdgxxGyPozvgpI/edit</t>
  </si>
  <si>
    <t>서브노티카, 마운틴 블레이드, 롤 등, PC에서는 다양한 장르의 게임을 플레이하나, 모바일과 콘솔쪽은 거의 플레이 해본 게임이 없다고 합니다.
자신의 창의성, 직관성을 발휘할 수 있는 분야가 기획이라고 생각해서 기획에 지원했다고 합니다.
다만 프로그래밍에 대한 약간의 두려움, 비전공자 위주의 직군이라는 점 때문에 지원한 것도 있다고 합니다.
어떤 게임을 만들고 싶냐는 질문에, '장르는 상관 없고, 재밌는 게임을 만들고 싶다' 라고 답했습니다.
강점으로 논리력과 직관성을, 약점으로는 느긋한 성격을 꼽았습니다.
팀 작업과 발표 경험이 많지는 않지만, 잘할 수 있다고 답했습니다.
엑셀, ppt는 기본적인 수준에서 사용할 수 있다고 합니다.
짧은 호흡의 수업보다 긴 호흡의 더 좋다면서, 수업 시간에 대한 질문을 했습니다.
갈등이 생기면 상대방 의견에 따르는 편이라고 합니다.
면접에서 열의가 느껴지진 않았지만, 여유롭고 느긋한 성격이라 그런 것으로 느껴졌습니다.
팀 프로젝트 단계에서는 큰 걱정이 없으나, 수업 성취도 면에서는 다소 관찰이 필요해보입니다.</t>
  </si>
  <si>
    <t>https://docs.google.com/spreadsheets/d/1VUlEB3rBT33ruXO29pnR1ZBrOlEqPlGW652CJgGeRPk/edit</t>
  </si>
  <si>
    <t>직전까지 여러 과정들을 고민하며 타 교육기관 언리얼 과정을 청강하다가 게임 기획자 과정인 여기로 신청했다고 합니다.
소통에 있어서 원활하지 않으며 횡설수설 하는 부분은 있지만 크게 문제가 될거같진 않습니다.
기획자에 대한 동기나 목적성은 약하지만 크게 문제를 일으킬거 같진 않습니다.
게임 플레이 이력으로는 데스티니 가디언즈, 던파 기타 스팀게임이라고 합니다.
본인이 생각하는 단점으로는 지루함을 극도로 기피함(반복 작업), 장점으로는 다양한 분야를 시도를 해볼수 있는 자신감 이라고 합니다.
과정 진행중 본인이 문제를 일으킬거 같지 않은 인원입니다.</t>
  </si>
  <si>
    <t>https://docs.google.com/spreadsheets/d/1I-9I3ea-8W9kbDZxCdKqRzCpsg-EBF75tzdDkisT_r0/edit</t>
  </si>
  <si>
    <t>지인들끼리 보드 게임을 만들어서 대회를 개최해본 경험이 있다고 합니다.
게임에서 스토리를 중요하게 여기지만, 스스로의 시나리오 역량이 뛰어나진 않다고 생각해서 콘텐츠나 레벨 디자인을 그나마 희망한다고 합니다.
특정 장르, 게임을 만드는것보다 기획자로서의 역량 향상을 목표로 한다고 합니다.
다른 사람들의 의견을 최대한 수용하고 왜 그렇게 생각했는지를 혼자 생각하고 이해하려고 노력하는 편이라고 합니다.
다만 그러다보니 협업에서 시간이 많이 걸리는 단점이 있다고 합니다.
팀 프로젝트와 발표를 많이 해보진 않았지만, 잘할 수 있다고 합니다.
과정이나 팀 프로젝트 단계에서 모두 무난한 인원으로 파악되며, 팀장을 맡았을 때 어떻게 대처하는 지 관찰하면 좋을 것 같습니다.</t>
  </si>
  <si>
    <t>https://docs.google.com/spreadsheets/d/1LXyzQqY_or4fL5q9N1UfGWEyHjgH_DK6AbOwMkjUD5I/edit</t>
  </si>
  <si>
    <t>재미나 즐거움을 주는 일을 좋아하여 기획자를 목표했다고 합니다.
미술을 전공하였고 의류회사에서 디자인 업무를 진행한 이력이 있다고 합니다.
바이브 코딩으로 미니게임정도는 만들어본 경험이 있다고 합니다.
게임 경험은 다양하지 않아보이나 과정에 큰 문제는 없을 것으로 판단됩니다.</t>
  </si>
  <si>
    <t>https://docs.google.com/spreadsheets/d/14R9P6zAFKJRwIFcAb8IT-41kysvC6HBaXFgAlvOsM2g/edit</t>
  </si>
  <si>
    <t>개발 부트캠프를 수강하고 개발 업계 3년 경력이 있습니다.
라스트오리진 팬게임 "에라라오" 포팅 및 유지보수 경험이 있습니다.
면접을 진행함에 있어 소통이 원활하고 생각에 깊이가 있습니다.
플레이 하는 게임으로는 SRPG 및 턴제 아니면 잘 못하다보니 스트레스를 받아서 못한다고 합니다.
본인이 생각하는 강점으로는 개발 경력이 있어 시스템적 사고, 단점으로는 게임 플레이 풀이 좁다 라고 합니다.
특이사항으로는 과정 중간에 취업할수도 있는 확률이 있다고 하여 행정상 안내를 마쳤습니다</t>
  </si>
  <si>
    <t>https://docs.google.com/spreadsheets/d/1wBug4WzOLsfIslCb2m-tN6O2WWnawt3nbwiMnMp5bPs/edit</t>
  </si>
  <si>
    <t xml:space="preserve">교육쪽을 원래 전공하였지만 경쟁상대인 유튜브와 게임에 밀려 게임 기획자가 되기로 마음먹었다고 합니다.
게임 관련 학습은 없지만 많은 고민을 거치며 답변을 하는 인원입니다.
취업에 대한 열의가 깊으며 비 전공자의 현실을 이해하고있습니다. 교육 전공이다보니 고지식한 면이 있습니다.
게임 자체는 다양하게 이해해보려고 하지만 피지컬 이슈(?)로 소울이나 액션..등은 주로 플레이하지 않는다고 합니다.
세티스팩토리를 가장 좋아한다고 합니다.
본인이 생각하는 강점으로는 교육 이력이 있는 것, 단점으로는 기억력 이슈(단기 기억력) 라고 합니다.
과정 진행에는 문제가 없을것으로 판단됩니다 </t>
  </si>
  <si>
    <t>https://docs.google.com/spreadsheets/d/1SsE71F9bxH9dvEj2OvzfyL1NdiHoSO-IBIHZXhs7Eek/edit</t>
  </si>
  <si>
    <t>성적에 맞춰 학교를 갔고, 관련 분야로 취업을 준비하다보니 흥미가 없는 일을 하는 것에 대한 고민이 깊어졌다고 합니다.
그래서 평소 좋아하던 게임 관련 업계에서 일하고 싶어졌고, 유저의 시선에서 바꾸고 싶은 부분들이 많다고 합니다.
기획자는 게임의 뼈대를 잡고 총괄하는 사람이라고 답했습니다.
기획자에게 제일 중요한 역량은 소통이라고 답했습니다.
철권 4000시간 이상 플레이 했으며, 서브컬쳐 수집형 RPG, 그리고 하데스 같은 로그라이크 게임을 좋아한다고 합니다.
강점으로는 높은 집중력을, 약점으로는 집중이 깨졌을 때 예민해지는 성격을 꼽았습니다.
제약 회사 취직을 준비하며, 4학년 내내 약을 만들어보는 팀 프로젝트를 진행한 경험이 있다고 합니다.
갈등이 발생하면, 결과, 지표, 책을 근거로 설득하는 편이며, 그래도 해결이 안되면 능력과 의욕이 있는 사람을 우선시한다고 합니다.
문서 툴 역량은 거의 없다고 합니다.
책을 많이 읽어봤다고 하며, 모든 답변에 경험과 근거를 붙이는 편입니다.
성취도와 팀 프로젝트 모두에서 무난함을 보일 것으로 생각되는 인원입니다.
다만 팀장을 맡을 만한 역량인지는 관찰이 필요할 것 같습니다.</t>
  </si>
  <si>
    <t>https://docs.google.com/spreadsheets/d/1ZMUAgDcQozUvIhMl3cr2dY5x-Gm9PK1YLDfGvB38ex0/edit</t>
  </si>
  <si>
    <t>기획이지만 서류를 플밍에 작성해서 면접 진행에 문제가 있었습니다.
실음 전공이지만 사무직 3년 경력이 있습니다.
창작을 원래부터 좋아하다보니 게임쪽 기회가 열려서 지원했다고 합니다.
게임을 창작 대한 열의는 뛰어납니다
질의 응답에도 생각을 거치며 진중한 태도로 임합니다.
게임은 다양하게 즐기려고 하며 장르도 안가린다고 합니다. 기억에 남는 게임으로는 로스트아크와 스텔라블레이드라고합니다.
본인이 생각하는 장단점으론 강박이 있다고 합니다. 
팀플을 너무 기대하는 질문이 있어 이 부분에 있어 현실적인 조언을 해주고 마무리 했습니다.
과정 이행에는 문제가 없는 인원이라고 판단했습니다.</t>
  </si>
  <si>
    <t>https://docs.google.com/spreadsheets/d/11d_ppm-yqLlrnIkl0nSMUReASOjaHeRZYpSdJSwzvq0/edit</t>
  </si>
  <si>
    <t>컴공을 나왔지만 항상 기획에 대해 흥미를 가지고 있었고, 그래서 평소 좋아하던 게임에 더해 게임 기획을 지망하게 되었다고 합니다.
기획자로서의 취업을 준비하는 과정에서 MMORPG의 전투, 퍼즐 게임의 기획서를 어느정도 써봤다고 하고, 역기획서는 써보지 않았다고 합니다.
기획자에게 제일 중요한 역량은 프레젠테이션, 즉 전달 역량이라고 답했습니다.
취업하면 현실적으로 본인의 생각을 담긴 힘들겠지만, 언젠가는 스토리텔링이 담겨있는 게임을 만들고 싶다고 합니다.
콘솔 기기에서 하는 퍼즐, 리듬 게임, MMORPG, 비주얼 노벨 위주로 게임을 플레이한다고 합니다.
강점으로는 매우 활동적이고 회피하지 않는 성격을, 약점으로는 구체화된 설명을 잘 하지 못하는 점을 이야기했습니다.
의견 차이가 발생하면 양보할 수 있는 부분과 그렇지 않은 부분을 고려하는 작업부터 하는 편이고, 대체 방안이나 우회 방안을 제시하는 편이라고 합니다.
문서 툴은 기본적인 수준에서, 디자인 툴은 편집용으로 조금 써봤다고 합니다.
대화의 논리와 근거를 갖춰서 이야기하는 편이긴 하나, 그 구성이 약간 아쉽다고 느껴졌습니다.
협업이 불가능할 정도는 아니지만, 에고가 상당히 강하다고 판단되는 인원입니다.
성취도에 있어서는 문제가 되지 않을 것으로 보이나, 운영진과의 신뢰, 다른 학생을 대하는 태도 등 소통 쪽을 유심히 관찰해야 할 것으로 보입니다.</t>
  </si>
  <si>
    <t>https://docs.google.com/spreadsheets/d/1CmJEs88aONvzRs7e-GhXpiGn_lkirvNTfncKoiludSY/edit</t>
  </si>
  <si>
    <t>기획자가 되고싶었던 이유는 던파 유저 입장에서 답답해서 찾아보다가 생각이 확장해서 지원하게 되었다고합니다.
기획 관련 학습 경험은 없으나 고민과 고찰이 있는 답변들을 하였습니다.
게임 플레이 경험은 롤,배그,메이플,던파... 등등 일반적으로 유행하는 게임들만 플레이 했습니다.
본인이 생각하는 강점으로는 책임감 단점으로는 책임감으로 인한 집요함, 집착 이라고 합니다.
학생들과 크게 마찰을 일으킬거 같지는 않은 인원입니다.</t>
  </si>
  <si>
    <t>https://docs.google.com/spreadsheets/d/1IqCA-TGEynCaqrxzAV0qouN6GYzeKBLQe0IUaNx8KiA/edit</t>
  </si>
  <si>
    <t>C언어 자바 학습 이력이 있음 타 업계 취업 경력 1년 
시나리오 기획자를 보고 업계에 입문을 하고싶어졌고, 질문을 해보니 지금은 모든 직군을 열어서 보고 있다고 합니다
게임 업계에 대한 학습 경험은 없으나 태도가 진중하며 의사소통이 원활합니다.
게임은 다양하게 플레이 해보려고 노력하는 편입니다.
본인이 생각하는 강점으로는 친화력이라고 합니다. 단점으로는 조급함이라고 합니다.
과정 진행에는 문제가 없어보입니다.</t>
  </si>
  <si>
    <t>https://docs.google.com/spreadsheets/d/1xjmy0vOp3FRuHV_MGYD8ubUR3uI41TKFqDWzgqeHI2w/edit</t>
  </si>
  <si>
    <t>서류전형 기준으로는 지원자는 프로그래밍으로 진로를 확정하고 작성한것으로 파악되어, 면접 진행 초반에 개발 과정 희망 여부를 재확인하는 절차가 필요했습니다. 
서류에 기재된 방향성이 기획보다는 구현·기술 학습 쪽에 가까운 인상이라, 과정 선택 적합성을 확인하기 위한 질문이 있었습니다.
면접 답변에서는 “특정적으로 정해진 것은 없고, 일단 게임 분야를 배워보고 싶다”는 취지로 진술하며 서류에서 읽히는 방향성과 면접 발언 간 불일치가 발생했습니다.
 이는 단순한 진로 미정일 수도 있으나, 인터뷰 흐름상 서류 진술의 사실성에 대한 의문을 야기할 수 있는 요소로 작용했습니다. 
결과적으로 지원자는 현재 시점에서 기획/개발 중 어느 트랙을 목표로 하는지, 그리고 기획 과정 지원의 이유가 무엇인지가 충분히 정리되지 않은 상태로 관찰됩니다.
또한 전반적으로 질문에 대한 응답이 단문·추상적 표현 위주로 이어졌고, 지원자의 생각을 물어보는 질문에서 구체화가 어려워 의사소통 난이도가 매우 높게 평가되었습니다.
특히 “과정 진행 중 그만두고 싶을 때 어떻게 해야 하냐”는 질문은 장기 과정에서 흔히 가질 수 있는 고민일 수 있으나, 
본 인터뷰 맥락에서는 수료 및 취업까지의 의지가 약하거나 우선순위가 낮을 가능성을 시사하는 발언으로 해석될 수 있습니다 
기획 과정은 협업·조율·발표 비중이 큰데, 현 상태에서는 설명력·정리력·질문 이해도 측면의 보완이 선행되지 않으면 팀 프로젝트 수행 리스크가 큰 인원이라 판단되었습니다.</t>
  </si>
  <si>
    <t>https://docs.google.com/spreadsheets/d/1iDEM7K-Zj9_Uuo5ODRO484HeQXWtZr4Zfszpv1gCUFw/edit</t>
  </si>
  <si>
    <t>자기소개를 듣는데까지 5분이 걸린 인원입니다.
처음에는 서류가 거짓인지 의심했으나 매우 소극적인 성향이여서 그런것으로 확인되었습니다.
게임 플레이는 클로져스,엘소드 등... RPG류를 즐겨하고 여러 게임은 플레이 해보지 않았습니다
본인이 생각하는 장점 차분 단점 조용함 이라고 했습니다.
목표는 뚜렷하지 않으나 본인이 이 과정으로 취업할수있을지에 대한 현실적인 질문을 하여, 본인도 노력을 해야한다 라고 안내했습니다.
소극적이지만 본인도 인지하고있고 발표나 팀작업 개선하고 노력해보겠다고 하였습니다.</t>
  </si>
  <si>
    <t>https://docs.google.com/spreadsheets/d/18szMNdGyC1D-hTE9aLWZ4iasxkc0DldLdGYjXmqdJqo/edit</t>
  </si>
  <si>
    <t>경제학과 출신입니다. 밸런스 기획을 제시해볼 수 있어 보입니다.
본인 전공에 벽을 느껴 그나마 관심있던 게임쪽으로 오고싶었다고 합니다.
게임은 앙상블스타즈와 스플레툰 을 즐겨한다고 합니다.
본인의 전공을 살려서 기획을 하고싶다고하고 현실적인 이해가 있으며 취업에 대한 열망이 있습니다.
중간 합류자다보니 수업을 어떻게 따라가야하는지에 대한 걱정을 제시하여서 9시마다 신규자 대상 브리핑과 면담에 대해서 안내했습니다.
열정이 가득하여 방향성만 잘 잡아주면 문제가 없을 인원으로 보입니다.</t>
  </si>
  <si>
    <t>https://docs.google.com/spreadsheets/d/1Ql06kOZDVOPy5Tz-qQQX7jutl7TwtHodNG1ikvgrdQI/edit</t>
  </si>
  <si>
    <t>7년차 백엔드 개발자 하다 권고 사직으로 나왔다고 합니다.
게임을 만들고 싶었지만 현실적인 취업으로 플밍으로 일을 했었다 합니다. 
일을 와중 미니게임들을 제작했지만 게임 적인 재미가 없어서 고민을 많이 했다고 합니다.
마침 회사도 망한참에 게임 만들고싶어서 더 기획적으로 공부를 하고 싶어서 지원했습니다.
본인에 대한 현실도 인지하고 있고 그 부분에 대해서 마음가짐도 다잡고 신청했습니다.
게임 플레이는 다양한 플렛폼을 경험해보았지만. 장르가 한정적이라고 합니다.
본인이 생각하는 강점 시스템적 사고 약점 소통 경험이 적다.
나이가 취업에 문제되긴 하지만 인디 개발도 생각이 있다고 합니다.</t>
  </si>
  <si>
    <t>https://docs.google.com/spreadsheets/d/1eIy4atiHPcF--3y5y7xLQxVKT6oWt1N6xgJjZF8Ekr0/edit</t>
  </si>
  <si>
    <t>장시간의 방황 이후 TRPG 경험(룰 개정·피드백 반영·세계관/서사 설계)을 통해 기획 적성을 느꼈고, 
마비노기 모바일 지인(현직 QA 및 송아영 수강생)의 추천을 계기로 과정에 지원했으며, 
현재는 직무/세부 트랙 목표가 뚜렷하진 않지만 “배우면서 정하겠다”는 태도로 참여 의지를 밝힌 면접이었습니다. 
자기소개에서 웹툰 전공 및 진로 고민, 군 복무 이후의 불안/다급함을 언급하며 ‘지금 변화를 만들기 위해 학습 환경에 들어가고 싶다’는 동기를 설명했습니다. 
기획자로 지원한 이유로는 TRPG에서 시스템을 손보고(하우스룰/자체 룰 제작), 피드백을 받아 개선하며 성취감을 느낀 경험, 
그리고 밀리터리 테마 TRPG의 세계관·설정·서사를 주도적으로 보강해 호응을 얻었던 경험을 제시했습니다. 
플레이 경험은 스팀 195개 보유로 다양한 장르를 폭넓게 했다고 하며, 최근 선호작은 아머드 코어 시리즈라고 답했습니다. 
강점은 생각이 많아 시스템/설계 확장이 잘 되는 점과 시간 제한 하에서 발표·설명해본 경험(군대 발표/교육 사례)을 들었고, 약점은 생각이 많아 집중이 분산되거나 과도한 선고민으로 진행이 늦어질 수 있다는 점을 인정했습니다.
학업 상태는 군 휴학 연장 중이며 취업 시 자퇴까지 고민 중이라고 밝혔고, 자퇴 전 취업계/졸업 처리 가능 여부를 먼저 확인하라고 조언했습니다. 
질문으로는“코딩은 초심자가 따라갈수 있는지/지금 당장 팀 프로젝트가 있냐/코딩을 언제부터 배우냐/취업지원은 어떻게 하냐/희망 직무는 정했냐” 등을 확인했으며, 희망 직무는 아직 미정이라 배우면서 정하겠다고 정리했습니다.
분위기도 좋고 매우 적극적인 인원이라 과정에 선한 영향력을 줄것으로 기대됩니다.</t>
  </si>
  <si>
    <t>https://docs.google.com/spreadsheets/d/1Is0sObW9v5xvL_xxOy81aF2pHcgHkhzZTR-P0FJIjmc/edit</t>
  </si>
  <si>
    <t>장안대 게임컨텐츠과 반학기 남겨둔 상태로 지원하였습니다. 취업시 조기 취업이 가능하다고 합니다.
게임컨텐츠과 였다보니 기본적인 학습과 의사소통이 원활합니다,
게임은 다양하게 하는 편이며 서브컬쳐 게임을 즐겨합니다.트릭컬을 가장 좋아합니다.
본인이 생각하는 강점으로는 의견 조율을 잘한다 라고 하고 단점으로는 모든 사람을 포용하지 못한다고 합니다.
면접시 큰 우려사항은 보이지 않았고 태도도 나쁘지 않았기에 합격입니다.</t>
  </si>
  <si>
    <t>https://docs.google.com/spreadsheets/d/1n-z-jHyIgcfdIWOoLaqFXZmPK4E5K5X0VwF_K5Avihg/edit</t>
  </si>
  <si>
    <t>타 직종에서 오래 일하다, IT업계에 관심이 생겼다고 합니다.
경제학을 전공했고, 관련으로 대학원까지 나왔으며, 파이썬을 활용한 채권 금리 분석 툴을 다루는 부트캠프를 들은 적이 있다고 합니다.
협업의 중요성에 대해 잘 알고 있다고 합니다.
게임 기획자는 게임의 시작과 끝을 책임지며, 아이디어 제공, 개발 환경 셋팅, 필요 스킬 파악 등을 하는 사람이라고 답했습니다.
기획자에게 중요한 것은 책임감이라고 답했습니다.
최대한 팀원들의 갈등을 원만하게 해결하려는 성격이지만, 그러다보니 갈등을 회피하게 되는 상황도 가끔 생긴다고 합니다.
86년생으로 나이가 매우 많은 인원이며, 이 부분에 대해 스스로도 인지하고 있습니다.
창업쪽을 생각하고 있으며, 취업이 된다해도 궁극적으로는 창업을 생각하고 있습니다.
온화하고 갈등을 최소화하려는 성격으로 느껴졌으며, 과정도 잘 따라올 것으로 생각됩니다.
전체적으로 무난한 인원이나, 나이가 많기 때문에 취업 단계에서 많은 고민과 케어가 필요할 것으로 생각됩니다.</t>
  </si>
  <si>
    <t>https://docs.google.com/spreadsheets/d/1ZO5xEZG7qOXHvvJApROkerwAg2FGZ73FtCB9IgWlIMk/edit</t>
  </si>
  <si>
    <t>자기소개를 "네. 박유진입니다". 에서 끝낸 소통에 의지가 없는 인원입니다. 
면접중에도 화면을 바라보지 않고 다른 곳을 바라보고 있었습니다.
기획을 배우고 싶은 이유는 없고 블루오션인거 같아서 지원했다고만 합니다.
게임이나 기획적으로는 아는게 전혀 없습니다.
본인의 강점은 성실하다 라고하고 단점으로는 금방 질린다고 합니다.
플레이 해본 게임은 정확한 이름을 언급하지 못하고. 헤리포터 그거.. 정도만 소통을 하셔서 전혀 플레이 하지 않는 인원으로 파악됩니다.
팀 활동시 우려되는점이 많은 인원입니다.</t>
  </si>
  <si>
    <t>https://docs.google.com/spreadsheets/d/1VTuNhZ039ezbojMeBvNEd6_ICJeTC_9mtUjFcNwgmrI/edit</t>
  </si>
  <si>
    <t>게임소프트웨어학과를 졸업했지만, 다른 공부를 잠깐 하다가 다시 원래 전공을 살리기 위해 돌아왔다고 합니다.
중학교때부터 게임이 좋아서 관련 학과로 진학했다고 합니다.
롤, 로스트아크, 이터널 리턴 등 메이저한 게임 위주로 플레이하는 편이라고 합니다.
MMORPG, AOS 장르의 기획자가 되고 싶다고 합니다.
전공자였지만 오랫동안 관련 공부를 하지 않아 잊어버린 부분이 많아서, 기초부터 배우는 과정도 괜찮다고 답했습니다.
완벽주의가 있어 걱정이 많은 편이지만, 그만큼 결과도 잘 뽑을 수 있다고 답했습니다.
다만 의견을 조율해야하는 상황이 생기면 상대방에게 맞춰주는 편이라고 합니다.
대학교때 한학기씩 유니티, C언어와 JAVA를 배웠지만 지금은 거의 다 잊었다고 합니다.
팀 작업과 발표는 괜찮다고 답했습니다.
ppt를 많이 사용해봤고, 엑셀은 어느정도 사용해봤다고 합니다.
성격이 전체적으로 온화하고 스트레스를 잘 견디는 편으로 보입니다.
다만 소통에 능한 편은 아닌 것으로 보여, 조별 실습 단계에서의 관찰이 필요할 것으로 보입니다.</t>
  </si>
  <si>
    <t>https://docs.google.com/spreadsheets/d/16iO7f-QEtKbZmhtEto1-o72XGoK7cgaEZHiIOF26zlE/edit</t>
  </si>
  <si>
    <t>특성회 웹디자인과 -&gt; 웹디 1년 경력 있습니다
포폴만들다 자신감 떨어져서 들으면서 돈도 받고 AI 공부하고싶어서 왔다고 합니다.
게임으로 교우관계가 확장되서 이런 즐거움을 다른 사람에게도 나눠주고싶다.
게임플레이 로아하고 데가 주로 한다고 합니다.
SBS 신촌점 2년 SGA 잠깐 다녔고 SBS에서는 평일반하고 주말 포폴반 다녔다고 합니다.
본인이 생각하는 강점 웹디로 다져진 시각화 능력 단점 집착하는 경향이 있다고 합니다.
매우 해맑고 저희 과정과 핏이 맞는 사람으로 보입니다.</t>
  </si>
  <si>
    <t>https://docs.google.com/spreadsheets/d/1ifZsoqVzdWimsE1kVWeUSG0b7zK-dT8J50z0zujp0-U/edit</t>
  </si>
  <si>
    <t>영사읻자인학과를 졸업하고, 시나리오 기획으로의 취업을 준비했다고 합니다.
여러차례 지원해봤지만, 시나리오쪽 취업이 매우 어렵다는 현실을 깨닫고 지금은 퀘스트 기획자를 목표로 하고 있다고 합니다.
학교에서 언리얼을 약간 배워서, 블루프린트 기능은 조금 사용할 수 있다고 합니다.
작품처럼 느껴지는, 재미있는 게임을 만들고 싶다고 합니다.
스카이림, 레데리 등 패키지 게임을 좋아하고, WOW나 쿠키런도 좋아한다고 합니다.
요즘은 펄어비스 지원을 위해 검은 사막을 플레이한다고 합니다.
강점으로는 수용성이 높고 사람들이 잘 다가오는 성격을, 단점으로는 주도적이지 못함을 꼽았습니다.
대학 시절 팀 과제를 많이 해봤고, 갈등상황이 생기면 감정적으로 대응하지 않기 위해 시간을 두고 천천히 중재함으로써 해결하는 편이라고 합니다.
문서 툴은 어느 정도 사용할 수 있지만, 엑셀은 약한 편이라고 합니다.
조용하고 올바른 성격의 인원으로 보입니다.
수업을 잘 따라올 것으로 보이나, 잘 따라오고 있는 지에 대한 관찰은 자주 필요할 것 같습니다.
과정 중에도 한 달에 한 번 정도는 게임 회사에 지원할 예정이라고 밝혔습니다.</t>
  </si>
  <si>
    <t>https://docs.google.com/spreadsheets/d/1gO8bv0eqZPcIhoYqIvpkt2saOfSGZZZZpBkcPMkFSaE/edit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</si>
</sst>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27" x14ac:knownFonts="1">
    <font>
      <sz val="10"/>
      <color rgb="FF000000"/>
      <name val="Arial"/>
      <scheme val="minor"/>
    </font>
    <font>
      <sz val="10"/>
      <color theme="1"/>
      <name val="Arial"/>
      <family val="2"/>
      <scheme val="minor"/>
    </font>
    <font>
      <b/>
      <sz val="10"/>
      <color theme="1"/>
      <name val="Arial"/>
      <family val="2"/>
      <scheme val="minor"/>
    </font>
    <font>
      <sz val="10"/>
      <color rgb="FF434343"/>
      <name val="Roboto"/>
    </font>
    <font>
      <sz val="10"/>
      <color theme="1"/>
      <name val="Arial"/>
      <family val="2"/>
    </font>
    <font>
      <u/>
      <sz val="10"/>
      <color rgb="FF0000FF"/>
      <name val="Roboto"/>
    </font>
    <font>
      <sz val="10"/>
      <name val="Arial"/>
      <family val="2"/>
    </font>
    <font>
      <sz val="11"/>
      <color theme="1"/>
      <name val="Arial"/>
      <family val="2"/>
      <scheme val="minor"/>
    </font>
    <font>
      <b/>
      <sz val="16"/>
      <color theme="1"/>
      <name val="Arial"/>
      <family val="2"/>
      <scheme val="minor"/>
    </font>
    <font>
      <b/>
      <sz val="15"/>
      <color rgb="FFEFEFEF"/>
      <name val="Arial"/>
      <family val="2"/>
      <scheme val="minor"/>
    </font>
    <font>
      <sz val="10"/>
      <color theme="1"/>
      <name val="Arial"/>
      <family val="2"/>
      <scheme val="minor"/>
    </font>
    <font>
      <sz val="15"/>
      <color theme="1"/>
      <name val="Arial"/>
      <family val="2"/>
      <scheme val="minor"/>
    </font>
    <font>
      <sz val="14"/>
      <color theme="1"/>
      <name val="Arial"/>
      <family val="2"/>
      <scheme val="minor"/>
    </font>
    <font>
      <sz val="13"/>
      <color theme="1"/>
      <name val="Arial"/>
      <family val="2"/>
      <scheme val="minor"/>
    </font>
    <font>
      <u/>
      <sz val="11"/>
      <color rgb="FF0000FF"/>
      <name val="Arial"/>
      <family val="2"/>
    </font>
    <font>
      <sz val="9"/>
      <color theme="1"/>
      <name val="Arial"/>
      <family val="2"/>
      <scheme val="minor"/>
    </font>
    <font>
      <sz val="11"/>
      <color rgb="FFF3F3F3"/>
      <name val="Arial"/>
      <family val="2"/>
      <scheme val="minor"/>
    </font>
    <font>
      <sz val="11"/>
      <color rgb="FFEFEFEF"/>
      <name val="Arial"/>
      <family val="2"/>
      <scheme val="minor"/>
    </font>
    <font>
      <sz val="16"/>
      <color theme="1"/>
      <name val="Arial"/>
      <family val="2"/>
      <scheme val="minor"/>
    </font>
    <font>
      <b/>
      <sz val="15"/>
      <color rgb="FFFFFFFF"/>
      <name val="Arial"/>
      <family val="2"/>
      <scheme val="minor"/>
    </font>
    <font>
      <sz val="10"/>
      <color rgb="FFFFFFFF"/>
      <name val="Arial"/>
      <family val="2"/>
      <scheme val="minor"/>
    </font>
    <font>
      <u/>
      <sz val="10"/>
      <color rgb="FF0000FF"/>
      <name val="Arial"/>
      <family val="2"/>
    </font>
    <font>
      <u/>
      <sz val="10"/>
      <color rgb="FF0000FF"/>
      <name val="Arial"/>
      <family val="2"/>
    </font>
    <font>
      <u/>
      <sz val="10"/>
      <color rgb="FF1155CC"/>
      <name val="Arial"/>
      <family val="2"/>
    </font>
    <font>
      <sz val="11"/>
      <color theme="1"/>
      <name val="Arial"/>
      <family val="2"/>
    </font>
    <font>
      <sz val="11"/>
      <color rgb="FF980000"/>
      <name val="Arial"/>
      <family val="2"/>
    </font>
    <font>
      <sz val="8"/>
      <name val="Arial"/>
      <family val="3"/>
      <charset val="129"/>
      <scheme val="minor"/>
    </font>
  </fonts>
  <fills count="30">
    <fill>
      <patternFill patternType="none"/>
    </fill>
    <fill>
      <patternFill patternType="gray125"/>
    </fill>
    <fill>
      <patternFill patternType="solid">
        <fgColor rgb="FF9900FF"/>
        <bgColor rgb="FF9900FF"/>
      </patternFill>
    </fill>
    <fill>
      <patternFill patternType="solid">
        <fgColor rgb="FFD9D9D9"/>
        <bgColor rgb="FFD9D9D9"/>
      </patternFill>
    </fill>
    <fill>
      <patternFill patternType="solid">
        <fgColor rgb="FFF4CCCC"/>
        <bgColor rgb="FFF4CCCC"/>
      </patternFill>
    </fill>
    <fill>
      <patternFill patternType="solid">
        <fgColor rgb="FFEA9999"/>
        <bgColor rgb="FFEA9999"/>
      </patternFill>
    </fill>
    <fill>
      <patternFill patternType="solid">
        <fgColor rgb="FFFFFF00"/>
        <bgColor rgb="FFFFFF00"/>
      </patternFill>
    </fill>
    <fill>
      <patternFill patternType="solid">
        <fgColor rgb="FFCCCCCC"/>
        <bgColor rgb="FFCCCCCC"/>
      </patternFill>
    </fill>
    <fill>
      <patternFill patternType="solid">
        <fgColor rgb="FFFCE5CD"/>
        <bgColor rgb="FFFCE5CD"/>
      </patternFill>
    </fill>
    <fill>
      <patternFill patternType="solid">
        <fgColor rgb="FFF8F9FA"/>
        <bgColor rgb="FFF8F9FA"/>
      </patternFill>
    </fill>
    <fill>
      <patternFill patternType="solid">
        <fgColor rgb="FFB7B7B7"/>
        <bgColor rgb="FFB7B7B7"/>
      </patternFill>
    </fill>
    <fill>
      <patternFill patternType="solid">
        <fgColor rgb="FFF9CB9C"/>
        <bgColor rgb="FFF9CB9C"/>
      </patternFill>
    </fill>
    <fill>
      <patternFill patternType="solid">
        <fgColor rgb="FF493774"/>
        <bgColor rgb="FF493774"/>
      </patternFill>
    </fill>
    <fill>
      <patternFill patternType="solid">
        <fgColor rgb="FF2D2D2D"/>
        <bgColor rgb="FF2D2D2D"/>
      </patternFill>
    </fill>
    <fill>
      <patternFill patternType="solid">
        <fgColor rgb="FFB0A4CF"/>
        <bgColor rgb="FFB0A4CF"/>
      </patternFill>
    </fill>
    <fill>
      <patternFill patternType="solid">
        <fgColor rgb="FFFFF2CC"/>
        <bgColor rgb="FFFFF2CC"/>
      </patternFill>
    </fill>
    <fill>
      <patternFill patternType="solid">
        <fgColor rgb="FFEFEFEF"/>
        <bgColor rgb="FFEFEFEF"/>
      </patternFill>
    </fill>
    <fill>
      <patternFill patternType="solid">
        <fgColor rgb="FFD9D2E9"/>
        <bgColor rgb="FFD9D2E9"/>
      </patternFill>
    </fill>
    <fill>
      <patternFill patternType="solid">
        <fgColor rgb="FFF3F3F3"/>
        <bgColor rgb="FFF3F3F3"/>
      </patternFill>
    </fill>
    <fill>
      <patternFill patternType="solid">
        <fgColor rgb="FF0C343D"/>
        <bgColor rgb="FF0C343D"/>
      </patternFill>
    </fill>
    <fill>
      <patternFill patternType="solid">
        <fgColor rgb="FFB6D7A8"/>
        <bgColor rgb="FFB6D7A8"/>
      </patternFill>
    </fill>
    <fill>
      <patternFill patternType="solid">
        <fgColor rgb="FFEBF7E7"/>
        <bgColor rgb="FFEBF7E7"/>
      </patternFill>
    </fill>
    <fill>
      <patternFill patternType="solid">
        <fgColor rgb="FFA4C2F4"/>
        <bgColor rgb="FFA4C2F4"/>
      </patternFill>
    </fill>
    <fill>
      <patternFill patternType="solid">
        <fgColor rgb="FFC9DAF8"/>
        <bgColor rgb="FFC9DAF8"/>
      </patternFill>
    </fill>
    <fill>
      <patternFill patternType="solid">
        <fgColor rgb="FF134F5C"/>
        <bgColor rgb="FF134F5C"/>
      </patternFill>
    </fill>
    <fill>
      <patternFill patternType="solid">
        <fgColor rgb="FF666666"/>
        <bgColor rgb="FF666666"/>
      </patternFill>
    </fill>
    <fill>
      <patternFill patternType="solid">
        <fgColor rgb="FFD9EAD3"/>
        <bgColor rgb="FFD9EAD3"/>
      </patternFill>
    </fill>
    <fill>
      <patternFill patternType="solid">
        <fgColor rgb="FFFFE599"/>
        <bgColor rgb="FFFFE599"/>
      </patternFill>
    </fill>
    <fill>
      <patternFill patternType="solid">
        <fgColor rgb="FF5B3F86"/>
        <bgColor rgb="FF5B3F86"/>
      </patternFill>
    </fill>
    <fill>
      <patternFill patternType="solid">
        <fgColor rgb="FF1C4587"/>
        <bgColor rgb="FF1C4587"/>
      </patternFill>
    </fill>
  </fills>
  <borders count="53">
    <border>
      <left/>
      <right/>
      <top/>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B7B7B7"/>
      </left>
      <right/>
      <top style="thin">
        <color rgb="FF000000"/>
      </top>
      <bottom style="thin">
        <color rgb="FFB7B7B7"/>
      </bottom>
      <diagonal/>
    </border>
    <border>
      <left/>
      <right/>
      <top style="thin">
        <color rgb="FF000000"/>
      </top>
      <bottom style="thin">
        <color rgb="FFB7B7B7"/>
      </bottom>
      <diagonal/>
    </border>
    <border>
      <left/>
      <right style="thin">
        <color rgb="FF000000"/>
      </right>
      <top style="thin">
        <color rgb="FF000000"/>
      </top>
      <bottom style="thin">
        <color rgb="FFB7B7B7"/>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000000"/>
      </right>
      <top style="thin">
        <color rgb="FFB7B7B7"/>
      </top>
      <bottom style="thin">
        <color rgb="FFB7B7B7"/>
      </bottom>
      <diagonal/>
    </border>
    <border>
      <left style="thin">
        <color rgb="FF000000"/>
      </left>
      <right/>
      <top style="thin">
        <color rgb="FFB7B7B7"/>
      </top>
      <bottom/>
      <diagonal/>
    </border>
    <border>
      <left style="thin">
        <color rgb="FF000000"/>
      </left>
      <right/>
      <top/>
      <bottom style="thin">
        <color rgb="FFB7B7B7"/>
      </bottom>
      <diagonal/>
    </border>
    <border>
      <left style="thin">
        <color rgb="FF000000"/>
      </left>
      <right style="dotted">
        <color rgb="FF999999"/>
      </right>
      <top style="thin">
        <color rgb="FF000000"/>
      </top>
      <bottom style="thin">
        <color rgb="FFB7B7B7"/>
      </bottom>
      <diagonal/>
    </border>
    <border>
      <left style="dotted">
        <color rgb="FF999999"/>
      </left>
      <right/>
      <top style="thin">
        <color rgb="FF000000"/>
      </top>
      <bottom style="thin">
        <color rgb="FFB7B7B7"/>
      </bottom>
      <diagonal/>
    </border>
    <border>
      <left/>
      <right style="dotted">
        <color rgb="FF999999"/>
      </right>
      <top style="thin">
        <color rgb="FF000000"/>
      </top>
      <bottom style="thin">
        <color rgb="FFB7B7B7"/>
      </bottom>
      <diagonal/>
    </border>
    <border>
      <left style="dotted">
        <color rgb="FF999999"/>
      </left>
      <right style="thin">
        <color rgb="FF000000"/>
      </right>
      <top style="thin">
        <color rgb="FFB7B7B7"/>
      </top>
      <bottom style="thin">
        <color rgb="FFB7B7B7"/>
      </bottom>
      <diagonal/>
    </border>
    <border>
      <left style="dotted">
        <color rgb="FF999999"/>
      </left>
      <right style="thin">
        <color rgb="FF000000"/>
      </right>
      <top style="thin">
        <color rgb="FF000000"/>
      </top>
      <bottom style="thin">
        <color rgb="FFB7B7B7"/>
      </bottom>
      <diagonal/>
    </border>
    <border>
      <left style="thin">
        <color rgb="FF000000"/>
      </left>
      <right style="dotted">
        <color rgb="FF999999"/>
      </right>
      <top style="thin">
        <color rgb="FFB7B7B7"/>
      </top>
      <bottom style="thin">
        <color rgb="FFB7B7B7"/>
      </bottom>
      <diagonal/>
    </border>
    <border>
      <left style="dotted">
        <color rgb="FF999999"/>
      </left>
      <right/>
      <top style="thin">
        <color rgb="FFB7B7B7"/>
      </top>
      <bottom style="thin">
        <color rgb="FFB7B7B7"/>
      </bottom>
      <diagonal/>
    </border>
    <border>
      <left/>
      <right style="dotted">
        <color rgb="FF999999"/>
      </right>
      <top style="thin">
        <color rgb="FFB7B7B7"/>
      </top>
      <bottom style="thin">
        <color rgb="FFB7B7B7"/>
      </bottom>
      <diagonal/>
    </border>
    <border>
      <left style="thin">
        <color rgb="FF000000"/>
      </left>
      <right style="dotted">
        <color rgb="FF999999"/>
      </right>
      <top style="thin">
        <color rgb="FFB7B7B7"/>
      </top>
      <bottom style="thin">
        <color rgb="FF000000"/>
      </bottom>
      <diagonal/>
    </border>
    <border>
      <left style="dotted">
        <color rgb="FF999999"/>
      </left>
      <right/>
      <top style="thin">
        <color rgb="FFB7B7B7"/>
      </top>
      <bottom style="thin">
        <color rgb="FF000000"/>
      </bottom>
      <diagonal/>
    </border>
    <border>
      <left/>
      <right/>
      <top style="thin">
        <color rgb="FFB7B7B7"/>
      </top>
      <bottom style="thin">
        <color rgb="FF000000"/>
      </bottom>
      <diagonal/>
    </border>
    <border>
      <left/>
      <right style="dotted">
        <color rgb="FF999999"/>
      </right>
      <top style="thin">
        <color rgb="FFB7B7B7"/>
      </top>
      <bottom style="thin">
        <color rgb="FF000000"/>
      </bottom>
      <diagonal/>
    </border>
    <border>
      <left style="dotted">
        <color rgb="FF999999"/>
      </left>
      <right style="thin">
        <color rgb="FF000000"/>
      </right>
      <top style="thin">
        <color rgb="FFB7B7B7"/>
      </top>
      <bottom style="thin">
        <color rgb="FF000000"/>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right style="dotted">
        <color rgb="FF666666"/>
      </right>
      <top style="thin">
        <color rgb="FF000000"/>
      </top>
      <bottom/>
      <diagonal/>
    </border>
    <border>
      <left/>
      <right style="dotted">
        <color rgb="FF666666"/>
      </right>
      <top/>
      <bottom/>
      <diagonal/>
    </border>
    <border>
      <left/>
      <right style="dotted">
        <color rgb="FF666666"/>
      </right>
      <top/>
      <bottom style="thin">
        <color rgb="FF000000"/>
      </bottom>
      <diagonal/>
    </border>
    <border>
      <left/>
      <right/>
      <top/>
      <bottom style="thin">
        <color rgb="FFB7B7B7"/>
      </bottom>
      <diagonal/>
    </border>
    <border>
      <left/>
      <right style="thin">
        <color rgb="FF000000"/>
      </right>
      <top/>
      <bottom style="thin">
        <color rgb="FFB7B7B7"/>
      </bottom>
      <diagonal/>
    </border>
    <border>
      <left style="thin">
        <color rgb="FF000000"/>
      </left>
      <right style="thin">
        <color rgb="FFFFFFFF"/>
      </right>
      <top style="thin">
        <color rgb="FF000000"/>
      </top>
      <bottom style="thin">
        <color rgb="FFCCCCCC"/>
      </bottom>
      <diagonal/>
    </border>
    <border>
      <left style="thin">
        <color rgb="FFFFFFFF"/>
      </left>
      <right/>
      <top style="thin">
        <color rgb="FF000000"/>
      </top>
      <bottom style="thin">
        <color rgb="FFCCCCCC"/>
      </bottom>
      <diagonal/>
    </border>
    <border>
      <left/>
      <right style="thin">
        <color rgb="FFFFFFFF"/>
      </right>
      <top style="thin">
        <color rgb="FF000000"/>
      </top>
      <bottom style="thin">
        <color rgb="FFCCCCCC"/>
      </bottom>
      <diagonal/>
    </border>
    <border>
      <left/>
      <right/>
      <top style="thin">
        <color rgb="FF000000"/>
      </top>
      <bottom style="thin">
        <color rgb="FFCCCCCC"/>
      </bottom>
      <diagonal/>
    </border>
    <border>
      <left style="thin">
        <color rgb="FFFFFFFF"/>
      </left>
      <right style="thin">
        <color rgb="FFFFFFFF"/>
      </right>
      <top style="thin">
        <color rgb="FF000000"/>
      </top>
      <bottom style="thin">
        <color rgb="FFCCCCCC"/>
      </bottom>
      <diagonal/>
    </border>
    <border>
      <left/>
      <right style="thin">
        <color rgb="FF000000"/>
      </right>
      <top style="thin">
        <color rgb="FF000000"/>
      </top>
      <bottom style="thin">
        <color rgb="FFCCCCCC"/>
      </bottom>
      <diagonal/>
    </border>
  </borders>
  <cellStyleXfs count="1">
    <xf numFmtId="0" fontId="0" fillId="0" borderId="0"/>
  </cellStyleXfs>
  <cellXfs count="215">
    <xf numFmtId="0" fontId="0" fillId="0" borderId="0" xfId="0"/>
    <xf numFmtId="0" fontId="1" fillId="0" borderId="0" xfId="0" applyFont="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176" fontId="1" fillId="3" borderId="0" xfId="0" applyNumberFormat="1" applyFont="1" applyFill="1" applyAlignment="1">
      <alignment vertical="center"/>
    </xf>
    <xf numFmtId="0" fontId="1" fillId="3" borderId="0" xfId="0" applyFont="1" applyFill="1" applyAlignment="1">
      <alignment vertical="center"/>
    </xf>
    <xf numFmtId="0" fontId="1" fillId="3" borderId="0" xfId="0" applyFont="1" applyFill="1" applyAlignment="1">
      <alignment horizontal="center" vertical="center"/>
    </xf>
    <xf numFmtId="14" fontId="1" fillId="3" borderId="0" xfId="0" applyNumberFormat="1" applyFont="1" applyFill="1" applyAlignment="1">
      <alignment vertical="center"/>
    </xf>
    <xf numFmtId="176"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14" fontId="1" fillId="0" borderId="0" xfId="0" applyNumberFormat="1" applyFont="1" applyAlignment="1">
      <alignment vertical="center"/>
    </xf>
    <xf numFmtId="0" fontId="1" fillId="4" borderId="0" xfId="0" applyFont="1" applyFill="1"/>
    <xf numFmtId="176" fontId="1" fillId="4" borderId="0" xfId="0" applyNumberFormat="1" applyFont="1" applyFill="1" applyAlignment="1">
      <alignment vertical="center"/>
    </xf>
    <xf numFmtId="0" fontId="1" fillId="4" borderId="0" xfId="0" applyFont="1" applyFill="1" applyAlignment="1">
      <alignment vertical="center"/>
    </xf>
    <xf numFmtId="0" fontId="1" fillId="4" borderId="0" xfId="0" applyFont="1" applyFill="1" applyAlignment="1">
      <alignment horizontal="center" vertical="center"/>
    </xf>
    <xf numFmtId="14" fontId="1" fillId="4" borderId="0" xfId="0" applyNumberFormat="1" applyFont="1" applyFill="1" applyAlignment="1">
      <alignment vertical="center"/>
    </xf>
    <xf numFmtId="176" fontId="1" fillId="5" borderId="0" xfId="0" applyNumberFormat="1" applyFont="1" applyFill="1" applyAlignment="1">
      <alignment vertical="center"/>
    </xf>
    <xf numFmtId="0" fontId="1" fillId="5" borderId="0" xfId="0" applyFont="1" applyFill="1" applyAlignment="1">
      <alignment vertical="center"/>
    </xf>
    <xf numFmtId="0" fontId="1" fillId="5" borderId="0" xfId="0" applyFont="1" applyFill="1" applyAlignment="1">
      <alignment horizontal="center" vertical="center"/>
    </xf>
    <xf numFmtId="14" fontId="1" fillId="5" borderId="0" xfId="0" applyNumberFormat="1" applyFont="1" applyFill="1" applyAlignment="1">
      <alignment vertical="center"/>
    </xf>
    <xf numFmtId="0" fontId="1" fillId="3" borderId="0" xfId="0" applyFont="1" applyFill="1"/>
    <xf numFmtId="0" fontId="2" fillId="0" borderId="0" xfId="0" applyFont="1" applyAlignment="1">
      <alignment horizontal="center" vertical="center"/>
    </xf>
    <xf numFmtId="176" fontId="1" fillId="6" borderId="0" xfId="0" applyNumberFormat="1" applyFont="1" applyFill="1" applyAlignment="1">
      <alignment vertical="center"/>
    </xf>
    <xf numFmtId="0" fontId="1" fillId="6" borderId="0" xfId="0" applyFont="1" applyFill="1" applyAlignment="1">
      <alignment vertical="center"/>
    </xf>
    <xf numFmtId="0" fontId="1" fillId="6" borderId="0" xfId="0" applyFont="1" applyFill="1" applyAlignment="1">
      <alignment horizontal="center" vertical="center"/>
    </xf>
    <xf numFmtId="14" fontId="1" fillId="6" borderId="0" xfId="0" applyNumberFormat="1" applyFont="1" applyFill="1" applyAlignment="1">
      <alignment vertical="center"/>
    </xf>
    <xf numFmtId="0" fontId="1" fillId="7" borderId="0" xfId="0" applyFont="1" applyFill="1"/>
    <xf numFmtId="176" fontId="1" fillId="7" borderId="0" xfId="0" applyNumberFormat="1" applyFont="1" applyFill="1" applyAlignment="1">
      <alignment vertical="center"/>
    </xf>
    <xf numFmtId="0" fontId="1" fillId="7" borderId="0" xfId="0" applyFont="1" applyFill="1" applyAlignment="1">
      <alignment vertical="center"/>
    </xf>
    <xf numFmtId="0" fontId="1" fillId="7" borderId="0" xfId="0" applyFont="1" applyFill="1" applyAlignment="1">
      <alignment horizontal="center" vertical="center"/>
    </xf>
    <xf numFmtId="14" fontId="1" fillId="7" borderId="0" xfId="0" applyNumberFormat="1" applyFont="1" applyFill="1" applyAlignment="1">
      <alignment vertical="center"/>
    </xf>
    <xf numFmtId="176" fontId="1" fillId="8" borderId="0" xfId="0" applyNumberFormat="1" applyFont="1" applyFill="1" applyAlignment="1">
      <alignment vertical="center"/>
    </xf>
    <xf numFmtId="0" fontId="1" fillId="8" borderId="0" xfId="0" applyFont="1" applyFill="1" applyAlignment="1">
      <alignment vertical="center"/>
    </xf>
    <xf numFmtId="0" fontId="1" fillId="8" borderId="0" xfId="0" applyFont="1" applyFill="1" applyAlignment="1">
      <alignment horizontal="center" vertical="center"/>
    </xf>
    <xf numFmtId="14" fontId="1" fillId="8" borderId="0" xfId="0" applyNumberFormat="1" applyFont="1" applyFill="1" applyAlignment="1">
      <alignment vertical="center"/>
    </xf>
    <xf numFmtId="0" fontId="1" fillId="5" borderId="0" xfId="0" applyFont="1" applyFill="1"/>
    <xf numFmtId="176" fontId="3" fillId="9" borderId="0" xfId="0" applyNumberFormat="1" applyFont="1" applyFill="1" applyAlignment="1">
      <alignment horizontal="right" vertical="center"/>
    </xf>
    <xf numFmtId="0" fontId="3" fillId="9" borderId="0" xfId="0" applyFont="1" applyFill="1" applyAlignment="1">
      <alignment vertical="center"/>
    </xf>
    <xf numFmtId="0" fontId="4" fillId="9" borderId="0" xfId="0" applyFont="1" applyFill="1" applyAlignment="1">
      <alignment vertical="center"/>
    </xf>
    <xf numFmtId="14" fontId="3" fillId="9" borderId="0" xfId="0" applyNumberFormat="1" applyFont="1" applyFill="1" applyAlignment="1">
      <alignment horizontal="right" vertical="center"/>
    </xf>
    <xf numFmtId="0" fontId="2" fillId="0" borderId="0" xfId="0" applyFont="1" applyAlignment="1">
      <alignment vertical="center"/>
    </xf>
    <xf numFmtId="0" fontId="1" fillId="8" borderId="0" xfId="0" applyFont="1" applyFill="1"/>
    <xf numFmtId="0" fontId="1" fillId="6" borderId="0" xfId="0" applyFont="1" applyFill="1"/>
    <xf numFmtId="0" fontId="1" fillId="10" borderId="0" xfId="0" applyFont="1" applyFill="1"/>
    <xf numFmtId="0" fontId="5" fillId="0" borderId="0" xfId="0" applyFont="1" applyAlignment="1">
      <alignment vertical="center"/>
    </xf>
    <xf numFmtId="176" fontId="1" fillId="10" borderId="0" xfId="0" applyNumberFormat="1" applyFont="1" applyFill="1" applyAlignment="1">
      <alignment vertical="center"/>
    </xf>
    <xf numFmtId="0" fontId="1" fillId="10" borderId="0" xfId="0" applyFont="1" applyFill="1" applyAlignment="1">
      <alignment vertical="center"/>
    </xf>
    <xf numFmtId="0" fontId="1" fillId="10" borderId="0" xfId="0" applyFont="1" applyFill="1" applyAlignment="1">
      <alignment horizontal="center" vertical="center"/>
    </xf>
    <xf numFmtId="14" fontId="1" fillId="10" borderId="0" xfId="0" applyNumberFormat="1" applyFont="1" applyFill="1" applyAlignment="1">
      <alignment vertical="center"/>
    </xf>
    <xf numFmtId="176" fontId="1" fillId="0" borderId="1" xfId="0" applyNumberFormat="1" applyFont="1" applyBorder="1" applyAlignment="1">
      <alignment vertical="center"/>
    </xf>
    <xf numFmtId="0" fontId="1" fillId="0" borderId="2" xfId="0" applyFont="1" applyBorder="1" applyAlignment="1">
      <alignment vertical="center"/>
    </xf>
    <xf numFmtId="14" fontId="1" fillId="0" borderId="2" xfId="0" applyNumberFormat="1" applyFont="1" applyBorder="1" applyAlignment="1">
      <alignment vertical="center"/>
    </xf>
    <xf numFmtId="0" fontId="1" fillId="0" borderId="3" xfId="0" applyFont="1" applyBorder="1" applyAlignment="1">
      <alignment vertical="center"/>
    </xf>
    <xf numFmtId="0" fontId="4" fillId="0" borderId="0" xfId="0" applyFont="1"/>
    <xf numFmtId="0" fontId="1" fillId="0" borderId="0" xfId="0" applyFont="1" applyAlignment="1">
      <alignment horizontal="center"/>
    </xf>
    <xf numFmtId="0" fontId="1" fillId="0" borderId="0" xfId="0" applyFont="1" applyAlignment="1">
      <alignment vertical="center" wrapText="1"/>
    </xf>
    <xf numFmtId="0" fontId="7" fillId="7" borderId="18" xfId="0" applyFont="1" applyFill="1" applyBorder="1" applyAlignment="1">
      <alignment horizontal="center" vertical="center" wrapText="1"/>
    </xf>
    <xf numFmtId="0" fontId="10" fillId="17" borderId="18" xfId="0" applyFont="1" applyFill="1" applyBorder="1" applyAlignment="1">
      <alignment horizontal="center" vertical="center" wrapText="1"/>
    </xf>
    <xf numFmtId="0" fontId="7" fillId="18" borderId="18" xfId="0" applyFont="1" applyFill="1" applyBorder="1" applyAlignment="1">
      <alignment horizontal="center" vertical="center" wrapText="1"/>
    </xf>
    <xf numFmtId="0" fontId="7" fillId="18" borderId="10" xfId="0" applyFont="1" applyFill="1" applyBorder="1" applyAlignment="1">
      <alignment horizontal="center" vertical="center" wrapText="1"/>
    </xf>
    <xf numFmtId="0" fontId="15" fillId="18" borderId="18" xfId="0" applyFont="1" applyFill="1" applyBorder="1" applyAlignment="1">
      <alignment horizontal="center" vertical="center" wrapText="1"/>
    </xf>
    <xf numFmtId="0" fontId="1" fillId="16" borderId="27" xfId="0" applyFont="1" applyFill="1" applyBorder="1" applyAlignment="1">
      <alignment horizontal="center" vertical="center" wrapText="1"/>
    </xf>
    <xf numFmtId="0" fontId="1" fillId="15" borderId="30" xfId="0" applyFont="1" applyFill="1" applyBorder="1" applyAlignment="1">
      <alignment horizontal="center" vertical="center" wrapText="1"/>
    </xf>
    <xf numFmtId="0" fontId="1" fillId="15" borderId="31" xfId="0" applyFont="1" applyFill="1" applyBorder="1" applyAlignment="1">
      <alignment horizontal="center" vertical="center" wrapText="1"/>
    </xf>
    <xf numFmtId="0" fontId="1" fillId="16" borderId="32" xfId="0" applyFont="1" applyFill="1" applyBorder="1" applyAlignment="1">
      <alignment horizontal="center" vertical="center" wrapText="1"/>
    </xf>
    <xf numFmtId="0" fontId="1" fillId="16" borderId="35" xfId="0" applyFont="1" applyFill="1" applyBorder="1" applyAlignment="1">
      <alignment horizontal="center" vertical="center" wrapText="1"/>
    </xf>
    <xf numFmtId="0" fontId="1" fillId="15" borderId="39" xfId="0" applyFont="1" applyFill="1" applyBorder="1" applyAlignment="1">
      <alignment horizontal="center" vertical="center" wrapText="1"/>
    </xf>
    <xf numFmtId="0" fontId="17" fillId="13" borderId="41" xfId="0" applyFont="1" applyFill="1" applyBorder="1" applyAlignment="1">
      <alignment horizontal="center" vertical="center" wrapText="1"/>
    </xf>
    <xf numFmtId="0" fontId="1" fillId="0" borderId="0" xfId="0" applyFont="1" applyAlignment="1">
      <alignment horizontal="center" vertical="center" wrapText="1"/>
    </xf>
    <xf numFmtId="0" fontId="1" fillId="22" borderId="18" xfId="0" applyFont="1" applyFill="1" applyBorder="1" applyAlignment="1">
      <alignment horizontal="center" vertical="center"/>
    </xf>
    <xf numFmtId="0" fontId="1" fillId="23" borderId="10" xfId="0" applyFont="1" applyFill="1" applyBorder="1" applyAlignment="1">
      <alignment horizontal="center" vertical="center"/>
    </xf>
    <xf numFmtId="9" fontId="1" fillId="23" borderId="18" xfId="0" applyNumberFormat="1" applyFont="1" applyFill="1" applyBorder="1" applyAlignment="1">
      <alignment horizontal="center" vertical="center"/>
    </xf>
    <xf numFmtId="0" fontId="1" fillId="3" borderId="13" xfId="0" applyFont="1" applyFill="1" applyBorder="1" applyAlignment="1">
      <alignment horizontal="center" vertical="center"/>
    </xf>
    <xf numFmtId="0" fontId="1" fillId="16" borderId="4" xfId="0" applyFont="1" applyFill="1" applyBorder="1" applyAlignment="1">
      <alignment horizontal="center" vertical="center"/>
    </xf>
    <xf numFmtId="9" fontId="1" fillId="16" borderId="13" xfId="0" applyNumberFormat="1" applyFont="1" applyFill="1" applyBorder="1" applyAlignment="1">
      <alignment horizontal="center" vertical="center"/>
    </xf>
    <xf numFmtId="0" fontId="1" fillId="20" borderId="18" xfId="0" applyFont="1" applyFill="1" applyBorder="1" applyAlignment="1">
      <alignment horizontal="center" vertical="center"/>
    </xf>
    <xf numFmtId="0" fontId="1" fillId="26" borderId="10" xfId="0" applyFont="1" applyFill="1" applyBorder="1" applyAlignment="1">
      <alignment horizontal="center" vertical="center"/>
    </xf>
    <xf numFmtId="9" fontId="1" fillId="26" borderId="18" xfId="0" applyNumberFormat="1" applyFont="1" applyFill="1" applyBorder="1" applyAlignment="1">
      <alignment horizontal="center" vertical="center"/>
    </xf>
    <xf numFmtId="0" fontId="1" fillId="27" borderId="18" xfId="0" applyFont="1" applyFill="1" applyBorder="1" applyAlignment="1">
      <alignment horizontal="center" vertical="center"/>
    </xf>
    <xf numFmtId="0" fontId="1" fillId="15" borderId="10" xfId="0" applyFont="1" applyFill="1" applyBorder="1" applyAlignment="1">
      <alignment horizontal="center" vertical="center"/>
    </xf>
    <xf numFmtId="9" fontId="1" fillId="15" borderId="18" xfId="0" applyNumberFormat="1" applyFont="1" applyFill="1" applyBorder="1" applyAlignment="1">
      <alignment horizontal="center" vertical="center"/>
    </xf>
    <xf numFmtId="0" fontId="1" fillId="3" borderId="18" xfId="0" applyFont="1" applyFill="1" applyBorder="1" applyAlignment="1">
      <alignment horizontal="center" vertical="center"/>
    </xf>
    <xf numFmtId="0" fontId="1" fillId="16" borderId="18" xfId="0" applyFont="1" applyFill="1" applyBorder="1" applyAlignment="1">
      <alignment horizontal="center" vertical="center"/>
    </xf>
    <xf numFmtId="9" fontId="1" fillId="16" borderId="18" xfId="0" applyNumberFormat="1" applyFont="1" applyFill="1" applyBorder="1" applyAlignment="1">
      <alignment horizontal="center" vertical="center"/>
    </xf>
    <xf numFmtId="0" fontId="1" fillId="11" borderId="18" xfId="0" applyFont="1" applyFill="1" applyBorder="1" applyAlignment="1">
      <alignment horizontal="center" vertical="center"/>
    </xf>
    <xf numFmtId="0" fontId="1" fillId="8" borderId="10" xfId="0" applyFont="1" applyFill="1" applyBorder="1" applyAlignment="1">
      <alignment horizontal="center" vertical="center"/>
    </xf>
    <xf numFmtId="9" fontId="1" fillId="8" borderId="18" xfId="0" applyNumberFormat="1" applyFont="1" applyFill="1" applyBorder="1" applyAlignment="1">
      <alignment horizontal="center" vertical="center"/>
    </xf>
    <xf numFmtId="0" fontId="1" fillId="3" borderId="17" xfId="0" applyFont="1" applyFill="1" applyBorder="1" applyAlignment="1">
      <alignment horizontal="center" vertical="center"/>
    </xf>
    <xf numFmtId="0" fontId="1" fillId="16" borderId="7" xfId="0" applyFont="1" applyFill="1" applyBorder="1" applyAlignment="1">
      <alignment horizontal="center" vertical="center"/>
    </xf>
    <xf numFmtId="9" fontId="1" fillId="16" borderId="17" xfId="0" applyNumberFormat="1" applyFont="1" applyFill="1" applyBorder="1" applyAlignment="1">
      <alignment horizontal="center" vertical="center"/>
    </xf>
    <xf numFmtId="0" fontId="20" fillId="0" borderId="0" xfId="0" applyFont="1" applyAlignment="1">
      <alignment vertical="center" wrapText="1"/>
    </xf>
    <xf numFmtId="0" fontId="20" fillId="24" borderId="26" xfId="0" applyFont="1" applyFill="1" applyBorder="1" applyAlignment="1">
      <alignment horizontal="center" vertical="center"/>
    </xf>
    <xf numFmtId="0" fontId="20" fillId="24" borderId="45" xfId="0" applyFont="1" applyFill="1" applyBorder="1" applyAlignment="1">
      <alignment horizontal="center" vertical="center"/>
    </xf>
    <xf numFmtId="0" fontId="20" fillId="28" borderId="23" xfId="0" applyFont="1" applyFill="1" applyBorder="1" applyAlignment="1">
      <alignment horizontal="center" vertical="center"/>
    </xf>
    <xf numFmtId="0" fontId="20" fillId="28" borderId="45" xfId="0" applyFont="1" applyFill="1" applyBorder="1" applyAlignment="1">
      <alignment horizontal="center" vertical="center" wrapText="1"/>
    </xf>
    <xf numFmtId="0" fontId="1" fillId="0" borderId="47" xfId="0" applyFont="1" applyBorder="1" applyAlignment="1">
      <alignment horizontal="center" vertical="center"/>
    </xf>
    <xf numFmtId="0" fontId="1" fillId="0" borderId="50" xfId="0" applyFont="1" applyBorder="1" applyAlignment="1">
      <alignment horizontal="center" vertical="center"/>
    </xf>
    <xf numFmtId="0" fontId="1" fillId="0" borderId="51" xfId="0" applyFont="1" applyBorder="1" applyAlignment="1">
      <alignment horizontal="center" vertical="center"/>
    </xf>
    <xf numFmtId="0" fontId="1" fillId="0" borderId="51" xfId="0" applyFont="1" applyBorder="1" applyAlignment="1">
      <alignment horizontal="center" vertical="center" wrapText="1"/>
    </xf>
    <xf numFmtId="0" fontId="1" fillId="0" borderId="51" xfId="0" applyFont="1" applyBorder="1" applyAlignment="1">
      <alignment vertical="center" wrapText="1"/>
    </xf>
    <xf numFmtId="0" fontId="1" fillId="0" borderId="26" xfId="0" applyFont="1" applyBorder="1" applyAlignment="1">
      <alignment horizontal="center" vertical="center"/>
    </xf>
    <xf numFmtId="0" fontId="1" fillId="0" borderId="45" xfId="0" applyFont="1" applyBorder="1" applyAlignment="1">
      <alignment horizontal="center" vertical="center"/>
    </xf>
    <xf numFmtId="0" fontId="1" fillId="0" borderId="45" xfId="0" applyFont="1" applyBorder="1" applyAlignment="1">
      <alignment horizontal="center" vertical="center" wrapText="1"/>
    </xf>
    <xf numFmtId="0" fontId="1" fillId="0" borderId="45" xfId="0" applyFont="1" applyBorder="1" applyAlignment="1">
      <alignment vertical="center" wrapText="1"/>
    </xf>
    <xf numFmtId="0" fontId="1" fillId="0" borderId="23" xfId="0" applyFont="1" applyBorder="1" applyAlignment="1">
      <alignment horizontal="center" vertical="center"/>
    </xf>
    <xf numFmtId="0" fontId="1" fillId="4" borderId="26" xfId="0" applyFont="1" applyFill="1" applyBorder="1" applyAlignment="1">
      <alignment horizontal="center" vertical="center"/>
    </xf>
    <xf numFmtId="0" fontId="1" fillId="4" borderId="45" xfId="0" applyFont="1" applyFill="1" applyBorder="1" applyAlignment="1">
      <alignment horizontal="center" vertical="center"/>
    </xf>
    <xf numFmtId="0" fontId="1" fillId="4" borderId="23" xfId="0" applyFont="1" applyFill="1" applyBorder="1" applyAlignment="1">
      <alignment horizontal="center" vertical="center"/>
    </xf>
    <xf numFmtId="0" fontId="1" fillId="4" borderId="45" xfId="0" applyFont="1" applyFill="1" applyBorder="1" applyAlignment="1">
      <alignment vertical="center" wrapText="1"/>
    </xf>
    <xf numFmtId="0" fontId="1" fillId="23" borderId="26" xfId="0" applyFont="1" applyFill="1" applyBorder="1" applyAlignment="1">
      <alignment horizontal="center" vertical="center"/>
    </xf>
    <xf numFmtId="0" fontId="1" fillId="23" borderId="45" xfId="0" applyFont="1" applyFill="1" applyBorder="1" applyAlignment="1">
      <alignment horizontal="center" vertical="center"/>
    </xf>
    <xf numFmtId="0" fontId="1" fillId="23" borderId="23" xfId="0" applyFont="1" applyFill="1" applyBorder="1" applyAlignment="1">
      <alignment horizontal="center" vertical="center"/>
    </xf>
    <xf numFmtId="0" fontId="1" fillId="23" borderId="45" xfId="0" applyFont="1" applyFill="1" applyBorder="1" applyAlignment="1">
      <alignment vertical="center" wrapText="1"/>
    </xf>
    <xf numFmtId="0" fontId="1" fillId="0" borderId="33" xfId="0" applyFont="1" applyBorder="1" applyAlignment="1">
      <alignment horizontal="left" vertical="center" wrapText="1"/>
    </xf>
    <xf numFmtId="0" fontId="6" fillId="0" borderId="23" xfId="0" applyFont="1" applyBorder="1"/>
    <xf numFmtId="0" fontId="6" fillId="0" borderId="34" xfId="0" applyFont="1" applyBorder="1"/>
    <xf numFmtId="0" fontId="1" fillId="0" borderId="36" xfId="0" applyFont="1" applyBorder="1" applyAlignment="1">
      <alignment horizontal="left" vertical="center" wrapText="1"/>
    </xf>
    <xf numFmtId="0" fontId="6" fillId="0" borderId="37" xfId="0" applyFont="1" applyBorder="1"/>
    <xf numFmtId="0" fontId="6" fillId="0" borderId="38" xfId="0" applyFont="1" applyBorder="1"/>
    <xf numFmtId="0" fontId="16" fillId="19" borderId="4" xfId="0" applyFont="1" applyFill="1" applyBorder="1" applyAlignment="1">
      <alignment horizontal="center" vertical="center" wrapText="1"/>
    </xf>
    <xf numFmtId="0" fontId="6" fillId="0" borderId="5" xfId="0" applyFont="1" applyBorder="1"/>
    <xf numFmtId="0" fontId="6" fillId="0" borderId="6" xfId="0" applyFont="1" applyBorder="1"/>
    <xf numFmtId="0" fontId="1" fillId="20" borderId="10" xfId="0" applyFont="1" applyFill="1" applyBorder="1" applyAlignment="1">
      <alignment horizontal="center" vertical="center" wrapText="1"/>
    </xf>
    <xf numFmtId="0" fontId="6" fillId="0" borderId="11" xfId="0" applyFont="1" applyBorder="1"/>
    <xf numFmtId="0" fontId="6" fillId="0" borderId="12" xfId="0" applyFont="1" applyBorder="1"/>
    <xf numFmtId="0" fontId="7" fillId="21" borderId="4" xfId="0" applyFont="1" applyFill="1" applyBorder="1" applyAlignment="1">
      <alignment horizontal="center" vertical="center" wrapText="1"/>
    </xf>
    <xf numFmtId="0" fontId="6" fillId="0" borderId="7" xfId="0" applyFont="1" applyBorder="1"/>
    <xf numFmtId="0" fontId="6" fillId="0" borderId="8" xfId="0" applyFont="1" applyBorder="1"/>
    <xf numFmtId="0" fontId="6" fillId="0" borderId="9" xfId="0" applyFont="1" applyBorder="1"/>
    <xf numFmtId="0" fontId="1" fillId="15" borderId="4" xfId="0" applyFont="1" applyFill="1" applyBorder="1" applyAlignment="1">
      <alignment horizontal="center" vertical="center"/>
    </xf>
    <xf numFmtId="0" fontId="6" fillId="0" borderId="42" xfId="0" applyFont="1" applyBorder="1"/>
    <xf numFmtId="0" fontId="6" fillId="0" borderId="15" xfId="0" applyFont="1" applyBorder="1"/>
    <xf numFmtId="0" fontId="0" fillId="0" borderId="0" xfId="0"/>
    <xf numFmtId="0" fontId="6" fillId="0" borderId="43" xfId="0" applyFont="1" applyBorder="1"/>
    <xf numFmtId="0" fontId="6" fillId="0" borderId="44" xfId="0" applyFont="1" applyBorder="1"/>
    <xf numFmtId="0" fontId="18" fillId="11" borderId="6" xfId="0" applyFont="1" applyFill="1" applyBorder="1" applyAlignment="1">
      <alignment horizontal="center" vertical="center"/>
    </xf>
    <xf numFmtId="0" fontId="6" fillId="0" borderId="16" xfId="0" applyFont="1" applyBorder="1"/>
    <xf numFmtId="0" fontId="17" fillId="13" borderId="4" xfId="0" applyFont="1" applyFill="1" applyBorder="1" applyAlignment="1">
      <alignment horizontal="center" vertical="center" wrapText="1"/>
    </xf>
    <xf numFmtId="0" fontId="6" fillId="0" borderId="40" xfId="0" applyFont="1" applyBorder="1"/>
    <xf numFmtId="0" fontId="1" fillId="0" borderId="28" xfId="0" applyFont="1" applyBorder="1" applyAlignment="1">
      <alignment horizontal="left" vertical="center" wrapText="1"/>
    </xf>
    <xf numFmtId="0" fontId="6" fillId="0" borderId="20" xfId="0" applyFont="1" applyBorder="1"/>
    <xf numFmtId="0" fontId="6" fillId="0" borderId="29" xfId="0" applyFont="1" applyBorder="1"/>
    <xf numFmtId="0" fontId="7" fillId="16" borderId="4" xfId="0" applyFont="1" applyFill="1" applyBorder="1" applyAlignment="1">
      <alignment horizontal="center" vertical="center" wrapText="1"/>
    </xf>
    <xf numFmtId="0" fontId="14" fillId="0" borderId="10" xfId="0" applyFont="1" applyBorder="1" applyAlignment="1">
      <alignment horizontal="center" vertical="center" wrapText="1"/>
    </xf>
    <xf numFmtId="0" fontId="7" fillId="18" borderId="13" xfId="0" applyFont="1" applyFill="1" applyBorder="1" applyAlignment="1">
      <alignment horizontal="center" vertical="center" wrapText="1"/>
    </xf>
    <xf numFmtId="0" fontId="6" fillId="0" borderId="14" xfId="0" applyFont="1" applyBorder="1"/>
    <xf numFmtId="0" fontId="6" fillId="0" borderId="17" xfId="0" applyFont="1" applyBorder="1"/>
    <xf numFmtId="0" fontId="10" fillId="3" borderId="4" xfId="0" applyFont="1" applyFill="1" applyBorder="1" applyAlignment="1">
      <alignment horizontal="center" vertical="center"/>
    </xf>
    <xf numFmtId="0" fontId="10" fillId="3" borderId="25" xfId="0" applyFont="1" applyFill="1" applyBorder="1" applyAlignment="1">
      <alignment horizontal="center" vertical="center"/>
    </xf>
    <xf numFmtId="0" fontId="6" fillId="0" borderId="26" xfId="0" applyFont="1" applyBorder="1"/>
    <xf numFmtId="0" fontId="9" fillId="12" borderId="4" xfId="0" applyFont="1" applyFill="1" applyBorder="1" applyAlignment="1">
      <alignment horizontal="center" vertical="center" wrapText="1"/>
    </xf>
    <xf numFmtId="0" fontId="9" fillId="13" borderId="4" xfId="0" applyFont="1" applyFill="1" applyBorder="1" applyAlignment="1">
      <alignment horizontal="center" vertical="center" wrapText="1"/>
    </xf>
    <xf numFmtId="0" fontId="10" fillId="14" borderId="10"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11" fillId="15" borderId="5" xfId="0" applyFont="1" applyFill="1" applyBorder="1" applyAlignment="1">
      <alignment horizontal="center" vertical="center" wrapText="1"/>
    </xf>
    <xf numFmtId="0" fontId="7" fillId="17" borderId="13" xfId="0" applyFont="1" applyFill="1" applyBorder="1" applyAlignment="1">
      <alignment horizontal="center" vertical="center" wrapText="1"/>
    </xf>
    <xf numFmtId="0" fontId="13" fillId="15"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10" fillId="18" borderId="4" xfId="0" applyFont="1" applyFill="1" applyBorder="1" applyAlignment="1">
      <alignment horizontal="center" vertical="center" wrapText="1"/>
    </xf>
    <xf numFmtId="0" fontId="10" fillId="18" borderId="4" xfId="0" applyFont="1" applyFill="1" applyBorder="1" applyAlignment="1">
      <alignment horizontal="left" vertical="center" wrapText="1"/>
    </xf>
    <xf numFmtId="0" fontId="0" fillId="22" borderId="10" xfId="0" applyFill="1" applyBorder="1" applyAlignment="1">
      <alignment horizontal="center" vertical="center" wrapText="1"/>
    </xf>
    <xf numFmtId="0" fontId="10" fillId="23" borderId="4" xfId="0" applyFont="1" applyFill="1" applyBorder="1" applyAlignment="1">
      <alignment horizontal="center" vertical="center" wrapText="1"/>
    </xf>
    <xf numFmtId="0" fontId="7" fillId="18" borderId="4" xfId="0" applyFont="1" applyFill="1" applyBorder="1" applyAlignment="1">
      <alignment horizontal="center" vertical="center" wrapText="1"/>
    </xf>
    <xf numFmtId="0" fontId="7" fillId="18" borderId="4" xfId="0" applyFont="1" applyFill="1" applyBorder="1" applyAlignment="1">
      <alignment vertical="center" wrapText="1"/>
    </xf>
    <xf numFmtId="0" fontId="0" fillId="11" borderId="10" xfId="0" applyFill="1" applyBorder="1" applyAlignment="1">
      <alignment horizontal="center" vertical="center" wrapText="1"/>
    </xf>
    <xf numFmtId="0" fontId="10" fillId="18" borderId="4" xfId="0" applyFont="1" applyFill="1" applyBorder="1" applyAlignment="1">
      <alignment vertical="center" wrapText="1"/>
    </xf>
    <xf numFmtId="0" fontId="0" fillId="8" borderId="10" xfId="0" applyFill="1" applyBorder="1" applyAlignment="1">
      <alignment horizontal="center" vertical="center" wrapText="1"/>
    </xf>
    <xf numFmtId="0" fontId="0" fillId="23" borderId="10" xfId="0" applyFill="1" applyBorder="1" applyAlignment="1">
      <alignment horizontal="center" vertical="center" wrapText="1"/>
    </xf>
    <xf numFmtId="0" fontId="7" fillId="17" borderId="10" xfId="0" applyFont="1" applyFill="1" applyBorder="1" applyAlignment="1">
      <alignment horizontal="center" vertical="center" wrapText="1"/>
    </xf>
    <xf numFmtId="0" fontId="0" fillId="14" borderId="10" xfId="0" applyFill="1" applyBorder="1" applyAlignment="1">
      <alignment horizontal="center" vertical="center" wrapText="1"/>
    </xf>
    <xf numFmtId="0" fontId="10" fillId="17" borderId="4" xfId="0" applyFont="1" applyFill="1" applyBorder="1" applyAlignment="1">
      <alignment horizontal="center" vertical="center" wrapText="1"/>
    </xf>
    <xf numFmtId="0" fontId="10" fillId="18" borderId="13" xfId="0" applyFont="1" applyFill="1" applyBorder="1" applyAlignment="1">
      <alignment horizontal="center" vertical="center" wrapText="1"/>
    </xf>
    <xf numFmtId="0" fontId="15" fillId="18" borderId="4" xfId="0" applyFont="1" applyFill="1" applyBorder="1" applyAlignment="1">
      <alignment horizontal="center" vertical="center" wrapText="1"/>
    </xf>
    <xf numFmtId="0" fontId="16" fillId="19" borderId="15" xfId="0" applyFont="1" applyFill="1" applyBorder="1" applyAlignment="1">
      <alignment horizontal="center" vertical="center" wrapText="1"/>
    </xf>
    <xf numFmtId="0" fontId="10" fillId="21" borderId="4" xfId="0" applyFont="1" applyFill="1" applyBorder="1" applyAlignment="1">
      <alignment horizontal="center" vertical="center" wrapText="1"/>
    </xf>
    <xf numFmtId="0" fontId="1" fillId="10" borderId="10" xfId="0" applyFont="1" applyFill="1" applyBorder="1" applyAlignment="1">
      <alignment horizontal="center"/>
    </xf>
    <xf numFmtId="0" fontId="10" fillId="18" borderId="19" xfId="0" applyFont="1" applyFill="1" applyBorder="1" applyAlignment="1">
      <alignment vertical="top"/>
    </xf>
    <xf numFmtId="0" fontId="6" fillId="0" borderId="21" xfId="0" applyFont="1" applyBorder="1"/>
    <xf numFmtId="0" fontId="10" fillId="18" borderId="22" xfId="0" applyFont="1" applyFill="1" applyBorder="1" applyAlignment="1">
      <alignment vertical="top"/>
    </xf>
    <xf numFmtId="0" fontId="6" fillId="0" borderId="24" xfId="0" applyFont="1" applyBorder="1"/>
    <xf numFmtId="0" fontId="1" fillId="0" borderId="45" xfId="0" applyFont="1" applyBorder="1" applyAlignment="1">
      <alignment horizontal="center" vertical="center"/>
    </xf>
    <xf numFmtId="0" fontId="6" fillId="0" borderId="45" xfId="0" applyFont="1" applyBorder="1"/>
    <xf numFmtId="0" fontId="1" fillId="0" borderId="45" xfId="0" applyFont="1" applyBorder="1" applyAlignment="1">
      <alignment horizontal="center" vertical="center" wrapText="1"/>
    </xf>
    <xf numFmtId="14" fontId="1" fillId="0" borderId="45" xfId="0" applyNumberFormat="1" applyFont="1" applyBorder="1" applyAlignment="1">
      <alignment horizontal="center" vertical="center"/>
    </xf>
    <xf numFmtId="0" fontId="1" fillId="0" borderId="45" xfId="0" applyFont="1" applyBorder="1" applyAlignment="1">
      <alignment vertical="center"/>
    </xf>
    <xf numFmtId="0" fontId="6" fillId="0" borderId="46" xfId="0" applyFont="1" applyBorder="1"/>
    <xf numFmtId="0" fontId="1" fillId="0" borderId="45" xfId="0" applyFont="1" applyBorder="1" applyAlignment="1">
      <alignment vertical="center" wrapText="1"/>
    </xf>
    <xf numFmtId="0" fontId="22" fillId="0" borderId="45" xfId="0" applyFont="1" applyBorder="1" applyAlignment="1">
      <alignment vertical="center"/>
    </xf>
    <xf numFmtId="0" fontId="1" fillId="0" borderId="48" xfId="0" applyFont="1" applyBorder="1" applyAlignment="1">
      <alignment horizontal="center" vertical="center"/>
    </xf>
    <xf numFmtId="0" fontId="6" fillId="0" borderId="49" xfId="0" applyFont="1" applyBorder="1"/>
    <xf numFmtId="0" fontId="6" fillId="0" borderId="50" xfId="0" applyFont="1" applyBorder="1"/>
    <xf numFmtId="0" fontId="1" fillId="0" borderId="48" xfId="0" applyFont="1" applyBorder="1" applyAlignment="1">
      <alignment horizontal="center" vertical="center" wrapText="1"/>
    </xf>
    <xf numFmtId="0" fontId="1" fillId="20" borderId="10" xfId="0" applyFont="1" applyFill="1" applyBorder="1" applyAlignment="1">
      <alignment horizontal="center" vertical="center"/>
    </xf>
    <xf numFmtId="0" fontId="1" fillId="27" borderId="10" xfId="0" applyFont="1" applyFill="1" applyBorder="1" applyAlignment="1">
      <alignment horizontal="center" vertical="center"/>
    </xf>
    <xf numFmtId="0" fontId="1" fillId="11" borderId="10" xfId="0" applyFont="1" applyFill="1" applyBorder="1" applyAlignment="1">
      <alignment horizontal="center" vertical="center"/>
    </xf>
    <xf numFmtId="0" fontId="20" fillId="24" borderId="45" xfId="0" applyFont="1" applyFill="1" applyBorder="1" applyAlignment="1">
      <alignment horizontal="center" vertical="center"/>
    </xf>
    <xf numFmtId="0" fontId="1" fillId="0" borderId="48" xfId="0" applyFont="1" applyBorder="1" applyAlignment="1">
      <alignment vertical="center" wrapText="1"/>
    </xf>
    <xf numFmtId="14" fontId="1" fillId="0" borderId="48" xfId="0" applyNumberFormat="1" applyFont="1" applyBorder="1" applyAlignment="1">
      <alignment horizontal="center" vertical="center"/>
    </xf>
    <xf numFmtId="0" fontId="21" fillId="0" borderId="48" xfId="0" applyFont="1" applyBorder="1" applyAlignment="1">
      <alignment vertical="center"/>
    </xf>
    <xf numFmtId="0" fontId="6" fillId="0" borderId="52" xfId="0" applyFont="1" applyBorder="1"/>
    <xf numFmtId="0" fontId="1" fillId="3" borderId="13" xfId="0" applyFont="1" applyFill="1" applyBorder="1" applyAlignment="1">
      <alignment horizontal="center" vertical="center"/>
    </xf>
    <xf numFmtId="0" fontId="1" fillId="16" borderId="4" xfId="0" applyFont="1" applyFill="1" applyBorder="1" applyAlignment="1">
      <alignment horizontal="center" vertical="center"/>
    </xf>
    <xf numFmtId="9" fontId="1" fillId="16" borderId="13" xfId="0" applyNumberFormat="1" applyFont="1" applyFill="1" applyBorder="1" applyAlignment="1">
      <alignment horizontal="center" vertical="center"/>
    </xf>
    <xf numFmtId="0" fontId="20" fillId="28" borderId="45" xfId="0" applyFont="1" applyFill="1" applyBorder="1" applyAlignment="1">
      <alignment horizontal="center" vertical="center" wrapText="1"/>
    </xf>
    <xf numFmtId="0" fontId="20" fillId="29" borderId="45" xfId="0" applyFont="1" applyFill="1" applyBorder="1" applyAlignment="1">
      <alignment horizontal="center" vertical="center"/>
    </xf>
    <xf numFmtId="0" fontId="19" fillId="24" borderId="0" xfId="0" applyFont="1" applyFill="1" applyAlignment="1">
      <alignment vertical="center"/>
    </xf>
    <xf numFmtId="0" fontId="20" fillId="25" borderId="10" xfId="0" applyFont="1" applyFill="1" applyBorder="1" applyAlignment="1">
      <alignment horizontal="center" vertical="center"/>
    </xf>
    <xf numFmtId="0" fontId="10" fillId="11" borderId="10" xfId="0" applyFont="1" applyFill="1" applyBorder="1" applyAlignment="1">
      <alignment horizontal="center" vertical="center"/>
    </xf>
    <xf numFmtId="0" fontId="13" fillId="8" borderId="10" xfId="0" applyFont="1" applyFill="1" applyBorder="1" applyAlignment="1">
      <alignment horizontal="center" vertical="center"/>
    </xf>
    <xf numFmtId="0" fontId="10" fillId="5" borderId="10" xfId="0" applyFont="1" applyFill="1" applyBorder="1" applyAlignment="1">
      <alignment horizontal="center" vertical="center"/>
    </xf>
    <xf numFmtId="0" fontId="10" fillId="4" borderId="10" xfId="0" applyFont="1" applyFill="1" applyBorder="1" applyAlignment="1">
      <alignment horizontal="center" vertical="center"/>
    </xf>
    <xf numFmtId="0" fontId="1" fillId="22" borderId="10" xfId="0" applyFont="1" applyFill="1" applyBorder="1" applyAlignment="1">
      <alignment horizontal="center" vertical="center"/>
    </xf>
    <xf numFmtId="0" fontId="10" fillId="20" borderId="4" xfId="0" applyFont="1" applyFill="1" applyBorder="1" applyAlignment="1">
      <alignment horizontal="center" vertical="center"/>
    </xf>
    <xf numFmtId="0" fontId="8" fillId="26" borderId="4" xfId="0" applyFont="1" applyFill="1" applyBorder="1" applyAlignment="1">
      <alignment horizontal="center" vertical="center"/>
    </xf>
  </cellXfs>
  <cellStyles count="1">
    <cellStyle name="표준" xfId="0" builtinId="0"/>
  </cellStyles>
  <dxfs count="21">
    <dxf>
      <fill>
        <patternFill patternType="none"/>
      </fill>
    </dxf>
    <dxf>
      <fill>
        <patternFill patternType="solid">
          <fgColor rgb="FFFFF2CC"/>
          <bgColor rgb="FFFFF2CC"/>
        </patternFill>
      </fill>
    </dxf>
    <dxf>
      <font>
        <color rgb="FF999999"/>
      </font>
      <fill>
        <patternFill patternType="solid">
          <fgColor rgb="FFD9D9D9"/>
          <bgColor rgb="FFD9D9D9"/>
        </patternFill>
      </fill>
    </dxf>
    <dxf>
      <font>
        <color rgb="FFCC0000"/>
      </font>
      <fill>
        <patternFill patternType="solid">
          <fgColor rgb="FFEA9999"/>
          <bgColor rgb="FFEA9999"/>
        </patternFill>
      </fill>
    </dxf>
    <dxf>
      <fill>
        <patternFill patternType="solid">
          <fgColor rgb="FFF4CCCC"/>
          <bgColor rgb="FFF4CCCC"/>
        </patternFill>
      </fill>
    </dxf>
    <dxf>
      <fill>
        <patternFill patternType="solid">
          <fgColor rgb="FFC9DAF8"/>
          <bgColor rgb="FFC9DAF8"/>
        </patternFill>
      </fill>
    </dxf>
    <dxf>
      <fill>
        <patternFill patternType="solid">
          <fgColor rgb="FF9FC5E8"/>
          <bgColor rgb="FF9FC5E8"/>
        </patternFill>
      </fill>
    </dxf>
    <dxf>
      <fill>
        <patternFill patternType="solid">
          <fgColor rgb="FFB6D7A8"/>
          <bgColor rgb="FFB6D7A8"/>
        </patternFill>
      </fill>
    </dxf>
    <dxf>
      <fill>
        <patternFill patternType="solid">
          <fgColor rgb="FFFFE599"/>
          <bgColor rgb="FFFFE599"/>
        </patternFill>
      </fill>
    </dxf>
    <dxf>
      <fill>
        <patternFill patternType="solid">
          <fgColor rgb="FFF9CB9C"/>
          <bgColor rgb="FFF9CB9C"/>
        </patternFill>
      </fill>
    </dxf>
    <dxf>
      <fill>
        <patternFill patternType="solid">
          <fgColor rgb="FFEA9999"/>
          <bgColor rgb="FFEA9999"/>
        </patternFill>
      </fill>
    </dxf>
    <dxf>
      <fill>
        <patternFill patternType="solid">
          <fgColor rgb="FFC9DAF8"/>
          <bgColor rgb="FFC9DAF8"/>
        </patternFill>
      </fill>
    </dxf>
    <dxf>
      <fill>
        <patternFill patternType="solid">
          <fgColor rgb="FFB7B7B7"/>
          <bgColor rgb="FFB7B7B7"/>
        </patternFill>
      </fill>
    </dxf>
    <dxf>
      <fill>
        <patternFill patternType="solid">
          <fgColor rgb="FFFFFF00"/>
          <bgColor rgb="FFFFFF00"/>
        </patternFill>
      </fill>
    </dxf>
    <dxf>
      <fill>
        <patternFill patternType="solid">
          <fgColor rgb="FFA4C2F4"/>
          <bgColor rgb="FFA4C2F4"/>
        </patternFill>
      </fill>
    </dxf>
    <dxf>
      <fill>
        <patternFill patternType="solid">
          <fgColor rgb="FFEA9999"/>
          <bgColor rgb="FFEA9999"/>
        </patternFill>
      </fill>
    </dxf>
    <dxf>
      <fill>
        <patternFill patternType="solid">
          <fgColor rgb="FFCCCCCC"/>
          <bgColor rgb="FFCCCCCC"/>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설문지 응답 시트1-style" pivot="0" count="4" xr9:uid="{00000000-0011-0000-FFFF-FFFF00000000}">
      <tableStyleElement type="wholeTable" size="0" dxfId="20"/>
      <tableStyleElement type="headerRow" dxfId="19"/>
      <tableStyleElement type="firstRowStripe" dxfId="18"/>
      <tableStyleElement type="second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144">
  <tableColumns count="30">
    <tableColumn id="1" xr3:uid="{00000000-0010-0000-0000-000001000000}" name="wnwo"/>
    <tableColumn id="2" xr3:uid="{00000000-0010-0000-0000-000002000000}" name="이메일 주소"/>
    <tableColumn id="3" xr3:uid="{00000000-0010-0000-0000-000003000000}" name="1. 이름"/>
    <tableColumn id="4" xr3:uid="{00000000-0010-0000-0000-000004000000}" name="2. 성별"/>
    <tableColumn id="5" xr3:uid="{00000000-0010-0000-0000-000005000000}" name="3. 나이"/>
    <tableColumn id="6" xr3:uid="{00000000-0010-0000-0000-000006000000}" name="4. 최종학력 체크"/>
    <tableColumn id="7" xr3:uid="{00000000-0010-0000-0000-000007000000}" name="5. 본 과정과 연관하였을 때 여러분은 전공자인가요 ? "/>
    <tableColumn id="8" xr3:uid="{00000000-0010-0000-0000-000008000000}" name="6. 학교와 전공"/>
    <tableColumn id="9" xr3:uid="{00000000-0010-0000-0000-000009000000}" name="7. 1분 자기소개를 작성해주세요."/>
    <tableColumn id="10" xr3:uid="{00000000-0010-0000-0000-00000A000000}" name="8. 본 과정에 참여를 신청한 이유는 무엇인가요? "/>
    <tableColumn id="11" xr3:uid="{00000000-0010-0000-0000-00000B000000}" name="9. 지금까지 게임과 관련된 학습 및 업무 경험이 있습니까?"/>
    <tableColumn id="12" xr3:uid="{00000000-0010-0000-0000-00000C000000}" name="10. 과정과 관련된 취업 분야를 알고 있는만큼 적어주세요."/>
    <tableColumn id="13" xr3:uid="{00000000-0010-0000-0000-00000D000000}" name="11. 수료 후 자신의 목표를 작성해주세요. "/>
    <tableColumn id="14" xr3:uid="{00000000-0010-0000-0000-00000E000000}" name="12. 화상 수업을 위한 캠 + 마이크 보유사항을 체크해주세요"/>
    <tableColumn id="15" xr3:uid="{00000000-0010-0000-0000-00000F000000}" name="13. 본인이 앓고 있는 지병 혹은 질환이 있나요? "/>
    <tableColumn id="16" xr3:uid="{00000000-0010-0000-0000-000010000000}" name="(13번 질문에 예를 선택하신 경우)지병 혹은 질환이 있다면 어떤 상황인지, 복용하고 있는 약이 있다면 간략히 작성해주세요. 장기 훈련 과정을 진행하기에 앞서 도움을 드리기 위해 파악됩니다."/>
    <tableColumn id="17" xr3:uid="{00000000-0010-0000-0000-000011000000}" name="14. 타인과의 갈등 속에서 당신은 어떻게 대처하나요?"/>
    <tableColumn id="18" xr3:uid="{00000000-0010-0000-0000-000012000000}" name="15. 여러분은 자신의 실수나 실패에 대체로 어떻게 대응하시나요? "/>
    <tableColumn id="19" xr3:uid="{00000000-0010-0000-0000-000013000000}" name="16. 타인의 부족한 부분을 보았을 때 어떻게 대처하시나요?"/>
    <tableColumn id="20" xr3:uid="{00000000-0010-0000-0000-000014000000}" name="17. 본 과정은 장기 훈련과정입니다. 참여에 영향을 줄 경제적인 어려움이 있나요?_x000a_(추가적인 정부 지원 안내를 위해 활용됩니다.)"/>
    <tableColumn id="21" xr3:uid="{00000000-0010-0000-0000-000015000000}" name="(17번 질문에 예를 선택하신 경우)어려움이 있다면 어떤 상황인지 간략히 작성해주세요."/>
    <tableColumn id="22" xr3:uid="{00000000-0010-0000-0000-000016000000}" name="18. 지인 중에 게임 업계 관련 종사자가 있습니까?"/>
    <tableColumn id="23" xr3:uid="{00000000-0010-0000-0000-000017000000}" name="19. 추천을 받았다면 누구에게 받았습니까 ?"/>
    <tableColumn id="24" xr3:uid="{00000000-0010-0000-0000-000018000000}" name="20. 궁금한 부분이 있거나 과정 참여 시 걱정되는 부분이 있다면 자유롭게 작성해주세요."/>
    <tableColumn id="25" xr3:uid="{00000000-0010-0000-0000-000019000000}" name="이름"/>
    <tableColumn id="26" xr3:uid="{00000000-0010-0000-0000-00001A000000}" name="작성일자"/>
    <tableColumn id="27" xr3:uid="{00000000-0010-0000-0000-00001B000000}" name="개인정보 수집 및 이용에 동의하십니까?"/>
    <tableColumn id="28" xr3:uid="{00000000-0010-0000-0000-00001C000000}" name="이름 2"/>
    <tableColumn id="29" xr3:uid="{00000000-0010-0000-0000-00001D000000}" name="작성일자 2"/>
    <tableColumn id="30" xr3:uid="{00000000-0010-0000-0000-00001E000000}" name="개인정보 처리방침에 동의하십니까?"/>
  </tableColumns>
  <tableStyleInfo name="설문지 응답 시트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careers.nexon.com/recruit/8788?query=%ED%8D%BC%EC%8A%A4%ED%8A%B8+%EB%94%94%EC%84%BC%EB%8D%98%ED%8A%B8&amp;careerTypes=10&amp;careerTypes=30"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adm.develrocket.com/" TargetMode="External"/><Relationship Id="rId1" Type="http://schemas.openxmlformats.org/officeDocument/2006/relationships/hyperlink" Target="https://drive.google.com/drive/folders/1swEGp9Mvwz3dJC394GfFeoHWFPm-j7By?ths=true"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cs.google.com/spreadsheets/d/1sOuHVfSniy7ThVGms26t4NSse83ByRolM_zW9sHbW8c/edit" TargetMode="External"/><Relationship Id="rId21" Type="http://schemas.openxmlformats.org/officeDocument/2006/relationships/hyperlink" Target="https://docs.google.com/spreadsheets/d/1KFrsMSNUkM2Bqei_AQbhnWmZCoXo9nr10X_2xELOWxk/edit" TargetMode="External"/><Relationship Id="rId42" Type="http://schemas.openxmlformats.org/officeDocument/2006/relationships/hyperlink" Target="https://docs.google.com/spreadsheets/d/1xWMzIyVfEUxs3wyqK0EA6-zjjfyji_GW18WLsjvpplY/edit" TargetMode="External"/><Relationship Id="rId47" Type="http://schemas.openxmlformats.org/officeDocument/2006/relationships/hyperlink" Target="https://docs.google.com/spreadsheets/d/1gzEYXiEAM0nFUNLzLwBJjMzNKWMWrpSul8ETwl2H5h4/edit" TargetMode="External"/><Relationship Id="rId63" Type="http://schemas.openxmlformats.org/officeDocument/2006/relationships/hyperlink" Target="https://docs.google.com/spreadsheets/d/120cUkWgXzH5i95i1R8G0ora1NEb0ConsIBSMYNPe_Xs/edit" TargetMode="External"/><Relationship Id="rId68" Type="http://schemas.openxmlformats.org/officeDocument/2006/relationships/hyperlink" Target="https://docs.google.com/spreadsheets/d/1u_B8GLJBUXmrNoBRHoZgsSvjRPyKVyOUnEnIbBmJOTE/edit" TargetMode="External"/><Relationship Id="rId84" Type="http://schemas.openxmlformats.org/officeDocument/2006/relationships/hyperlink" Target="https://docs.google.com/spreadsheets/d/1EGEp-Tutzf_XDJyt47Hp4roTmaQZscKiEFoqSNGMQqs/edit" TargetMode="External"/><Relationship Id="rId89" Type="http://schemas.openxmlformats.org/officeDocument/2006/relationships/hyperlink" Target="https://docs.google.com/spreadsheets/d/124unUkRkJTIBk1YpE2s-aMcn70m7nPvM6G9IG97Wm-8/edit" TargetMode="External"/><Relationship Id="rId112" Type="http://schemas.openxmlformats.org/officeDocument/2006/relationships/hyperlink" Target="https://docs.google.com/spreadsheets/d/1gO8bv0eqZPcIhoYqIvpkt2saOfSGZZZZpBkcPMkFSaE/edit" TargetMode="External"/><Relationship Id="rId16" Type="http://schemas.openxmlformats.org/officeDocument/2006/relationships/hyperlink" Target="https://docs.google.com/spreadsheets/d/1M7S9U556RUHtP0lJ_tfrySM6qSI9RmKx1-FhpLvFCF4/edit" TargetMode="External"/><Relationship Id="rId107" Type="http://schemas.openxmlformats.org/officeDocument/2006/relationships/hyperlink" Target="https://docs.google.com/spreadsheets/d/1n-z-jHyIgcfdIWOoLaqFXZmPK4E5K5X0VwF_K5Avihg/edit" TargetMode="External"/><Relationship Id="rId11" Type="http://schemas.openxmlformats.org/officeDocument/2006/relationships/hyperlink" Target="https://docs.google.com/spreadsheets/d/1YHSrraEgKKkcoTV0j9OSgGJYL4viSEsy5KWo-lGuwhg/edit" TargetMode="External"/><Relationship Id="rId32" Type="http://schemas.openxmlformats.org/officeDocument/2006/relationships/hyperlink" Target="https://docs.google.com/spreadsheets/d/11DYABwtXK1yfr6WTIJOiA9NjAtVoNYl6m-LwdnO8jrM/edit" TargetMode="External"/><Relationship Id="rId37" Type="http://schemas.openxmlformats.org/officeDocument/2006/relationships/hyperlink" Target="https://docs.google.com/spreadsheets/d/1dGvBpzPUs9qpPvhKor94vTjKEfBhdHjcpqT5r8J_-MA/edit" TargetMode="External"/><Relationship Id="rId53" Type="http://schemas.openxmlformats.org/officeDocument/2006/relationships/hyperlink" Target="https://docs.google.com/spreadsheets/d/1y_lgjSvY374c-hKS23HiQKQdnzcA0ceizpvWKfui9GM/edit" TargetMode="External"/><Relationship Id="rId58" Type="http://schemas.openxmlformats.org/officeDocument/2006/relationships/hyperlink" Target="https://docs.google.com/spreadsheets/d/1BkFlEGb5JZxHpDIF05o7YcV3tAMXbZVygt3FYmuW0FY/edit" TargetMode="External"/><Relationship Id="rId74" Type="http://schemas.openxmlformats.org/officeDocument/2006/relationships/hyperlink" Target="https://docs.google.com/spreadsheets/d/1WHtbGLYADqA_l9o5Fun0YG7S69ay3-tBoKvIT4xNfQg/edit" TargetMode="External"/><Relationship Id="rId79" Type="http://schemas.openxmlformats.org/officeDocument/2006/relationships/hyperlink" Target="https://docs.google.com/spreadsheets/d/1rlUAYD0cJeWtqBhJtNMt4kZyw5XwbR9RbcNnS60S7ag/edit" TargetMode="External"/><Relationship Id="rId102" Type="http://schemas.openxmlformats.org/officeDocument/2006/relationships/hyperlink" Target="https://docs.google.com/spreadsheets/d/1iDEM7K-Zj9_Uuo5ODRO484HeQXWtZr4Zfszpv1gCUFw/edit" TargetMode="External"/><Relationship Id="rId5" Type="http://schemas.openxmlformats.org/officeDocument/2006/relationships/hyperlink" Target="https://docs.google.com/spreadsheets/d/1NGc_FoIKpAgiz-1WVy0kVuLzM5Z6gAphngIhbLy8-QE/edit" TargetMode="External"/><Relationship Id="rId90" Type="http://schemas.openxmlformats.org/officeDocument/2006/relationships/hyperlink" Target="https://docs.google.com/spreadsheets/d/1oMS__fBx-IINWh9vq413Epvj_8hmfYdgxxGyPozvgpI/edit" TargetMode="External"/><Relationship Id="rId95" Type="http://schemas.openxmlformats.org/officeDocument/2006/relationships/hyperlink" Target="https://docs.google.com/spreadsheets/d/1wBug4WzOLsfIslCb2m-tN6O2WWnawt3nbwiMnMp5bPs/edit" TargetMode="External"/><Relationship Id="rId22" Type="http://schemas.openxmlformats.org/officeDocument/2006/relationships/hyperlink" Target="https://docs.google.com/spreadsheets/d/1a0UJy4hctoKCk5LtPvK6ijDSCouSPqR_dROk1Ev8t04/edit" TargetMode="External"/><Relationship Id="rId27" Type="http://schemas.openxmlformats.org/officeDocument/2006/relationships/hyperlink" Target="https://docs.google.com/spreadsheets/d/1LAz1jOoNe38gs5x3TqmD15MOmnxePdqcmenl6o2S6i8/edit" TargetMode="External"/><Relationship Id="rId43" Type="http://schemas.openxmlformats.org/officeDocument/2006/relationships/hyperlink" Target="https://docs.google.com/spreadsheets/d/1uIcWK3sFn5Rwo0SMSL9XQz_0kT2m55LLmdKc54xzbLU/edit" TargetMode="External"/><Relationship Id="rId48" Type="http://schemas.openxmlformats.org/officeDocument/2006/relationships/hyperlink" Target="https://docs.google.com/spreadsheets/d/1ztYa8v71megvHIaZnF5nAIuB68av30J4KIYebPUHVtE/edit" TargetMode="External"/><Relationship Id="rId64" Type="http://schemas.openxmlformats.org/officeDocument/2006/relationships/hyperlink" Target="https://docs.google.com/spreadsheets/d/1c_zcaPz_y7W8OgvzBYa9P1h8UIMxpAHWnVu5ReEHAuo/edit" TargetMode="External"/><Relationship Id="rId69" Type="http://schemas.openxmlformats.org/officeDocument/2006/relationships/hyperlink" Target="https://docs.google.com/spreadsheets/d/1FviKkpwZVGdSDw5SOtDTjJf02-vP_N8wT1mHz-F1LRw/edit" TargetMode="External"/><Relationship Id="rId113" Type="http://schemas.openxmlformats.org/officeDocument/2006/relationships/vmlDrawing" Target="../drawings/vmlDrawing1.vml"/><Relationship Id="rId80" Type="http://schemas.openxmlformats.org/officeDocument/2006/relationships/hyperlink" Target="https://docs.google.com/spreadsheets/d/1TqyWWtoGp5cRhqvuXVGhrmzGGqcPTtijtTExY4euGMs/edit" TargetMode="External"/><Relationship Id="rId85" Type="http://schemas.openxmlformats.org/officeDocument/2006/relationships/hyperlink" Target="https://docs.google.com/spreadsheets/d/1cGoFCSmDsaT6ezYjz_rPqAD2E0kUl3zutC-p2CLiEn8/edit" TargetMode="External"/><Relationship Id="rId12" Type="http://schemas.openxmlformats.org/officeDocument/2006/relationships/hyperlink" Target="https://docs.google.com/spreadsheets/d/1unUb8aGiaIJFpWhEivayE2zLrz2MyYkH-RxX34KsLZA/edit" TargetMode="External"/><Relationship Id="rId17" Type="http://schemas.openxmlformats.org/officeDocument/2006/relationships/hyperlink" Target="https://docs.google.com/spreadsheets/d/16X7VeoWixB4GoUQtxNlVG0ZDUtUL5z1c0nJ_4I586sg/edit" TargetMode="External"/><Relationship Id="rId33" Type="http://schemas.openxmlformats.org/officeDocument/2006/relationships/hyperlink" Target="https://docs.google.com/spreadsheets/d/1WZJ4I8ctgdvvgfOETSVHY1c1NieowpbVd2FylAoPY8g/edit" TargetMode="External"/><Relationship Id="rId38" Type="http://schemas.openxmlformats.org/officeDocument/2006/relationships/hyperlink" Target="https://docs.google.com/spreadsheets/d/17x9VDclG9ZHs2PH04myS-I-VVFhNSSMozEyb6SwmaUs/edit" TargetMode="External"/><Relationship Id="rId59" Type="http://schemas.openxmlformats.org/officeDocument/2006/relationships/hyperlink" Target="https://docs.google.com/spreadsheets/d/17gCuA9Q9KswXtTdNck8FysfVXJURue0gsTAbUUEaygA/edit" TargetMode="External"/><Relationship Id="rId103" Type="http://schemas.openxmlformats.org/officeDocument/2006/relationships/hyperlink" Target="https://docs.google.com/spreadsheets/d/18szMNdGyC1D-hTE9aLWZ4iasxkc0DldLdGYjXmqdJqo/edit" TargetMode="External"/><Relationship Id="rId108" Type="http://schemas.openxmlformats.org/officeDocument/2006/relationships/hyperlink" Target="https://docs.google.com/spreadsheets/d/1ZO5xEZG7qOXHvvJApROkerwAg2FGZ73FtCB9IgWlIMk/edit" TargetMode="External"/><Relationship Id="rId54" Type="http://schemas.openxmlformats.org/officeDocument/2006/relationships/hyperlink" Target="https://docs.google.com/spreadsheets/d/1F8Y1sFQuh5B3Pv3RAbdcRYHfBSO1FcIQh774bI2XgI8/edit" TargetMode="External"/><Relationship Id="rId70" Type="http://schemas.openxmlformats.org/officeDocument/2006/relationships/hyperlink" Target="https://docs.google.com/spreadsheets/d/1C90idueOTokIzC5NrnOfPucJJ7VRJRzOqLV_Eb2ZSNw/edit" TargetMode="External"/><Relationship Id="rId75" Type="http://schemas.openxmlformats.org/officeDocument/2006/relationships/hyperlink" Target="https://docs.google.com/spreadsheets/d/153Varz5Q5WdrU0SHRcDqbchDq_MgGOo0AyjaL2uRE4s/edit" TargetMode="External"/><Relationship Id="rId91" Type="http://schemas.openxmlformats.org/officeDocument/2006/relationships/hyperlink" Target="https://docs.google.com/spreadsheets/d/1VUlEB3rBT33ruXO29pnR1ZBrOlEqPlGW652CJgGeRPk/edit" TargetMode="External"/><Relationship Id="rId96" Type="http://schemas.openxmlformats.org/officeDocument/2006/relationships/hyperlink" Target="https://docs.google.com/spreadsheets/d/1SsE71F9bxH9dvEj2OvzfyL1NdiHoSO-IBIHZXhs7Eek/edit" TargetMode="External"/><Relationship Id="rId1" Type="http://schemas.openxmlformats.org/officeDocument/2006/relationships/hyperlink" Target="https://docs.google.com/spreadsheets/d/1XbM7ecV-SXzNNru2i-Pxd4qyOSW2Nntm8fq77D0vVaQ/edit" TargetMode="External"/><Relationship Id="rId6" Type="http://schemas.openxmlformats.org/officeDocument/2006/relationships/hyperlink" Target="https://docs.google.com/spreadsheets/d/1KMXeR-zSPK6rQp9BHqyfVfWmD_1DBwpC4OksiuXRZ6s/edit" TargetMode="External"/><Relationship Id="rId15" Type="http://schemas.openxmlformats.org/officeDocument/2006/relationships/hyperlink" Target="https://docs.google.com/spreadsheets/d/1ubx7fKhjjSfetwP91PIKDhoAqwwP81Vzq6Fhhqv2V_w/edit" TargetMode="External"/><Relationship Id="rId23" Type="http://schemas.openxmlformats.org/officeDocument/2006/relationships/hyperlink" Target="https://docs.google.com/spreadsheets/d/1S50TYdaK5Gqd81_oU1JEYML5d1AXJXGAwawpcCix9oU/edit" TargetMode="External"/><Relationship Id="rId28" Type="http://schemas.openxmlformats.org/officeDocument/2006/relationships/hyperlink" Target="https://docs.google.com/spreadsheets/d/138To6mnZxhJ6rcZvSfFEafxd0q01T3lNVpe1HkOrGug/edit" TargetMode="External"/><Relationship Id="rId36" Type="http://schemas.openxmlformats.org/officeDocument/2006/relationships/hyperlink" Target="https://docs.google.com/spreadsheets/d/1xonwzLs2PHcAzhBMkhRe3AxqpdxEzUndgRli1Yix2HU/edit" TargetMode="External"/><Relationship Id="rId49" Type="http://schemas.openxmlformats.org/officeDocument/2006/relationships/hyperlink" Target="https://docs.google.com/spreadsheets/d/1ivAIyfts5-buVDhvnzSKIb7kUl4RV1PZ46I6yMaYYvI/edit" TargetMode="External"/><Relationship Id="rId57" Type="http://schemas.openxmlformats.org/officeDocument/2006/relationships/hyperlink" Target="https://docs.google.com/spreadsheets/d/1TjvYM9_G4avwg3h53viSoexyhIM5WMgrj4ibSDF16cE/edit" TargetMode="External"/><Relationship Id="rId106" Type="http://schemas.openxmlformats.org/officeDocument/2006/relationships/hyperlink" Target="https://docs.google.com/spreadsheets/d/1Is0sObW9v5xvL_xxOy81aF2pHcgHkhzZTR-P0FJIjmc/edit" TargetMode="External"/><Relationship Id="rId114" Type="http://schemas.openxmlformats.org/officeDocument/2006/relationships/comments" Target="../comments1.xml"/><Relationship Id="rId10" Type="http://schemas.openxmlformats.org/officeDocument/2006/relationships/hyperlink" Target="https://docs.google.com/spreadsheets/d/1vac2r6mqga8cy9EcVLbYCSiZ82tNo82KidHSFgIPASo/edit" TargetMode="External"/><Relationship Id="rId31" Type="http://schemas.openxmlformats.org/officeDocument/2006/relationships/hyperlink" Target="https://docs.google.com/spreadsheets/d/1U-h02Iquzj9PPZQEisv7V0oKF5FCj9UzrRVxViv5ncE/edit" TargetMode="External"/><Relationship Id="rId44" Type="http://schemas.openxmlformats.org/officeDocument/2006/relationships/hyperlink" Target="https://docs.google.com/spreadsheets/d/1ROc0LIDzT5M9b6UGXRJkVS2aQUQd-m5wjUmi0zhc31c/edit" TargetMode="External"/><Relationship Id="rId52" Type="http://schemas.openxmlformats.org/officeDocument/2006/relationships/hyperlink" Target="https://docs.google.com/spreadsheets/d/157FsPYD3H_fFiRZ4x_cxZic4TWrdgqL5hjmG1PrO8mM/edit" TargetMode="External"/><Relationship Id="rId60" Type="http://schemas.openxmlformats.org/officeDocument/2006/relationships/hyperlink" Target="https://docs.google.com/spreadsheets/d/1PKMDy2ZPQXNmiP1Y1ubcx-PSm7eBJWNKQP-y599mRZA/edit" TargetMode="External"/><Relationship Id="rId65" Type="http://schemas.openxmlformats.org/officeDocument/2006/relationships/hyperlink" Target="https://docs.google.com/spreadsheets/d/1N7Crv-LbnnDjfL0HZDhmlWf5yrF_md3msS7HdFmO6t4/edit" TargetMode="External"/><Relationship Id="rId73" Type="http://schemas.openxmlformats.org/officeDocument/2006/relationships/hyperlink" Target="https://docs.google.com/spreadsheets/d/1IvOZIWioUhq6GMgrtf6dHRCDjEbnPrswPUHY6c3DtSc/edit" TargetMode="External"/><Relationship Id="rId78" Type="http://schemas.openxmlformats.org/officeDocument/2006/relationships/hyperlink" Target="https://docs.google.com/spreadsheets/d/15LA2BGaeWJDc173KpNt5u1NL6aOrx8CayOTZyEKX8-Q/edit" TargetMode="External"/><Relationship Id="rId81" Type="http://schemas.openxmlformats.org/officeDocument/2006/relationships/hyperlink" Target="https://docs.google.com/spreadsheets/d/1uGCRjGOZu4LNYwmE_TfLrcM6J1BZVUQH4Q5oNL9OAS0/edit" TargetMode="External"/><Relationship Id="rId86" Type="http://schemas.openxmlformats.org/officeDocument/2006/relationships/hyperlink" Target="https://docs.google.com/spreadsheets/d/1U1COvqY8Ma9_aTG4SC5wi8jlG919e_7DlTBvFVtNss8/edit" TargetMode="External"/><Relationship Id="rId94" Type="http://schemas.openxmlformats.org/officeDocument/2006/relationships/hyperlink" Target="https://docs.google.com/spreadsheets/d/14R9P6zAFKJRwIFcAb8IT-41kysvC6HBaXFgAlvOsM2g/edit" TargetMode="External"/><Relationship Id="rId99" Type="http://schemas.openxmlformats.org/officeDocument/2006/relationships/hyperlink" Target="https://docs.google.com/spreadsheets/d/1CmJEs88aONvzRs7e-GhXpiGn_lkirvNTfncKoiludSY/edit" TargetMode="External"/><Relationship Id="rId101" Type="http://schemas.openxmlformats.org/officeDocument/2006/relationships/hyperlink" Target="https://docs.google.com/spreadsheets/d/1xjmy0vOp3FRuHV_MGYD8ubUR3uI41TKFqDWzgqeHI2w/edit" TargetMode="External"/><Relationship Id="rId4" Type="http://schemas.openxmlformats.org/officeDocument/2006/relationships/hyperlink" Target="https://docs.google.com/spreadsheets/d/1hiMmOBWW7mVmAXYVLhpNFbcHWqCPKLsVNZr1EZWrCic/edit" TargetMode="External"/><Relationship Id="rId9" Type="http://schemas.openxmlformats.org/officeDocument/2006/relationships/hyperlink" Target="https://docs.google.com/spreadsheets/d/1wIOl7Z1EMdeHuG7pQ2mFzN0f515zOaS4weqGixOLH40/edit" TargetMode="External"/><Relationship Id="rId13" Type="http://schemas.openxmlformats.org/officeDocument/2006/relationships/hyperlink" Target="https://docs.google.com/spreadsheets/d/1xwu8wb23DH1rSnSn252ub8BEIFF1YdG2t1LtCUUQbw0/edit" TargetMode="External"/><Relationship Id="rId18" Type="http://schemas.openxmlformats.org/officeDocument/2006/relationships/hyperlink" Target="https://docs.google.com/spreadsheets/d/18GIkAmuB8-NHkpsUrXtNmXJxIICIEl9LdP_PzRih2WQ/edit" TargetMode="External"/><Relationship Id="rId39" Type="http://schemas.openxmlformats.org/officeDocument/2006/relationships/hyperlink" Target="https://docs.google.com/spreadsheets/d/1oK5wF-1o3Xxz6qpB6scj0Rbjy_i8745oYaIHCUQm2Mc/edit" TargetMode="External"/><Relationship Id="rId109" Type="http://schemas.openxmlformats.org/officeDocument/2006/relationships/hyperlink" Target="https://docs.google.com/spreadsheets/d/1VTuNhZ039ezbojMeBvNEd6_ICJeTC_9mtUjFcNwgmrI/edit" TargetMode="External"/><Relationship Id="rId34" Type="http://schemas.openxmlformats.org/officeDocument/2006/relationships/hyperlink" Target="https://docs.google.com/spreadsheets/d/1MEfwOHbJdZgh_Op7BqmyaqXzJ-Tora5xvnQ0pQQhwtU/edit" TargetMode="External"/><Relationship Id="rId50" Type="http://schemas.openxmlformats.org/officeDocument/2006/relationships/hyperlink" Target="https://docs.google.com/spreadsheets/d/1zPlMm3lUs4llRxjI9HCnSYZp-7eyVGU1QzSo2uISwoU/edit" TargetMode="External"/><Relationship Id="rId55" Type="http://schemas.openxmlformats.org/officeDocument/2006/relationships/hyperlink" Target="https://docs.google.com/spreadsheets/d/1m0Y_LOzmWeYCvro3-HMV8joDMPELKBOQIy1cR9xgGRo/edit" TargetMode="External"/><Relationship Id="rId76" Type="http://schemas.openxmlformats.org/officeDocument/2006/relationships/hyperlink" Target="https://docs.google.com/spreadsheets/d/1EqDpxbLLWw2xaVI_Siqfa6bKO3LlK5Pb1QV870TdDRQ/edit" TargetMode="External"/><Relationship Id="rId97" Type="http://schemas.openxmlformats.org/officeDocument/2006/relationships/hyperlink" Target="https://docs.google.com/spreadsheets/d/1ZMUAgDcQozUvIhMl3cr2dY5x-Gm9PK1YLDfGvB38ex0/edit" TargetMode="External"/><Relationship Id="rId104" Type="http://schemas.openxmlformats.org/officeDocument/2006/relationships/hyperlink" Target="https://docs.google.com/spreadsheets/d/1Ql06kOZDVOPy5Tz-qQQX7jutl7TwtHodNG1ikvgrdQI/edit" TargetMode="External"/><Relationship Id="rId7" Type="http://schemas.openxmlformats.org/officeDocument/2006/relationships/hyperlink" Target="https://docs.google.com/spreadsheets/d/1BzAcjYR0MyH6RMA7mOyhN2rOxDBEwYy7_V4VefG7OWw/edit" TargetMode="External"/><Relationship Id="rId71" Type="http://schemas.openxmlformats.org/officeDocument/2006/relationships/hyperlink" Target="https://docs.google.com/spreadsheets/d/1UEstrqpuxd_Miw5Xw14cAN62qiug9xIPSjqCvDE0cak/edit" TargetMode="External"/><Relationship Id="rId92" Type="http://schemas.openxmlformats.org/officeDocument/2006/relationships/hyperlink" Target="https://docs.google.com/spreadsheets/d/1I-9I3ea-8W9kbDZxCdKqRzCpsg-EBF75tzdDkisT_r0/edit" TargetMode="External"/><Relationship Id="rId2" Type="http://schemas.openxmlformats.org/officeDocument/2006/relationships/hyperlink" Target="https://docs.google.com/spreadsheets/d/1vxEWjXJWW-Zst5wQnpO-gSGUbzGiNOYV_jVX9-0pmkI/edit" TargetMode="External"/><Relationship Id="rId29" Type="http://schemas.openxmlformats.org/officeDocument/2006/relationships/hyperlink" Target="https://docs.google.com/spreadsheets/d/1Ul_JzrrjbYr3jbb_ackCtU7sKHpexW7IX_IAPaZv3JQ/edit" TargetMode="External"/><Relationship Id="rId24" Type="http://schemas.openxmlformats.org/officeDocument/2006/relationships/hyperlink" Target="https://docs.google.com/spreadsheets/d/1FFE-oa12thAhK8aoad0qJ1wzqVXnqV2HVsJp3TuTgng/edit" TargetMode="External"/><Relationship Id="rId40" Type="http://schemas.openxmlformats.org/officeDocument/2006/relationships/hyperlink" Target="https://docs.google.com/spreadsheets/d/1qjHKswxnsXrucM08LQ_J0PWbpbR8gYfS17VZOAQ6oAI/edit" TargetMode="External"/><Relationship Id="rId45" Type="http://schemas.openxmlformats.org/officeDocument/2006/relationships/hyperlink" Target="https://docs.google.com/spreadsheets/d/1l81bAQVfpmpRon_5UqBvshp9o7UfN-217Y1eRHk5yk8/edit" TargetMode="External"/><Relationship Id="rId66" Type="http://schemas.openxmlformats.org/officeDocument/2006/relationships/hyperlink" Target="https://docs.google.com/spreadsheets/d/1rdmOih8FP6iPlysgLEcKg_VS9g3KZcbj688-omlfWMA/edit" TargetMode="External"/><Relationship Id="rId87" Type="http://schemas.openxmlformats.org/officeDocument/2006/relationships/hyperlink" Target="https://docs.google.com/spreadsheets/d/1Tm7LfDgJJAtkhK02pXAte0xU-IdhX6fDxFYdtvAsP_g/edit" TargetMode="External"/><Relationship Id="rId110" Type="http://schemas.openxmlformats.org/officeDocument/2006/relationships/hyperlink" Target="https://docs.google.com/spreadsheets/d/16iO7f-QEtKbZmhtEto1-o72XGoK7cgaEZHiIOF26zlE/edit" TargetMode="External"/><Relationship Id="rId61" Type="http://schemas.openxmlformats.org/officeDocument/2006/relationships/hyperlink" Target="https://docs.google.com/spreadsheets/d/1LY8y8XibkISQuZhRXaoa8w5fa42IluMwuJOyzsOjsT8/edit" TargetMode="External"/><Relationship Id="rId82" Type="http://schemas.openxmlformats.org/officeDocument/2006/relationships/hyperlink" Target="https://docs.google.com/spreadsheets/d/1D5_xWCZMi__koJQEKp8TXFhj1-fbFY6N4I11SBV1EkQ/edit" TargetMode="External"/><Relationship Id="rId19" Type="http://schemas.openxmlformats.org/officeDocument/2006/relationships/hyperlink" Target="https://docs.google.com/spreadsheets/d/1tV0hSrjJvT9Zq9gBXSyh92grDi-BjDv2QD318m3yQy4/edit" TargetMode="External"/><Relationship Id="rId14" Type="http://schemas.openxmlformats.org/officeDocument/2006/relationships/hyperlink" Target="https://docs.google.com/spreadsheets/d/1BdiS0aJBlE-OdQFtVpNwgScMG8KGT9t-HNooRt1wcoI/edit" TargetMode="External"/><Relationship Id="rId30" Type="http://schemas.openxmlformats.org/officeDocument/2006/relationships/hyperlink" Target="https://docs.google.com/spreadsheets/d/10d-aft7YYJm7_exCT606Q6pi1INtYkoH6o_ImlXh-x8/edit" TargetMode="External"/><Relationship Id="rId35" Type="http://schemas.openxmlformats.org/officeDocument/2006/relationships/hyperlink" Target="https://docs.google.com/spreadsheets/d/1CYBh5mxJb-hJGSHUh9eH7kOriLvPugpjpP7wwQg_CgQ/edit" TargetMode="External"/><Relationship Id="rId56" Type="http://schemas.openxmlformats.org/officeDocument/2006/relationships/hyperlink" Target="https://docs.google.com/spreadsheets/d/1sr7EntLSxadPCQjJtLzbt2VWNASacy-LdQauS4v_oQM/edit" TargetMode="External"/><Relationship Id="rId77" Type="http://schemas.openxmlformats.org/officeDocument/2006/relationships/hyperlink" Target="https://docs.google.com/spreadsheets/d/1JtXOJosK4Dkqe4ykOQs0XyMBbmqtZA_CQxfGuJfsOuc/edit" TargetMode="External"/><Relationship Id="rId100" Type="http://schemas.openxmlformats.org/officeDocument/2006/relationships/hyperlink" Target="https://docs.google.com/spreadsheets/d/1IqCA-TGEynCaqrxzAV0qouN6GYzeKBLQe0IUaNx8KiA/edit" TargetMode="External"/><Relationship Id="rId105" Type="http://schemas.openxmlformats.org/officeDocument/2006/relationships/hyperlink" Target="https://docs.google.com/spreadsheets/d/1eIy4atiHPcF--3y5y7xLQxVKT6oWt1N6xgJjZF8Ekr0/edit" TargetMode="External"/><Relationship Id="rId8" Type="http://schemas.openxmlformats.org/officeDocument/2006/relationships/hyperlink" Target="https://docs.google.com/spreadsheets/d/13Zp2sgUMiByAHJqrDCeftjYOpuhpcl2sHImbJrDR-Ks/edit" TargetMode="External"/><Relationship Id="rId51" Type="http://schemas.openxmlformats.org/officeDocument/2006/relationships/hyperlink" Target="https://docs.google.com/spreadsheets/d/18huZxZIXR-otjrlmWnGv18UAuwxyFAa319U26DGUvVA/edit" TargetMode="External"/><Relationship Id="rId72" Type="http://schemas.openxmlformats.org/officeDocument/2006/relationships/hyperlink" Target="https://docs.google.com/spreadsheets/d/1WDQnceMmgrtbQYc4yXBqnuoC4wx5L9GjszUdkZCxyn4/edit" TargetMode="External"/><Relationship Id="rId93" Type="http://schemas.openxmlformats.org/officeDocument/2006/relationships/hyperlink" Target="https://docs.google.com/spreadsheets/d/1LXyzQqY_or4fL5q9N1UfGWEyHjgH_DK6AbOwMkjUD5I/edit" TargetMode="External"/><Relationship Id="rId98" Type="http://schemas.openxmlformats.org/officeDocument/2006/relationships/hyperlink" Target="https://docs.google.com/spreadsheets/d/11d_ppm-yqLlrnIkl0nSMUReASOjaHeRZYpSdJSwzvq0/edit" TargetMode="External"/><Relationship Id="rId3" Type="http://schemas.openxmlformats.org/officeDocument/2006/relationships/hyperlink" Target="https://docs.google.com/spreadsheets/d/1q4FYjg9ceV0oVeHjQ-rtCiXI_7Z9lDQueFWpqwZwjTU/edit" TargetMode="External"/><Relationship Id="rId25" Type="http://schemas.openxmlformats.org/officeDocument/2006/relationships/hyperlink" Target="https://docs.google.com/spreadsheets/d/1mE--I3wUJBxfQHVgbWtxXHDBLRMvusbLuZmAIIL8JMY/edit" TargetMode="External"/><Relationship Id="rId46" Type="http://schemas.openxmlformats.org/officeDocument/2006/relationships/hyperlink" Target="https://docs.google.com/spreadsheets/d/1foEqGT4sR6u0bLtQ7PrliYKgL1AcCSCcBvrQUYTQzMM/edit" TargetMode="External"/><Relationship Id="rId67" Type="http://schemas.openxmlformats.org/officeDocument/2006/relationships/hyperlink" Target="https://docs.google.com/spreadsheets/d/1D6TGZaJdoOhuqLGIa0PqNlXllWHtnx4BK3RtfaupvN8/edit" TargetMode="External"/><Relationship Id="rId20" Type="http://schemas.openxmlformats.org/officeDocument/2006/relationships/hyperlink" Target="https://docs.google.com/spreadsheets/d/1zcpv5A-A2hK4_7YR-FAjvlzkV3mVOlN5a7HFQvjVhRE/edit" TargetMode="External"/><Relationship Id="rId41" Type="http://schemas.openxmlformats.org/officeDocument/2006/relationships/hyperlink" Target="https://docs.google.com/spreadsheets/d/16JotleDJl3onjJTXA-LRgYdG4w15tqR01tSPlXq_vWg/edit" TargetMode="External"/><Relationship Id="rId62" Type="http://schemas.openxmlformats.org/officeDocument/2006/relationships/hyperlink" Target="https://docs.google.com/spreadsheets/d/1sp0MF0hwI3vuo0SAQ8pEENBBmz_5IjXQAwGLSpQt5wk/edit" TargetMode="External"/><Relationship Id="rId83" Type="http://schemas.openxmlformats.org/officeDocument/2006/relationships/hyperlink" Target="https://docs.google.com/spreadsheets/d/1A1vtExcRr0LbXbL_c39lnzqh9fDF1aFeqc5J5tOdU-U/edit" TargetMode="External"/><Relationship Id="rId88" Type="http://schemas.openxmlformats.org/officeDocument/2006/relationships/hyperlink" Target="https://docs.google.com/spreadsheets/d/1wVnhoyth77kfwPGvBcKluaFYnGebFmvn8i-lscgLsso/edit" TargetMode="External"/><Relationship Id="rId111" Type="http://schemas.openxmlformats.org/officeDocument/2006/relationships/hyperlink" Target="https://docs.google.com/spreadsheets/d/1ifZsoqVzdWimsE1kVWeUSG0b7zK-dT8J50z0zujp0-U/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24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75" customHeight="1" x14ac:dyDescent="0.2"/>
  <cols>
    <col min="1" max="2" width="18.85546875" customWidth="1"/>
    <col min="3" max="3" width="11.85546875" customWidth="1"/>
    <col min="4" max="4" width="18.85546875" customWidth="1"/>
    <col min="5" max="6" width="18.85546875" hidden="1" customWidth="1"/>
    <col min="7" max="7" width="25.140625" hidden="1" customWidth="1"/>
    <col min="8" max="8" width="39.42578125" hidden="1" customWidth="1"/>
    <col min="9" max="9" width="42.42578125" customWidth="1"/>
    <col min="10" max="10" width="41.85546875" customWidth="1"/>
    <col min="11" max="11" width="26.5703125" hidden="1" customWidth="1"/>
    <col min="12" max="12" width="26.7109375" hidden="1" customWidth="1"/>
    <col min="13" max="13" width="38.28515625" customWidth="1"/>
    <col min="14" max="14" width="27.5703125" customWidth="1"/>
    <col min="15" max="15" width="23.85546875" customWidth="1"/>
    <col min="16" max="16" width="37.5703125" customWidth="1"/>
    <col min="17" max="17" width="25.28515625" customWidth="1"/>
    <col min="18" max="18" width="29.5703125" customWidth="1"/>
    <col min="19" max="19" width="27.140625" customWidth="1"/>
    <col min="20" max="20" width="35.28515625" customWidth="1"/>
    <col min="21" max="21" width="36.85546875" customWidth="1"/>
    <col min="22" max="22" width="24.28515625" customWidth="1"/>
    <col min="23" max="23" width="22" customWidth="1"/>
    <col min="24" max="24" width="37" customWidth="1"/>
    <col min="25" max="26" width="18.85546875" customWidth="1"/>
    <col min="27" max="27" width="19.42578125" customWidth="1"/>
    <col min="28" max="36" width="18.85546875" customWidth="1"/>
  </cols>
  <sheetData>
    <row r="1" spans="1:36" ht="22.5" customHeight="1" x14ac:dyDescent="0.2">
      <c r="A1" s="1" t="s">
        <v>0</v>
      </c>
      <c r="B1" s="1" t="s">
        <v>1</v>
      </c>
      <c r="C1" s="2" t="s">
        <v>2</v>
      </c>
      <c r="D1" s="2" t="s">
        <v>3</v>
      </c>
      <c r="E1" s="3" t="s">
        <v>4</v>
      </c>
      <c r="F1" s="2" t="s">
        <v>5</v>
      </c>
      <c r="G1" s="1" t="s">
        <v>6</v>
      </c>
      <c r="H1" s="2" t="s">
        <v>7</v>
      </c>
      <c r="I1" s="2" t="s">
        <v>8</v>
      </c>
      <c r="J1" s="2" t="s">
        <v>9</v>
      </c>
      <c r="K1" s="2" t="s">
        <v>10</v>
      </c>
      <c r="L1" s="2" t="s">
        <v>11</v>
      </c>
      <c r="M1" s="2" t="s">
        <v>12</v>
      </c>
      <c r="N1" s="1" t="s">
        <v>13</v>
      </c>
      <c r="O1" s="1"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row>
    <row r="2" spans="1:36" ht="22.5" customHeight="1" x14ac:dyDescent="0.2">
      <c r="A2" s="4">
        <v>45945.264302337964</v>
      </c>
      <c r="B2" s="5" t="s">
        <v>30</v>
      </c>
      <c r="C2" s="5" t="s">
        <v>31</v>
      </c>
      <c r="D2" s="5" t="s">
        <v>32</v>
      </c>
      <c r="E2" s="6" t="s">
        <v>33</v>
      </c>
      <c r="F2" s="5" t="s">
        <v>34</v>
      </c>
      <c r="G2" s="5" t="s">
        <v>35</v>
      </c>
      <c r="H2" s="5" t="s">
        <v>36</v>
      </c>
      <c r="I2" s="5" t="s">
        <v>37</v>
      </c>
      <c r="J2" s="5" t="s">
        <v>38</v>
      </c>
      <c r="K2" s="5" t="s">
        <v>39</v>
      </c>
      <c r="L2" s="5" t="s">
        <v>40</v>
      </c>
      <c r="M2" s="5" t="s">
        <v>41</v>
      </c>
      <c r="N2" s="5" t="s">
        <v>42</v>
      </c>
      <c r="O2" s="5" t="s">
        <v>43</v>
      </c>
      <c r="P2" s="5"/>
      <c r="Q2" s="5" t="s">
        <v>44</v>
      </c>
      <c r="R2" s="5" t="s">
        <v>45</v>
      </c>
      <c r="S2" s="5" t="s">
        <v>46</v>
      </c>
      <c r="T2" s="5" t="s">
        <v>47</v>
      </c>
      <c r="U2" s="5"/>
      <c r="V2" s="5" t="s">
        <v>47</v>
      </c>
      <c r="W2" s="5" t="s">
        <v>48</v>
      </c>
      <c r="X2" s="5" t="s">
        <v>49</v>
      </c>
      <c r="Y2" s="5" t="s">
        <v>31</v>
      </c>
      <c r="Z2" s="7">
        <v>45945</v>
      </c>
      <c r="AA2" s="5" t="s">
        <v>50</v>
      </c>
      <c r="AB2" s="5" t="s">
        <v>31</v>
      </c>
      <c r="AC2" s="7">
        <v>45945</v>
      </c>
      <c r="AD2" s="5" t="s">
        <v>50</v>
      </c>
    </row>
    <row r="3" spans="1:36" ht="22.5" customHeight="1" x14ac:dyDescent="0.2">
      <c r="A3" s="8">
        <v>45958.631418773148</v>
      </c>
      <c r="B3" s="9" t="s">
        <v>51</v>
      </c>
      <c r="C3" s="9" t="s">
        <v>52</v>
      </c>
      <c r="D3" s="9" t="s">
        <v>53</v>
      </c>
      <c r="E3" s="10" t="s">
        <v>54</v>
      </c>
      <c r="F3" s="9" t="s">
        <v>55</v>
      </c>
      <c r="G3" s="9" t="s">
        <v>35</v>
      </c>
      <c r="H3" s="9" t="s">
        <v>56</v>
      </c>
      <c r="I3" s="9" t="s">
        <v>57</v>
      </c>
      <c r="J3" s="9" t="s">
        <v>58</v>
      </c>
      <c r="K3" s="9" t="s">
        <v>59</v>
      </c>
      <c r="L3" s="9" t="s">
        <v>60</v>
      </c>
      <c r="M3" s="9" t="s">
        <v>61</v>
      </c>
      <c r="N3" s="9" t="s">
        <v>62</v>
      </c>
      <c r="O3" s="9" t="s">
        <v>43</v>
      </c>
      <c r="Q3" s="9" t="s">
        <v>44</v>
      </c>
      <c r="R3" s="9" t="s">
        <v>45</v>
      </c>
      <c r="S3" s="9" t="s">
        <v>46</v>
      </c>
      <c r="T3" s="9" t="s">
        <v>47</v>
      </c>
      <c r="V3" s="9" t="s">
        <v>63</v>
      </c>
      <c r="W3" s="9" t="s">
        <v>64</v>
      </c>
      <c r="X3" s="9" t="s">
        <v>65</v>
      </c>
      <c r="Y3" s="9" t="s">
        <v>52</v>
      </c>
      <c r="Z3" s="11">
        <v>45958</v>
      </c>
      <c r="AA3" s="9" t="s">
        <v>50</v>
      </c>
      <c r="AB3" s="9" t="s">
        <v>52</v>
      </c>
      <c r="AC3" s="11">
        <v>45958</v>
      </c>
      <c r="AD3" s="9" t="s">
        <v>50</v>
      </c>
      <c r="AE3" s="12"/>
      <c r="AF3" s="12"/>
      <c r="AG3" s="12"/>
      <c r="AH3" s="12"/>
      <c r="AI3" s="12"/>
      <c r="AJ3" s="12"/>
    </row>
    <row r="4" spans="1:36" ht="22.5" customHeight="1" x14ac:dyDescent="0.2">
      <c r="A4" s="8">
        <v>45967.772226851856</v>
      </c>
      <c r="B4" s="9" t="s">
        <v>66</v>
      </c>
      <c r="C4" s="9" t="s">
        <v>67</v>
      </c>
      <c r="D4" s="9" t="s">
        <v>53</v>
      </c>
      <c r="E4" s="10" t="s">
        <v>33</v>
      </c>
      <c r="F4" s="9" t="s">
        <v>68</v>
      </c>
      <c r="G4" s="9" t="s">
        <v>35</v>
      </c>
      <c r="H4" s="9" t="s">
        <v>69</v>
      </c>
      <c r="I4" s="9" t="s">
        <v>70</v>
      </c>
      <c r="J4" s="9" t="s">
        <v>71</v>
      </c>
      <c r="K4" s="9" t="s">
        <v>72</v>
      </c>
      <c r="L4" s="9" t="s">
        <v>73</v>
      </c>
      <c r="M4" s="9" t="s">
        <v>74</v>
      </c>
      <c r="N4" s="9" t="s">
        <v>42</v>
      </c>
      <c r="O4" s="9" t="s">
        <v>43</v>
      </c>
      <c r="Q4" s="9" t="s">
        <v>75</v>
      </c>
      <c r="R4" s="9" t="s">
        <v>76</v>
      </c>
      <c r="S4" s="9" t="s">
        <v>77</v>
      </c>
      <c r="T4" s="9" t="s">
        <v>47</v>
      </c>
      <c r="V4" s="9" t="s">
        <v>47</v>
      </c>
      <c r="W4" s="9" t="s">
        <v>48</v>
      </c>
      <c r="X4" s="9" t="s">
        <v>78</v>
      </c>
      <c r="Y4" s="9" t="s">
        <v>67</v>
      </c>
      <c r="Z4" s="11">
        <v>36874</v>
      </c>
      <c r="AA4" s="9" t="s">
        <v>50</v>
      </c>
      <c r="AB4" s="9" t="s">
        <v>67</v>
      </c>
      <c r="AC4" s="11">
        <v>36874</v>
      </c>
      <c r="AD4" s="9" t="s">
        <v>50</v>
      </c>
    </row>
    <row r="5" spans="1:36" ht="22.5" customHeight="1" x14ac:dyDescent="0.2">
      <c r="A5" s="13">
        <v>45932.695789305551</v>
      </c>
      <c r="B5" s="14" t="s">
        <v>79</v>
      </c>
      <c r="C5" s="14" t="s">
        <v>80</v>
      </c>
      <c r="D5" s="14" t="s">
        <v>53</v>
      </c>
      <c r="E5" s="15" t="s">
        <v>81</v>
      </c>
      <c r="F5" s="14" t="s">
        <v>68</v>
      </c>
      <c r="G5" s="14" t="s">
        <v>35</v>
      </c>
      <c r="H5" s="14" t="s">
        <v>82</v>
      </c>
      <c r="I5" s="14" t="s">
        <v>83</v>
      </c>
      <c r="J5" s="14" t="s">
        <v>84</v>
      </c>
      <c r="K5" s="14" t="s">
        <v>85</v>
      </c>
      <c r="L5" s="14" t="s">
        <v>86</v>
      </c>
      <c r="M5" s="14" t="s">
        <v>87</v>
      </c>
      <c r="N5" s="14" t="s">
        <v>62</v>
      </c>
      <c r="O5" s="14" t="s">
        <v>63</v>
      </c>
      <c r="P5" s="14" t="s">
        <v>88</v>
      </c>
      <c r="Q5" s="14" t="s">
        <v>44</v>
      </c>
      <c r="R5" s="14" t="s">
        <v>45</v>
      </c>
      <c r="S5" s="14" t="s">
        <v>89</v>
      </c>
      <c r="T5" s="14" t="s">
        <v>63</v>
      </c>
      <c r="U5" s="14" t="s">
        <v>90</v>
      </c>
      <c r="V5" s="14" t="s">
        <v>47</v>
      </c>
      <c r="W5" s="14" t="s">
        <v>48</v>
      </c>
      <c r="X5" s="14" t="s">
        <v>91</v>
      </c>
      <c r="Y5" s="14" t="s">
        <v>80</v>
      </c>
      <c r="Z5" s="16">
        <v>45932</v>
      </c>
      <c r="AA5" s="14" t="s">
        <v>50</v>
      </c>
      <c r="AB5" s="14" t="s">
        <v>92</v>
      </c>
      <c r="AC5" s="16">
        <v>45932</v>
      </c>
      <c r="AD5" s="14" t="s">
        <v>50</v>
      </c>
    </row>
    <row r="6" spans="1:36" ht="22.5" customHeight="1" x14ac:dyDescent="0.2">
      <c r="A6" s="13">
        <v>45940.619220578708</v>
      </c>
      <c r="B6" s="14" t="s">
        <v>79</v>
      </c>
      <c r="C6" s="14" t="s">
        <v>80</v>
      </c>
      <c r="D6" s="14" t="s">
        <v>53</v>
      </c>
      <c r="E6" s="15" t="s">
        <v>93</v>
      </c>
      <c r="F6" s="14" t="s">
        <v>68</v>
      </c>
      <c r="G6" s="14" t="s">
        <v>35</v>
      </c>
      <c r="H6" s="14" t="s">
        <v>82</v>
      </c>
      <c r="I6" s="14" t="s">
        <v>94</v>
      </c>
      <c r="J6" s="14" t="s">
        <v>95</v>
      </c>
      <c r="K6" s="14" t="s">
        <v>96</v>
      </c>
      <c r="L6" s="14" t="s">
        <v>97</v>
      </c>
      <c r="M6" s="14" t="s">
        <v>98</v>
      </c>
      <c r="N6" s="14" t="s">
        <v>42</v>
      </c>
      <c r="O6" s="14" t="s">
        <v>63</v>
      </c>
      <c r="P6" s="14" t="s">
        <v>99</v>
      </c>
      <c r="Q6" s="14" t="s">
        <v>44</v>
      </c>
      <c r="R6" s="14" t="s">
        <v>45</v>
      </c>
      <c r="S6" s="14" t="s">
        <v>46</v>
      </c>
      <c r="T6" s="14" t="s">
        <v>63</v>
      </c>
      <c r="U6" s="14" t="s">
        <v>100</v>
      </c>
      <c r="V6" s="14" t="s">
        <v>47</v>
      </c>
      <c r="W6" s="14" t="s">
        <v>48</v>
      </c>
      <c r="X6" s="14" t="s">
        <v>101</v>
      </c>
      <c r="Y6" s="14" t="s">
        <v>92</v>
      </c>
      <c r="Z6" s="16">
        <v>45940</v>
      </c>
      <c r="AA6" s="14" t="s">
        <v>50</v>
      </c>
      <c r="AB6" s="14" t="s">
        <v>92</v>
      </c>
      <c r="AC6" s="16">
        <v>45940</v>
      </c>
      <c r="AD6" s="14" t="s">
        <v>50</v>
      </c>
    </row>
    <row r="7" spans="1:36" ht="22.5" customHeight="1" x14ac:dyDescent="0.2">
      <c r="A7" s="8">
        <v>45973.772849837958</v>
      </c>
      <c r="B7" s="9" t="s">
        <v>102</v>
      </c>
      <c r="C7" s="9" t="s">
        <v>103</v>
      </c>
      <c r="D7" s="9" t="s">
        <v>53</v>
      </c>
      <c r="E7" s="10" t="s">
        <v>104</v>
      </c>
      <c r="F7" s="9" t="s">
        <v>55</v>
      </c>
      <c r="G7" s="9" t="s">
        <v>105</v>
      </c>
      <c r="H7" s="9" t="s">
        <v>106</v>
      </c>
      <c r="I7" s="9" t="s">
        <v>107</v>
      </c>
      <c r="J7" s="9" t="s">
        <v>108</v>
      </c>
      <c r="K7" s="9" t="s">
        <v>109</v>
      </c>
      <c r="L7" s="9" t="s">
        <v>110</v>
      </c>
      <c r="M7" s="9" t="s">
        <v>111</v>
      </c>
      <c r="N7" s="9" t="s">
        <v>62</v>
      </c>
      <c r="O7" s="9" t="s">
        <v>43</v>
      </c>
      <c r="Q7" s="9" t="s">
        <v>112</v>
      </c>
      <c r="R7" s="9" t="s">
        <v>45</v>
      </c>
      <c r="S7" s="9" t="s">
        <v>46</v>
      </c>
      <c r="T7" s="9" t="s">
        <v>47</v>
      </c>
      <c r="V7" s="9" t="s">
        <v>63</v>
      </c>
      <c r="W7" s="9" t="s">
        <v>48</v>
      </c>
      <c r="X7" s="9" t="s">
        <v>113</v>
      </c>
      <c r="Y7" s="9" t="s">
        <v>103</v>
      </c>
      <c r="Z7" s="11">
        <v>45973</v>
      </c>
      <c r="AA7" s="9" t="s">
        <v>50</v>
      </c>
      <c r="AB7" s="9" t="s">
        <v>103</v>
      </c>
      <c r="AC7" s="11">
        <v>45973</v>
      </c>
      <c r="AD7" s="9" t="s">
        <v>50</v>
      </c>
    </row>
    <row r="8" spans="1:36" ht="22.5" customHeight="1" x14ac:dyDescent="0.2">
      <c r="A8" s="8">
        <v>45943.66492137732</v>
      </c>
      <c r="B8" s="9" t="s">
        <v>114</v>
      </c>
      <c r="C8" s="9" t="s">
        <v>115</v>
      </c>
      <c r="D8" s="9" t="s">
        <v>53</v>
      </c>
      <c r="E8" s="10" t="s">
        <v>116</v>
      </c>
      <c r="F8" s="9" t="s">
        <v>55</v>
      </c>
      <c r="G8" s="9" t="s">
        <v>35</v>
      </c>
      <c r="H8" s="9" t="s">
        <v>117</v>
      </c>
      <c r="I8" s="9" t="s">
        <v>118</v>
      </c>
      <c r="J8" s="9" t="s">
        <v>119</v>
      </c>
      <c r="K8" s="9" t="s">
        <v>120</v>
      </c>
      <c r="L8" s="9" t="s">
        <v>121</v>
      </c>
      <c r="M8" s="9" t="s">
        <v>122</v>
      </c>
      <c r="N8" s="9" t="s">
        <v>42</v>
      </c>
      <c r="O8" s="9" t="s">
        <v>43</v>
      </c>
      <c r="Q8" s="9" t="s">
        <v>44</v>
      </c>
      <c r="R8" s="9" t="s">
        <v>45</v>
      </c>
      <c r="S8" s="9" t="s">
        <v>77</v>
      </c>
      <c r="T8" s="9" t="s">
        <v>47</v>
      </c>
      <c r="V8" s="9" t="s">
        <v>63</v>
      </c>
      <c r="W8" s="9" t="s">
        <v>48</v>
      </c>
      <c r="X8" s="9" t="s">
        <v>123</v>
      </c>
      <c r="Y8" s="9" t="s">
        <v>115</v>
      </c>
      <c r="Z8" s="11">
        <v>45943</v>
      </c>
      <c r="AA8" s="9" t="s">
        <v>50</v>
      </c>
      <c r="AB8" s="9" t="s">
        <v>115</v>
      </c>
      <c r="AC8" s="11">
        <v>45943</v>
      </c>
      <c r="AD8" s="9" t="s">
        <v>50</v>
      </c>
    </row>
    <row r="9" spans="1:36" ht="22.5" customHeight="1" x14ac:dyDescent="0.2">
      <c r="A9" s="8">
        <v>45959.725129421291</v>
      </c>
      <c r="B9" s="9" t="s">
        <v>124</v>
      </c>
      <c r="C9" s="9" t="s">
        <v>125</v>
      </c>
      <c r="D9" s="9" t="s">
        <v>53</v>
      </c>
      <c r="E9" s="10" t="s">
        <v>126</v>
      </c>
      <c r="F9" s="9" t="s">
        <v>127</v>
      </c>
      <c r="G9" s="9" t="s">
        <v>35</v>
      </c>
      <c r="H9" s="9" t="s">
        <v>128</v>
      </c>
      <c r="I9" s="9" t="s">
        <v>129</v>
      </c>
      <c r="J9" s="9" t="s">
        <v>130</v>
      </c>
      <c r="K9" s="9" t="s">
        <v>131</v>
      </c>
      <c r="L9" s="9" t="s">
        <v>132</v>
      </c>
      <c r="M9" s="9" t="s">
        <v>133</v>
      </c>
      <c r="N9" s="9" t="s">
        <v>42</v>
      </c>
      <c r="O9" s="9" t="s">
        <v>63</v>
      </c>
      <c r="P9" s="9" t="s">
        <v>134</v>
      </c>
      <c r="Q9" s="9" t="s">
        <v>44</v>
      </c>
      <c r="R9" s="9" t="s">
        <v>45</v>
      </c>
      <c r="S9" s="9" t="s">
        <v>46</v>
      </c>
      <c r="T9" s="9" t="s">
        <v>47</v>
      </c>
      <c r="V9" s="9" t="s">
        <v>47</v>
      </c>
      <c r="W9" s="9" t="s">
        <v>135</v>
      </c>
      <c r="X9" s="9" t="s">
        <v>136</v>
      </c>
      <c r="Y9" s="9" t="s">
        <v>125</v>
      </c>
      <c r="Z9" s="11">
        <v>45959</v>
      </c>
      <c r="AA9" s="9" t="s">
        <v>50</v>
      </c>
      <c r="AB9" s="9" t="s">
        <v>125</v>
      </c>
      <c r="AC9" s="11">
        <v>45959</v>
      </c>
      <c r="AD9" s="9" t="s">
        <v>50</v>
      </c>
      <c r="AE9" s="12"/>
      <c r="AF9" s="12"/>
      <c r="AG9" s="12"/>
      <c r="AH9" s="12"/>
      <c r="AI9" s="12"/>
      <c r="AJ9" s="12"/>
    </row>
    <row r="10" spans="1:36" ht="22.5" customHeight="1" x14ac:dyDescent="0.2">
      <c r="A10" s="8">
        <v>45959.542957789352</v>
      </c>
      <c r="B10" s="9" t="s">
        <v>137</v>
      </c>
      <c r="C10" s="9" t="s">
        <v>138</v>
      </c>
      <c r="D10" s="9" t="s">
        <v>53</v>
      </c>
      <c r="E10" s="10" t="s">
        <v>139</v>
      </c>
      <c r="F10" s="9" t="s">
        <v>55</v>
      </c>
      <c r="G10" s="9" t="s">
        <v>35</v>
      </c>
      <c r="H10" s="9" t="s">
        <v>140</v>
      </c>
      <c r="I10" s="9" t="s">
        <v>141</v>
      </c>
      <c r="J10" s="9" t="s">
        <v>142</v>
      </c>
      <c r="K10" s="9" t="s">
        <v>143</v>
      </c>
      <c r="L10" s="9" t="s">
        <v>144</v>
      </c>
      <c r="M10" s="9" t="s">
        <v>145</v>
      </c>
      <c r="N10" s="9" t="s">
        <v>42</v>
      </c>
      <c r="O10" s="9" t="s">
        <v>43</v>
      </c>
      <c r="Q10" s="9" t="s">
        <v>44</v>
      </c>
      <c r="R10" s="9" t="s">
        <v>76</v>
      </c>
      <c r="S10" s="9" t="s">
        <v>89</v>
      </c>
      <c r="T10" s="9" t="s">
        <v>63</v>
      </c>
      <c r="U10" s="9" t="s">
        <v>146</v>
      </c>
      <c r="V10" s="9" t="s">
        <v>63</v>
      </c>
      <c r="W10" s="9" t="s">
        <v>147</v>
      </c>
      <c r="X10" s="9" t="s">
        <v>148</v>
      </c>
      <c r="Y10" s="9" t="s">
        <v>138</v>
      </c>
      <c r="Z10" s="11">
        <v>45959</v>
      </c>
      <c r="AA10" s="9" t="s">
        <v>50</v>
      </c>
      <c r="AB10" s="9" t="s">
        <v>138</v>
      </c>
      <c r="AC10" s="11">
        <v>45959</v>
      </c>
      <c r="AD10" s="9" t="s">
        <v>50</v>
      </c>
    </row>
    <row r="11" spans="1:36" ht="22.5" customHeight="1" x14ac:dyDescent="0.2">
      <c r="A11" s="17">
        <v>45981.70441204861</v>
      </c>
      <c r="B11" s="18" t="s">
        <v>149</v>
      </c>
      <c r="C11" s="18" t="s">
        <v>150</v>
      </c>
      <c r="D11" s="18" t="s">
        <v>53</v>
      </c>
      <c r="E11" s="19" t="s">
        <v>151</v>
      </c>
      <c r="F11" s="18" t="s">
        <v>55</v>
      </c>
      <c r="G11" s="18" t="s">
        <v>105</v>
      </c>
      <c r="H11" s="18" t="s">
        <v>152</v>
      </c>
      <c r="I11" s="18" t="s">
        <v>153</v>
      </c>
      <c r="J11" s="18" t="s">
        <v>154</v>
      </c>
      <c r="K11" s="18" t="s">
        <v>155</v>
      </c>
      <c r="L11" s="18" t="s">
        <v>156</v>
      </c>
      <c r="M11" s="18" t="s">
        <v>157</v>
      </c>
      <c r="N11" s="18" t="s">
        <v>62</v>
      </c>
      <c r="O11" s="18" t="s">
        <v>43</v>
      </c>
      <c r="P11" s="18"/>
      <c r="Q11" s="18" t="s">
        <v>44</v>
      </c>
      <c r="R11" s="18" t="s">
        <v>45</v>
      </c>
      <c r="S11" s="18" t="s">
        <v>46</v>
      </c>
      <c r="T11" s="18" t="s">
        <v>47</v>
      </c>
      <c r="U11" s="18"/>
      <c r="V11" s="18" t="s">
        <v>63</v>
      </c>
      <c r="W11" s="18" t="s">
        <v>158</v>
      </c>
      <c r="X11" s="18" t="s">
        <v>143</v>
      </c>
      <c r="Y11" s="18" t="s">
        <v>159</v>
      </c>
      <c r="Z11" s="20">
        <v>45981</v>
      </c>
      <c r="AA11" s="18" t="s">
        <v>50</v>
      </c>
      <c r="AB11" s="18" t="s">
        <v>150</v>
      </c>
      <c r="AC11" s="20">
        <v>45981</v>
      </c>
      <c r="AD11" s="18" t="s">
        <v>50</v>
      </c>
    </row>
    <row r="12" spans="1:36" ht="22.5" customHeight="1" x14ac:dyDescent="0.2">
      <c r="A12" s="8">
        <v>45949.689550648152</v>
      </c>
      <c r="B12" s="9" t="s">
        <v>160</v>
      </c>
      <c r="C12" s="9" t="s">
        <v>161</v>
      </c>
      <c r="D12" s="9" t="s">
        <v>53</v>
      </c>
      <c r="E12" s="10" t="s">
        <v>162</v>
      </c>
      <c r="F12" s="9" t="s">
        <v>55</v>
      </c>
      <c r="G12" s="9" t="s">
        <v>35</v>
      </c>
      <c r="H12" s="9" t="s">
        <v>163</v>
      </c>
      <c r="I12" s="9" t="s">
        <v>164</v>
      </c>
      <c r="J12" s="9" t="s">
        <v>165</v>
      </c>
      <c r="K12" s="9" t="s">
        <v>166</v>
      </c>
      <c r="L12" s="9" t="s">
        <v>167</v>
      </c>
      <c r="M12" s="9" t="s">
        <v>168</v>
      </c>
      <c r="N12" s="9" t="s">
        <v>62</v>
      </c>
      <c r="O12" s="9" t="s">
        <v>43</v>
      </c>
      <c r="Q12" s="9" t="s">
        <v>75</v>
      </c>
      <c r="R12" s="9" t="s">
        <v>169</v>
      </c>
      <c r="S12" s="9" t="s">
        <v>89</v>
      </c>
      <c r="T12" s="9" t="s">
        <v>47</v>
      </c>
      <c r="V12" s="9" t="s">
        <v>63</v>
      </c>
      <c r="W12" s="9" t="s">
        <v>48</v>
      </c>
      <c r="X12" s="9" t="s">
        <v>170</v>
      </c>
      <c r="Y12" s="9" t="s">
        <v>161</v>
      </c>
      <c r="Z12" s="11">
        <v>45949</v>
      </c>
      <c r="AA12" s="9" t="s">
        <v>50</v>
      </c>
      <c r="AB12" s="9" t="s">
        <v>161</v>
      </c>
      <c r="AC12" s="11">
        <v>45949</v>
      </c>
      <c r="AD12" s="9" t="s">
        <v>50</v>
      </c>
    </row>
    <row r="13" spans="1:36" ht="22.5" customHeight="1" x14ac:dyDescent="0.2">
      <c r="A13" s="8">
        <v>46010.760030671299</v>
      </c>
      <c r="B13" s="9" t="s">
        <v>171</v>
      </c>
      <c r="C13" s="9" t="s">
        <v>172</v>
      </c>
      <c r="D13" s="9" t="s">
        <v>32</v>
      </c>
      <c r="E13" s="9" t="s">
        <v>173</v>
      </c>
      <c r="F13" s="9" t="s">
        <v>55</v>
      </c>
      <c r="G13" s="9" t="s">
        <v>35</v>
      </c>
      <c r="H13" s="9" t="s">
        <v>174</v>
      </c>
      <c r="I13" s="9" t="s">
        <v>175</v>
      </c>
      <c r="J13" s="9" t="s">
        <v>176</v>
      </c>
      <c r="K13" s="9" t="s">
        <v>177</v>
      </c>
      <c r="L13" s="9" t="s">
        <v>178</v>
      </c>
      <c r="M13" s="9" t="s">
        <v>179</v>
      </c>
      <c r="N13" s="9" t="s">
        <v>42</v>
      </c>
      <c r="O13" s="9" t="s">
        <v>43</v>
      </c>
      <c r="Q13" s="9" t="s">
        <v>44</v>
      </c>
      <c r="R13" s="9" t="s">
        <v>45</v>
      </c>
      <c r="S13" s="9" t="s">
        <v>46</v>
      </c>
      <c r="T13" s="9" t="s">
        <v>47</v>
      </c>
      <c r="V13" s="9" t="s">
        <v>47</v>
      </c>
      <c r="W13" s="9" t="s">
        <v>48</v>
      </c>
      <c r="X13" s="9" t="s">
        <v>180</v>
      </c>
      <c r="Y13" s="9" t="s">
        <v>172</v>
      </c>
      <c r="Z13" s="11">
        <v>46010</v>
      </c>
      <c r="AA13" s="9" t="s">
        <v>50</v>
      </c>
      <c r="AB13" s="9" t="s">
        <v>172</v>
      </c>
      <c r="AC13" s="11">
        <v>46010</v>
      </c>
      <c r="AD13" s="9" t="s">
        <v>50</v>
      </c>
      <c r="AE13" s="21"/>
      <c r="AF13" s="21"/>
      <c r="AG13" s="21"/>
      <c r="AH13" s="21"/>
      <c r="AI13" s="21"/>
      <c r="AJ13" s="21"/>
    </row>
    <row r="14" spans="1:36" ht="22.5" customHeight="1" x14ac:dyDescent="0.2">
      <c r="A14" s="8">
        <v>45998.841465081015</v>
      </c>
      <c r="B14" s="9" t="s">
        <v>181</v>
      </c>
      <c r="C14" s="9" t="s">
        <v>182</v>
      </c>
      <c r="D14" s="9" t="s">
        <v>53</v>
      </c>
      <c r="E14" s="9" t="s">
        <v>183</v>
      </c>
      <c r="F14" s="9" t="s">
        <v>55</v>
      </c>
      <c r="G14" s="9" t="s">
        <v>35</v>
      </c>
      <c r="H14" s="9" t="s">
        <v>184</v>
      </c>
      <c r="I14" s="9" t="s">
        <v>185</v>
      </c>
      <c r="J14" s="9" t="s">
        <v>186</v>
      </c>
      <c r="K14" s="9" t="s">
        <v>48</v>
      </c>
      <c r="L14" s="9" t="s">
        <v>187</v>
      </c>
      <c r="M14" s="9" t="s">
        <v>188</v>
      </c>
      <c r="N14" s="9" t="s">
        <v>42</v>
      </c>
      <c r="O14" s="9" t="s">
        <v>63</v>
      </c>
      <c r="P14" s="9" t="s">
        <v>189</v>
      </c>
      <c r="Q14" s="9" t="s">
        <v>112</v>
      </c>
      <c r="R14" s="9" t="s">
        <v>45</v>
      </c>
      <c r="S14" s="9" t="s">
        <v>46</v>
      </c>
      <c r="T14" s="9" t="s">
        <v>47</v>
      </c>
      <c r="V14" s="9" t="s">
        <v>47</v>
      </c>
      <c r="W14" s="9" t="s">
        <v>48</v>
      </c>
      <c r="X14" s="9" t="s">
        <v>190</v>
      </c>
      <c r="Y14" s="9" t="s">
        <v>182</v>
      </c>
      <c r="Z14" s="11">
        <v>45998</v>
      </c>
      <c r="AA14" s="9" t="s">
        <v>50</v>
      </c>
      <c r="AB14" s="9" t="s">
        <v>182</v>
      </c>
      <c r="AC14" s="11">
        <v>45998</v>
      </c>
      <c r="AD14" s="9" t="s">
        <v>50</v>
      </c>
    </row>
    <row r="15" spans="1:36" ht="22.5" customHeight="1" x14ac:dyDescent="0.2">
      <c r="A15" s="8">
        <v>45974.470678703699</v>
      </c>
      <c r="B15" s="9" t="s">
        <v>191</v>
      </c>
      <c r="C15" s="9" t="s">
        <v>192</v>
      </c>
      <c r="D15" s="9" t="s">
        <v>53</v>
      </c>
      <c r="E15" s="10" t="s">
        <v>193</v>
      </c>
      <c r="F15" s="9" t="s">
        <v>55</v>
      </c>
      <c r="G15" s="9" t="s">
        <v>35</v>
      </c>
      <c r="H15" s="9" t="s">
        <v>194</v>
      </c>
      <c r="I15" s="9" t="s">
        <v>195</v>
      </c>
      <c r="J15" s="9" t="s">
        <v>196</v>
      </c>
      <c r="K15" s="9" t="s">
        <v>197</v>
      </c>
      <c r="L15" s="9" t="s">
        <v>198</v>
      </c>
      <c r="M15" s="9" t="s">
        <v>199</v>
      </c>
      <c r="N15" s="9" t="s">
        <v>62</v>
      </c>
      <c r="O15" s="9" t="s">
        <v>43</v>
      </c>
      <c r="Q15" s="9" t="s">
        <v>44</v>
      </c>
      <c r="R15" s="9" t="s">
        <v>45</v>
      </c>
      <c r="S15" s="9" t="s">
        <v>46</v>
      </c>
      <c r="T15" s="9" t="s">
        <v>47</v>
      </c>
      <c r="V15" s="9" t="s">
        <v>47</v>
      </c>
      <c r="W15" s="9" t="s">
        <v>48</v>
      </c>
      <c r="X15" s="9" t="s">
        <v>200</v>
      </c>
      <c r="Y15" s="9" t="s">
        <v>192</v>
      </c>
      <c r="Z15" s="11">
        <v>45974</v>
      </c>
      <c r="AA15" s="9" t="s">
        <v>50</v>
      </c>
      <c r="AB15" s="9" t="s">
        <v>192</v>
      </c>
      <c r="AC15" s="11">
        <v>45974</v>
      </c>
      <c r="AD15" s="9" t="s">
        <v>50</v>
      </c>
      <c r="AE15" s="21"/>
      <c r="AF15" s="21"/>
      <c r="AG15" s="21"/>
      <c r="AH15" s="21"/>
      <c r="AI15" s="21"/>
      <c r="AJ15" s="21"/>
    </row>
    <row r="16" spans="1:36" ht="22.5" customHeight="1" x14ac:dyDescent="0.2">
      <c r="A16" s="8">
        <v>45953.02488247685</v>
      </c>
      <c r="B16" s="9" t="s">
        <v>201</v>
      </c>
      <c r="C16" s="9" t="s">
        <v>202</v>
      </c>
      <c r="D16" s="9" t="s">
        <v>53</v>
      </c>
      <c r="E16" s="22">
        <v>35</v>
      </c>
      <c r="F16" s="9" t="s">
        <v>68</v>
      </c>
      <c r="G16" s="9" t="s">
        <v>35</v>
      </c>
      <c r="H16" s="9" t="s">
        <v>203</v>
      </c>
      <c r="I16" s="9" t="s">
        <v>204</v>
      </c>
      <c r="J16" s="9" t="s">
        <v>205</v>
      </c>
      <c r="K16" s="9" t="s">
        <v>206</v>
      </c>
      <c r="L16" s="9" t="s">
        <v>207</v>
      </c>
      <c r="M16" s="9" t="s">
        <v>208</v>
      </c>
      <c r="N16" s="9" t="s">
        <v>62</v>
      </c>
      <c r="O16" s="9" t="s">
        <v>43</v>
      </c>
      <c r="Q16" s="9" t="s">
        <v>44</v>
      </c>
      <c r="R16" s="9" t="s">
        <v>45</v>
      </c>
      <c r="S16" s="9" t="s">
        <v>89</v>
      </c>
      <c r="T16" s="9" t="s">
        <v>63</v>
      </c>
      <c r="U16" s="9" t="s">
        <v>209</v>
      </c>
      <c r="V16" s="9" t="s">
        <v>47</v>
      </c>
      <c r="W16" s="9" t="s">
        <v>48</v>
      </c>
      <c r="X16" s="9" t="s">
        <v>210</v>
      </c>
      <c r="Y16" s="9" t="s">
        <v>202</v>
      </c>
      <c r="Z16" s="11">
        <v>45953</v>
      </c>
      <c r="AA16" s="9" t="s">
        <v>50</v>
      </c>
      <c r="AB16" s="9" t="s">
        <v>202</v>
      </c>
      <c r="AC16" s="11">
        <v>45953</v>
      </c>
      <c r="AD16" s="9" t="s">
        <v>50</v>
      </c>
    </row>
    <row r="17" spans="1:36" ht="22.5" customHeight="1" x14ac:dyDescent="0.2">
      <c r="A17" s="8">
        <v>45940.571010821761</v>
      </c>
      <c r="B17" s="9" t="s">
        <v>211</v>
      </c>
      <c r="C17" s="9" t="s">
        <v>212</v>
      </c>
      <c r="D17" s="9" t="s">
        <v>53</v>
      </c>
      <c r="E17" s="10" t="s">
        <v>33</v>
      </c>
      <c r="F17" s="9" t="s">
        <v>55</v>
      </c>
      <c r="G17" s="9" t="s">
        <v>105</v>
      </c>
      <c r="H17" s="9" t="s">
        <v>213</v>
      </c>
      <c r="I17" s="9" t="s">
        <v>214</v>
      </c>
      <c r="J17" s="9" t="s">
        <v>215</v>
      </c>
      <c r="K17" s="9" t="s">
        <v>216</v>
      </c>
      <c r="L17" s="9" t="s">
        <v>217</v>
      </c>
      <c r="M17" s="9" t="s">
        <v>218</v>
      </c>
      <c r="N17" s="9" t="s">
        <v>42</v>
      </c>
      <c r="O17" s="9" t="s">
        <v>43</v>
      </c>
      <c r="Q17" s="9" t="s">
        <v>44</v>
      </c>
      <c r="R17" s="9" t="s">
        <v>76</v>
      </c>
      <c r="S17" s="9" t="s">
        <v>89</v>
      </c>
      <c r="T17" s="9" t="s">
        <v>47</v>
      </c>
      <c r="V17" s="9" t="s">
        <v>47</v>
      </c>
      <c r="W17" s="9" t="s">
        <v>48</v>
      </c>
      <c r="X17" s="9" t="s">
        <v>219</v>
      </c>
      <c r="Y17" s="9" t="s">
        <v>212</v>
      </c>
      <c r="Z17" s="11">
        <v>45940</v>
      </c>
      <c r="AA17" s="9" t="s">
        <v>50</v>
      </c>
      <c r="AB17" s="9" t="s">
        <v>212</v>
      </c>
      <c r="AC17" s="11">
        <v>45940</v>
      </c>
      <c r="AD17" s="9" t="s">
        <v>50</v>
      </c>
    </row>
    <row r="18" spans="1:36" ht="22.5" customHeight="1" x14ac:dyDescent="0.2">
      <c r="A18" s="8">
        <v>45961.932695243057</v>
      </c>
      <c r="B18" s="9" t="s">
        <v>220</v>
      </c>
      <c r="C18" s="9" t="s">
        <v>221</v>
      </c>
      <c r="D18" s="9" t="s">
        <v>53</v>
      </c>
      <c r="E18" s="10" t="s">
        <v>222</v>
      </c>
      <c r="F18" s="9" t="s">
        <v>223</v>
      </c>
      <c r="G18" s="9" t="s">
        <v>35</v>
      </c>
      <c r="H18" s="9" t="s">
        <v>224</v>
      </c>
      <c r="I18" s="9" t="s">
        <v>225</v>
      </c>
      <c r="J18" s="9" t="s">
        <v>226</v>
      </c>
      <c r="K18" s="9" t="s">
        <v>227</v>
      </c>
      <c r="L18" s="9" t="s">
        <v>228</v>
      </c>
      <c r="M18" s="9" t="s">
        <v>229</v>
      </c>
      <c r="N18" s="9" t="s">
        <v>42</v>
      </c>
      <c r="O18" s="9" t="s">
        <v>43</v>
      </c>
      <c r="Q18" s="9" t="s">
        <v>75</v>
      </c>
      <c r="R18" s="9" t="s">
        <v>45</v>
      </c>
      <c r="S18" s="9" t="s">
        <v>46</v>
      </c>
      <c r="T18" s="9" t="s">
        <v>63</v>
      </c>
      <c r="U18" s="9" t="s">
        <v>230</v>
      </c>
      <c r="V18" s="9" t="s">
        <v>47</v>
      </c>
      <c r="W18" s="9" t="s">
        <v>48</v>
      </c>
      <c r="X18" s="9" t="s">
        <v>231</v>
      </c>
      <c r="Y18" s="9" t="s">
        <v>221</v>
      </c>
      <c r="Z18" s="11">
        <v>45961</v>
      </c>
      <c r="AA18" s="9" t="s">
        <v>50</v>
      </c>
      <c r="AB18" s="9" t="s">
        <v>221</v>
      </c>
      <c r="AC18" s="11">
        <v>45961</v>
      </c>
      <c r="AD18" s="9" t="s">
        <v>50</v>
      </c>
    </row>
    <row r="19" spans="1:36" ht="22.5" customHeight="1" x14ac:dyDescent="0.2">
      <c r="A19" s="8">
        <v>45992.617435115739</v>
      </c>
      <c r="B19" s="9" t="s">
        <v>232</v>
      </c>
      <c r="C19" s="9" t="s">
        <v>233</v>
      </c>
      <c r="D19" s="9" t="s">
        <v>53</v>
      </c>
      <c r="E19" s="10" t="s">
        <v>234</v>
      </c>
      <c r="F19" s="9" t="s">
        <v>55</v>
      </c>
      <c r="G19" s="9" t="s">
        <v>105</v>
      </c>
      <c r="H19" s="9" t="s">
        <v>48</v>
      </c>
      <c r="I19" s="9" t="s">
        <v>235</v>
      </c>
      <c r="J19" s="9" t="s">
        <v>236</v>
      </c>
      <c r="K19" s="9" t="s">
        <v>237</v>
      </c>
      <c r="L19" s="9" t="s">
        <v>238</v>
      </c>
      <c r="M19" s="9" t="s">
        <v>239</v>
      </c>
      <c r="N19" s="9" t="s">
        <v>42</v>
      </c>
      <c r="O19" s="9" t="s">
        <v>43</v>
      </c>
      <c r="Q19" s="9" t="s">
        <v>44</v>
      </c>
      <c r="R19" s="9" t="s">
        <v>45</v>
      </c>
      <c r="S19" s="9" t="s">
        <v>46</v>
      </c>
      <c r="T19" s="9" t="s">
        <v>47</v>
      </c>
      <c r="V19" s="9" t="s">
        <v>47</v>
      </c>
      <c r="W19" s="9" t="s">
        <v>48</v>
      </c>
      <c r="X19" s="9" t="s">
        <v>240</v>
      </c>
      <c r="Y19" s="9" t="s">
        <v>233</v>
      </c>
      <c r="Z19" s="11">
        <v>45992</v>
      </c>
      <c r="AA19" s="9" t="s">
        <v>50</v>
      </c>
      <c r="AB19" s="9" t="s">
        <v>233</v>
      </c>
      <c r="AC19" s="11">
        <v>45992</v>
      </c>
      <c r="AD19" s="9" t="s">
        <v>50</v>
      </c>
    </row>
    <row r="20" spans="1:36" ht="22.5" customHeight="1" x14ac:dyDescent="0.2">
      <c r="A20" s="8">
        <v>45948.348346724539</v>
      </c>
      <c r="B20" s="9" t="s">
        <v>241</v>
      </c>
      <c r="C20" s="9" t="s">
        <v>242</v>
      </c>
      <c r="D20" s="9" t="s">
        <v>53</v>
      </c>
      <c r="E20" s="10" t="s">
        <v>243</v>
      </c>
      <c r="F20" s="9" t="s">
        <v>55</v>
      </c>
      <c r="G20" s="9" t="s">
        <v>105</v>
      </c>
      <c r="H20" s="9" t="s">
        <v>244</v>
      </c>
      <c r="I20" s="9" t="s">
        <v>245</v>
      </c>
      <c r="J20" s="9" t="s">
        <v>246</v>
      </c>
      <c r="K20" s="9" t="s">
        <v>247</v>
      </c>
      <c r="L20" s="9" t="s">
        <v>248</v>
      </c>
      <c r="M20" s="9" t="s">
        <v>249</v>
      </c>
      <c r="N20" s="9" t="s">
        <v>42</v>
      </c>
      <c r="O20" s="9" t="s">
        <v>63</v>
      </c>
      <c r="P20" s="9" t="s">
        <v>250</v>
      </c>
      <c r="Q20" s="9" t="s">
        <v>44</v>
      </c>
      <c r="R20" s="9" t="s">
        <v>45</v>
      </c>
      <c r="S20" s="9" t="s">
        <v>46</v>
      </c>
      <c r="T20" s="9" t="s">
        <v>47</v>
      </c>
      <c r="V20" s="9" t="s">
        <v>63</v>
      </c>
      <c r="W20" s="9" t="s">
        <v>48</v>
      </c>
      <c r="X20" s="9" t="s">
        <v>251</v>
      </c>
      <c r="Y20" s="9" t="s">
        <v>242</v>
      </c>
      <c r="Z20" s="11">
        <v>45948</v>
      </c>
      <c r="AA20" s="9" t="s">
        <v>50</v>
      </c>
      <c r="AB20" s="9" t="s">
        <v>242</v>
      </c>
      <c r="AC20" s="11">
        <v>45948</v>
      </c>
      <c r="AD20" s="9" t="s">
        <v>50</v>
      </c>
    </row>
    <row r="21" spans="1:36" ht="22.5" customHeight="1" x14ac:dyDescent="0.2">
      <c r="A21" s="8">
        <v>45989.644642094907</v>
      </c>
      <c r="B21" s="9" t="s">
        <v>252</v>
      </c>
      <c r="C21" s="9" t="s">
        <v>253</v>
      </c>
      <c r="D21" s="9" t="s">
        <v>53</v>
      </c>
      <c r="E21" s="10" t="s">
        <v>254</v>
      </c>
      <c r="F21" s="9" t="s">
        <v>55</v>
      </c>
      <c r="G21" s="9" t="s">
        <v>35</v>
      </c>
      <c r="H21" s="9" t="s">
        <v>255</v>
      </c>
      <c r="I21" s="9" t="s">
        <v>256</v>
      </c>
      <c r="J21" s="9" t="s">
        <v>257</v>
      </c>
      <c r="K21" s="9" t="s">
        <v>258</v>
      </c>
      <c r="L21" s="9" t="s">
        <v>259</v>
      </c>
      <c r="M21" s="9" t="s">
        <v>260</v>
      </c>
      <c r="N21" s="9" t="s">
        <v>42</v>
      </c>
      <c r="O21" s="9" t="s">
        <v>43</v>
      </c>
      <c r="Q21" s="9" t="s">
        <v>44</v>
      </c>
      <c r="R21" s="9" t="s">
        <v>45</v>
      </c>
      <c r="S21" s="9" t="s">
        <v>46</v>
      </c>
      <c r="T21" s="9" t="s">
        <v>47</v>
      </c>
      <c r="V21" s="9" t="s">
        <v>47</v>
      </c>
      <c r="W21" s="9" t="s">
        <v>48</v>
      </c>
      <c r="X21" s="9" t="s">
        <v>261</v>
      </c>
      <c r="Y21" s="9" t="s">
        <v>253</v>
      </c>
      <c r="Z21" s="11">
        <v>45989</v>
      </c>
      <c r="AA21" s="9" t="s">
        <v>50</v>
      </c>
      <c r="AB21" s="9" t="s">
        <v>253</v>
      </c>
      <c r="AC21" s="11">
        <v>45989</v>
      </c>
      <c r="AD21" s="9" t="s">
        <v>50</v>
      </c>
    </row>
    <row r="22" spans="1:36" ht="22.5" customHeight="1" x14ac:dyDescent="0.2">
      <c r="A22" s="8">
        <v>46003.821888819446</v>
      </c>
      <c r="B22" s="9" t="s">
        <v>262</v>
      </c>
      <c r="C22" s="9" t="s">
        <v>263</v>
      </c>
      <c r="D22" s="9" t="s">
        <v>53</v>
      </c>
      <c r="E22" s="9" t="s">
        <v>264</v>
      </c>
      <c r="F22" s="9" t="s">
        <v>55</v>
      </c>
      <c r="G22" s="9" t="s">
        <v>35</v>
      </c>
      <c r="H22" s="9" t="s">
        <v>265</v>
      </c>
      <c r="I22" s="9" t="s">
        <v>266</v>
      </c>
      <c r="J22" s="9" t="s">
        <v>267</v>
      </c>
      <c r="K22" s="9" t="s">
        <v>268</v>
      </c>
      <c r="L22" s="9" t="s">
        <v>269</v>
      </c>
      <c r="M22" s="9" t="s">
        <v>270</v>
      </c>
      <c r="N22" s="9" t="s">
        <v>42</v>
      </c>
      <c r="O22" s="9" t="s">
        <v>43</v>
      </c>
      <c r="Q22" s="9" t="s">
        <v>44</v>
      </c>
      <c r="R22" s="9" t="s">
        <v>45</v>
      </c>
      <c r="S22" s="9" t="s">
        <v>46</v>
      </c>
      <c r="T22" s="9" t="s">
        <v>47</v>
      </c>
      <c r="V22" s="9" t="s">
        <v>47</v>
      </c>
      <c r="W22" s="9" t="s">
        <v>271</v>
      </c>
      <c r="X22" s="9" t="s">
        <v>272</v>
      </c>
      <c r="Y22" s="9" t="s">
        <v>263</v>
      </c>
      <c r="Z22" s="11">
        <v>46003</v>
      </c>
      <c r="AA22" s="9" t="s">
        <v>50</v>
      </c>
      <c r="AB22" s="9" t="s">
        <v>263</v>
      </c>
      <c r="AC22" s="11">
        <v>46003</v>
      </c>
      <c r="AD22" s="9" t="s">
        <v>50</v>
      </c>
    </row>
    <row r="23" spans="1:36" ht="22.5" customHeight="1" x14ac:dyDescent="0.2">
      <c r="A23" s="8">
        <v>45993.697716030088</v>
      </c>
      <c r="B23" s="9" t="s">
        <v>273</v>
      </c>
      <c r="C23" s="9" t="s">
        <v>274</v>
      </c>
      <c r="D23" s="9" t="s">
        <v>32</v>
      </c>
      <c r="E23" s="9" t="s">
        <v>173</v>
      </c>
      <c r="F23" s="9" t="s">
        <v>55</v>
      </c>
      <c r="G23" s="9" t="s">
        <v>105</v>
      </c>
      <c r="H23" s="9" t="s">
        <v>275</v>
      </c>
      <c r="I23" s="9" t="s">
        <v>276</v>
      </c>
      <c r="J23" s="9" t="s">
        <v>277</v>
      </c>
      <c r="K23" s="9" t="s">
        <v>278</v>
      </c>
      <c r="L23" s="9" t="s">
        <v>279</v>
      </c>
      <c r="M23" s="9" t="s">
        <v>280</v>
      </c>
      <c r="N23" s="9" t="s">
        <v>42</v>
      </c>
      <c r="O23" s="9" t="s">
        <v>43</v>
      </c>
      <c r="Q23" s="9" t="s">
        <v>44</v>
      </c>
      <c r="R23" s="9" t="s">
        <v>45</v>
      </c>
      <c r="S23" s="9" t="s">
        <v>46</v>
      </c>
      <c r="T23" s="9" t="s">
        <v>47</v>
      </c>
      <c r="V23" s="9" t="s">
        <v>63</v>
      </c>
      <c r="W23" s="9" t="s">
        <v>48</v>
      </c>
      <c r="X23" s="9" t="s">
        <v>281</v>
      </c>
      <c r="Y23" s="9" t="s">
        <v>274</v>
      </c>
      <c r="Z23" s="11">
        <v>45993</v>
      </c>
      <c r="AA23" s="9" t="s">
        <v>50</v>
      </c>
      <c r="AB23" s="9" t="s">
        <v>274</v>
      </c>
      <c r="AC23" s="11">
        <v>45993</v>
      </c>
      <c r="AD23" s="9" t="s">
        <v>50</v>
      </c>
      <c r="AE23" s="12"/>
      <c r="AF23" s="12"/>
      <c r="AG23" s="12"/>
      <c r="AH23" s="12"/>
      <c r="AI23" s="12"/>
      <c r="AJ23" s="12"/>
    </row>
    <row r="24" spans="1:36" ht="22.5" customHeight="1" x14ac:dyDescent="0.2">
      <c r="A24" s="8">
        <v>45990.702517592596</v>
      </c>
      <c r="B24" s="9" t="s">
        <v>282</v>
      </c>
      <c r="C24" s="9" t="s">
        <v>283</v>
      </c>
      <c r="D24" s="9" t="s">
        <v>53</v>
      </c>
      <c r="E24" s="10" t="s">
        <v>116</v>
      </c>
      <c r="F24" s="9" t="s">
        <v>284</v>
      </c>
      <c r="G24" s="9" t="s">
        <v>35</v>
      </c>
      <c r="H24" s="9" t="s">
        <v>285</v>
      </c>
      <c r="I24" s="9" t="s">
        <v>286</v>
      </c>
      <c r="J24" s="9" t="s">
        <v>287</v>
      </c>
      <c r="K24" s="9" t="s">
        <v>288</v>
      </c>
      <c r="L24" s="9" t="s">
        <v>289</v>
      </c>
      <c r="M24" s="9" t="s">
        <v>290</v>
      </c>
      <c r="N24" s="9" t="s">
        <v>62</v>
      </c>
      <c r="O24" s="9" t="s">
        <v>63</v>
      </c>
      <c r="P24" s="9" t="s">
        <v>291</v>
      </c>
      <c r="Q24" s="9" t="s">
        <v>44</v>
      </c>
      <c r="R24" s="9" t="s">
        <v>45</v>
      </c>
      <c r="S24" s="9" t="s">
        <v>46</v>
      </c>
      <c r="T24" s="9" t="s">
        <v>47</v>
      </c>
      <c r="V24" s="9" t="s">
        <v>47</v>
      </c>
      <c r="W24" s="9" t="s">
        <v>292</v>
      </c>
      <c r="X24" s="9" t="s">
        <v>293</v>
      </c>
      <c r="Y24" s="9" t="s">
        <v>283</v>
      </c>
      <c r="Z24" s="11">
        <v>45990</v>
      </c>
      <c r="AA24" s="9" t="s">
        <v>50</v>
      </c>
      <c r="AB24" s="9" t="s">
        <v>283</v>
      </c>
      <c r="AC24" s="11">
        <v>45990</v>
      </c>
      <c r="AD24" s="9" t="s">
        <v>50</v>
      </c>
    </row>
    <row r="25" spans="1:36" ht="22.5" customHeight="1" x14ac:dyDescent="0.2">
      <c r="A25" s="8">
        <v>45952.712193194442</v>
      </c>
      <c r="B25" s="9" t="s">
        <v>294</v>
      </c>
      <c r="C25" s="9" t="s">
        <v>295</v>
      </c>
      <c r="D25" s="9" t="s">
        <v>53</v>
      </c>
      <c r="E25" s="10" t="s">
        <v>296</v>
      </c>
      <c r="F25" s="9" t="s">
        <v>55</v>
      </c>
      <c r="G25" s="9" t="s">
        <v>35</v>
      </c>
      <c r="H25" s="9" t="s">
        <v>297</v>
      </c>
      <c r="I25" s="9" t="s">
        <v>298</v>
      </c>
      <c r="J25" s="9" t="s">
        <v>299</v>
      </c>
      <c r="K25" s="9" t="s">
        <v>300</v>
      </c>
      <c r="L25" s="9" t="s">
        <v>301</v>
      </c>
      <c r="M25" s="9" t="s">
        <v>302</v>
      </c>
      <c r="N25" s="9" t="s">
        <v>42</v>
      </c>
      <c r="O25" s="9" t="s">
        <v>43</v>
      </c>
      <c r="Q25" s="9" t="s">
        <v>44</v>
      </c>
      <c r="R25" s="9" t="s">
        <v>303</v>
      </c>
      <c r="S25" s="9" t="s">
        <v>46</v>
      </c>
      <c r="T25" s="9" t="s">
        <v>47</v>
      </c>
      <c r="V25" s="9" t="s">
        <v>63</v>
      </c>
      <c r="W25" s="9" t="s">
        <v>48</v>
      </c>
      <c r="X25" s="9" t="s">
        <v>304</v>
      </c>
      <c r="Y25" s="9" t="s">
        <v>295</v>
      </c>
      <c r="Z25" s="11">
        <v>45952</v>
      </c>
      <c r="AA25" s="9" t="s">
        <v>50</v>
      </c>
      <c r="AB25" s="9" t="s">
        <v>295</v>
      </c>
      <c r="AC25" s="11">
        <v>45952</v>
      </c>
      <c r="AD25" s="9" t="s">
        <v>50</v>
      </c>
    </row>
    <row r="26" spans="1:36" ht="22.5" customHeight="1" x14ac:dyDescent="0.2">
      <c r="A26" s="8">
        <v>45977.688445821761</v>
      </c>
      <c r="B26" s="9" t="s">
        <v>305</v>
      </c>
      <c r="C26" s="9" t="s">
        <v>306</v>
      </c>
      <c r="D26" s="9" t="s">
        <v>32</v>
      </c>
      <c r="E26" s="10" t="s">
        <v>307</v>
      </c>
      <c r="F26" s="9" t="s">
        <v>68</v>
      </c>
      <c r="G26" s="9" t="s">
        <v>35</v>
      </c>
      <c r="H26" s="9" t="s">
        <v>308</v>
      </c>
      <c r="I26" s="9" t="s">
        <v>309</v>
      </c>
      <c r="J26" s="9" t="s">
        <v>310</v>
      </c>
      <c r="K26" s="9" t="s">
        <v>311</v>
      </c>
      <c r="L26" s="9" t="s">
        <v>312</v>
      </c>
      <c r="M26" s="9" t="s">
        <v>313</v>
      </c>
      <c r="N26" s="9" t="s">
        <v>42</v>
      </c>
      <c r="O26" s="9" t="s">
        <v>63</v>
      </c>
      <c r="P26" s="9" t="s">
        <v>314</v>
      </c>
      <c r="Q26" s="9" t="s">
        <v>44</v>
      </c>
      <c r="R26" s="9" t="s">
        <v>45</v>
      </c>
      <c r="S26" s="9" t="s">
        <v>46</v>
      </c>
      <c r="T26" s="9" t="s">
        <v>47</v>
      </c>
      <c r="V26" s="9" t="s">
        <v>63</v>
      </c>
      <c r="W26" s="9" t="s">
        <v>48</v>
      </c>
      <c r="X26" s="9" t="s">
        <v>315</v>
      </c>
      <c r="Y26" s="9" t="s">
        <v>306</v>
      </c>
      <c r="Z26" s="11">
        <v>45977</v>
      </c>
      <c r="AA26" s="9" t="s">
        <v>50</v>
      </c>
      <c r="AB26" s="9" t="s">
        <v>306</v>
      </c>
      <c r="AC26" s="11">
        <v>45977</v>
      </c>
      <c r="AD26" s="9" t="s">
        <v>50</v>
      </c>
    </row>
    <row r="27" spans="1:36" ht="22.5" customHeight="1" x14ac:dyDescent="0.2">
      <c r="A27" s="8">
        <v>45988.622382314818</v>
      </c>
      <c r="B27" s="9" t="s">
        <v>316</v>
      </c>
      <c r="C27" s="9" t="s">
        <v>317</v>
      </c>
      <c r="D27" s="9" t="s">
        <v>53</v>
      </c>
      <c r="E27" s="10" t="s">
        <v>318</v>
      </c>
      <c r="F27" s="9" t="s">
        <v>319</v>
      </c>
      <c r="G27" s="9" t="s">
        <v>35</v>
      </c>
      <c r="H27" s="9" t="s">
        <v>320</v>
      </c>
      <c r="I27" s="9" t="s">
        <v>321</v>
      </c>
      <c r="J27" s="9" t="s">
        <v>322</v>
      </c>
      <c r="K27" s="9" t="s">
        <v>323</v>
      </c>
      <c r="L27" s="9" t="s">
        <v>324</v>
      </c>
      <c r="M27" s="9" t="s">
        <v>325</v>
      </c>
      <c r="N27" s="9" t="s">
        <v>42</v>
      </c>
      <c r="O27" s="9" t="s">
        <v>43</v>
      </c>
      <c r="Q27" s="9" t="s">
        <v>44</v>
      </c>
      <c r="R27" s="9" t="s">
        <v>45</v>
      </c>
      <c r="S27" s="9" t="s">
        <v>46</v>
      </c>
      <c r="T27" s="9" t="s">
        <v>47</v>
      </c>
      <c r="V27" s="9" t="s">
        <v>47</v>
      </c>
      <c r="W27" s="9" t="s">
        <v>48</v>
      </c>
      <c r="X27" s="9" t="s">
        <v>326</v>
      </c>
      <c r="Y27" s="9" t="s">
        <v>317</v>
      </c>
      <c r="Z27" s="11">
        <v>45988</v>
      </c>
      <c r="AA27" s="9" t="s">
        <v>50</v>
      </c>
      <c r="AB27" s="9" t="s">
        <v>317</v>
      </c>
      <c r="AC27" s="11">
        <v>45988</v>
      </c>
      <c r="AD27" s="9" t="s">
        <v>50</v>
      </c>
    </row>
    <row r="28" spans="1:36" ht="22.5" customHeight="1" x14ac:dyDescent="0.2">
      <c r="A28" s="8">
        <v>46003.61975474537</v>
      </c>
      <c r="B28" s="9" t="s">
        <v>327</v>
      </c>
      <c r="C28" s="9" t="s">
        <v>328</v>
      </c>
      <c r="D28" s="9" t="s">
        <v>53</v>
      </c>
      <c r="E28" s="9" t="s">
        <v>329</v>
      </c>
      <c r="F28" s="9" t="s">
        <v>330</v>
      </c>
      <c r="G28" s="9" t="s">
        <v>35</v>
      </c>
      <c r="H28" s="9" t="s">
        <v>331</v>
      </c>
      <c r="I28" s="9" t="s">
        <v>332</v>
      </c>
      <c r="J28" s="9" t="s">
        <v>333</v>
      </c>
      <c r="K28" s="9" t="s">
        <v>48</v>
      </c>
      <c r="L28" s="9" t="s">
        <v>334</v>
      </c>
      <c r="M28" s="9" t="s">
        <v>335</v>
      </c>
      <c r="N28" s="9" t="s">
        <v>42</v>
      </c>
      <c r="O28" s="9" t="s">
        <v>43</v>
      </c>
      <c r="Q28" s="9" t="s">
        <v>44</v>
      </c>
      <c r="R28" s="9" t="s">
        <v>45</v>
      </c>
      <c r="S28" s="9" t="s">
        <v>46</v>
      </c>
      <c r="T28" s="9" t="s">
        <v>47</v>
      </c>
      <c r="V28" s="9" t="s">
        <v>63</v>
      </c>
      <c r="W28" s="9" t="s">
        <v>48</v>
      </c>
      <c r="X28" s="9" t="s">
        <v>336</v>
      </c>
      <c r="Y28" s="9" t="s">
        <v>328</v>
      </c>
      <c r="Z28" s="11">
        <v>46003</v>
      </c>
      <c r="AA28" s="9" t="s">
        <v>50</v>
      </c>
      <c r="AB28" s="9" t="s">
        <v>328</v>
      </c>
      <c r="AC28" s="11">
        <v>46003</v>
      </c>
      <c r="AD28" s="9" t="s">
        <v>50</v>
      </c>
    </row>
    <row r="29" spans="1:36" ht="22.5" customHeight="1" x14ac:dyDescent="0.2">
      <c r="A29" s="8">
        <v>45967.713540069446</v>
      </c>
      <c r="B29" s="9" t="s">
        <v>337</v>
      </c>
      <c r="C29" s="9" t="s">
        <v>338</v>
      </c>
      <c r="D29" s="9" t="s">
        <v>53</v>
      </c>
      <c r="E29" s="10" t="s">
        <v>234</v>
      </c>
      <c r="F29" s="9" t="s">
        <v>339</v>
      </c>
      <c r="G29" s="9" t="s">
        <v>35</v>
      </c>
      <c r="H29" s="9" t="s">
        <v>340</v>
      </c>
      <c r="I29" s="9" t="s">
        <v>341</v>
      </c>
      <c r="J29" s="9" t="s">
        <v>342</v>
      </c>
      <c r="K29" s="9" t="s">
        <v>143</v>
      </c>
      <c r="L29" s="9" t="s">
        <v>343</v>
      </c>
      <c r="M29" s="9" t="s">
        <v>344</v>
      </c>
      <c r="N29" s="9" t="s">
        <v>42</v>
      </c>
      <c r="O29" s="9" t="s">
        <v>43</v>
      </c>
      <c r="Q29" s="9" t="s">
        <v>44</v>
      </c>
      <c r="R29" s="9" t="s">
        <v>76</v>
      </c>
      <c r="S29" s="9" t="s">
        <v>46</v>
      </c>
      <c r="T29" s="9" t="s">
        <v>47</v>
      </c>
      <c r="V29" s="9" t="s">
        <v>47</v>
      </c>
      <c r="W29" s="9" t="s">
        <v>48</v>
      </c>
      <c r="X29" s="9" t="s">
        <v>345</v>
      </c>
      <c r="Y29" s="9" t="s">
        <v>338</v>
      </c>
      <c r="Z29" s="11">
        <v>45967</v>
      </c>
      <c r="AA29" s="9" t="s">
        <v>50</v>
      </c>
      <c r="AB29" s="9" t="s">
        <v>338</v>
      </c>
      <c r="AC29" s="11">
        <v>45967</v>
      </c>
      <c r="AD29" s="9" t="s">
        <v>50</v>
      </c>
    </row>
    <row r="30" spans="1:36" ht="22.5" customHeight="1" x14ac:dyDescent="0.2">
      <c r="A30" s="8">
        <v>45997.686052476856</v>
      </c>
      <c r="B30" s="9" t="s">
        <v>346</v>
      </c>
      <c r="C30" s="9" t="s">
        <v>347</v>
      </c>
      <c r="D30" s="9" t="s">
        <v>32</v>
      </c>
      <c r="E30" s="9" t="s">
        <v>348</v>
      </c>
      <c r="F30" s="9" t="s">
        <v>349</v>
      </c>
      <c r="G30" s="9" t="s">
        <v>35</v>
      </c>
      <c r="H30" s="9" t="s">
        <v>48</v>
      </c>
      <c r="I30" s="9" t="s">
        <v>350</v>
      </c>
      <c r="J30" s="9" t="s">
        <v>351</v>
      </c>
      <c r="K30" s="9" t="s">
        <v>352</v>
      </c>
      <c r="L30" s="9" t="s">
        <v>353</v>
      </c>
      <c r="M30" s="9" t="s">
        <v>354</v>
      </c>
      <c r="N30" s="9" t="s">
        <v>62</v>
      </c>
      <c r="O30" s="9" t="s">
        <v>43</v>
      </c>
      <c r="Q30" s="9" t="s">
        <v>75</v>
      </c>
      <c r="R30" s="9" t="s">
        <v>45</v>
      </c>
      <c r="S30" s="9" t="s">
        <v>46</v>
      </c>
      <c r="T30" s="9" t="s">
        <v>47</v>
      </c>
      <c r="V30" s="9" t="s">
        <v>47</v>
      </c>
      <c r="W30" s="9" t="s">
        <v>48</v>
      </c>
      <c r="X30" s="9" t="s">
        <v>355</v>
      </c>
      <c r="Y30" s="9" t="s">
        <v>347</v>
      </c>
      <c r="Z30" s="11">
        <v>45997</v>
      </c>
      <c r="AA30" s="9" t="s">
        <v>50</v>
      </c>
      <c r="AB30" s="9" t="s">
        <v>347</v>
      </c>
      <c r="AC30" s="11">
        <v>45997</v>
      </c>
      <c r="AD30" s="9" t="s">
        <v>50</v>
      </c>
      <c r="AE30" s="21"/>
      <c r="AF30" s="21"/>
      <c r="AG30" s="21"/>
      <c r="AH30" s="21"/>
      <c r="AI30" s="21"/>
      <c r="AJ30" s="21"/>
    </row>
    <row r="31" spans="1:36" ht="22.5" customHeight="1" x14ac:dyDescent="0.2">
      <c r="A31" s="8">
        <v>45992.731737048613</v>
      </c>
      <c r="B31" s="9" t="s">
        <v>356</v>
      </c>
      <c r="C31" s="9" t="s">
        <v>357</v>
      </c>
      <c r="D31" s="9" t="s">
        <v>53</v>
      </c>
      <c r="E31" s="9" t="s">
        <v>358</v>
      </c>
      <c r="F31" s="9" t="s">
        <v>68</v>
      </c>
      <c r="G31" s="9" t="s">
        <v>35</v>
      </c>
      <c r="H31" s="9" t="s">
        <v>359</v>
      </c>
      <c r="I31" s="9" t="s">
        <v>360</v>
      </c>
      <c r="J31" s="9" t="s">
        <v>361</v>
      </c>
      <c r="K31" s="9" t="s">
        <v>143</v>
      </c>
      <c r="L31" s="9" t="s">
        <v>362</v>
      </c>
      <c r="M31" s="9" t="s">
        <v>363</v>
      </c>
      <c r="N31" s="9" t="s">
        <v>62</v>
      </c>
      <c r="O31" s="9" t="s">
        <v>43</v>
      </c>
      <c r="Q31" s="9" t="s">
        <v>44</v>
      </c>
      <c r="R31" s="9" t="s">
        <v>76</v>
      </c>
      <c r="S31" s="9" t="s">
        <v>89</v>
      </c>
      <c r="T31" s="9" t="s">
        <v>47</v>
      </c>
      <c r="V31" s="9" t="s">
        <v>63</v>
      </c>
      <c r="W31" s="9" t="s">
        <v>48</v>
      </c>
      <c r="X31" s="9" t="s">
        <v>364</v>
      </c>
      <c r="Y31" s="9" t="s">
        <v>357</v>
      </c>
      <c r="Z31" s="11">
        <v>45992</v>
      </c>
      <c r="AA31" s="9" t="s">
        <v>50</v>
      </c>
      <c r="AB31" s="9" t="s">
        <v>365</v>
      </c>
      <c r="AC31" s="11">
        <v>45992</v>
      </c>
      <c r="AD31" s="9" t="s">
        <v>50</v>
      </c>
    </row>
    <row r="32" spans="1:36" ht="22.5" customHeight="1" x14ac:dyDescent="0.2">
      <c r="A32" s="8">
        <v>45950.552495173615</v>
      </c>
      <c r="B32" s="9" t="s">
        <v>366</v>
      </c>
      <c r="C32" s="9" t="s">
        <v>367</v>
      </c>
      <c r="D32" s="9" t="s">
        <v>53</v>
      </c>
      <c r="E32" s="10" t="s">
        <v>368</v>
      </c>
      <c r="F32" s="9" t="s">
        <v>369</v>
      </c>
      <c r="G32" s="9" t="s">
        <v>35</v>
      </c>
      <c r="H32" s="9" t="s">
        <v>370</v>
      </c>
      <c r="I32" s="9" t="s">
        <v>371</v>
      </c>
      <c r="J32" s="9" t="s">
        <v>372</v>
      </c>
      <c r="K32" s="9" t="s">
        <v>373</v>
      </c>
      <c r="L32" s="9" t="s">
        <v>374</v>
      </c>
      <c r="M32" s="9" t="s">
        <v>375</v>
      </c>
      <c r="N32" s="9" t="s">
        <v>42</v>
      </c>
      <c r="O32" s="9" t="s">
        <v>43</v>
      </c>
      <c r="Q32" s="9" t="s">
        <v>75</v>
      </c>
      <c r="R32" s="9" t="s">
        <v>45</v>
      </c>
      <c r="S32" s="9" t="s">
        <v>89</v>
      </c>
      <c r="T32" s="9" t="s">
        <v>63</v>
      </c>
      <c r="U32" s="9" t="s">
        <v>376</v>
      </c>
      <c r="V32" s="9" t="s">
        <v>47</v>
      </c>
      <c r="W32" s="9" t="s">
        <v>48</v>
      </c>
      <c r="X32" s="9" t="s">
        <v>377</v>
      </c>
      <c r="Y32" s="9" t="s">
        <v>367</v>
      </c>
      <c r="Z32" s="11">
        <v>45950</v>
      </c>
      <c r="AA32" s="9" t="s">
        <v>50</v>
      </c>
      <c r="AB32" s="9" t="s">
        <v>367</v>
      </c>
      <c r="AC32" s="11">
        <v>45950</v>
      </c>
      <c r="AD32" s="9" t="s">
        <v>50</v>
      </c>
    </row>
    <row r="33" spans="1:36" ht="22.5" customHeight="1" x14ac:dyDescent="0.2">
      <c r="A33" s="8">
        <v>45989.818352222224</v>
      </c>
      <c r="B33" s="9" t="s">
        <v>378</v>
      </c>
      <c r="C33" s="9" t="s">
        <v>379</v>
      </c>
      <c r="D33" s="9" t="s">
        <v>53</v>
      </c>
      <c r="E33" s="10" t="s">
        <v>318</v>
      </c>
      <c r="F33" s="9" t="s">
        <v>68</v>
      </c>
      <c r="G33" s="9" t="s">
        <v>35</v>
      </c>
      <c r="H33" s="9" t="s">
        <v>380</v>
      </c>
      <c r="I33" s="9" t="s">
        <v>381</v>
      </c>
      <c r="J33" s="9" t="s">
        <v>382</v>
      </c>
      <c r="K33" s="9" t="s">
        <v>383</v>
      </c>
      <c r="L33" s="9" t="s">
        <v>384</v>
      </c>
      <c r="M33" s="9" t="s">
        <v>385</v>
      </c>
      <c r="N33" s="9" t="s">
        <v>42</v>
      </c>
      <c r="O33" s="9" t="s">
        <v>43</v>
      </c>
      <c r="Q33" s="9" t="s">
        <v>386</v>
      </c>
      <c r="R33" s="9" t="s">
        <v>45</v>
      </c>
      <c r="S33" s="9" t="s">
        <v>387</v>
      </c>
      <c r="T33" s="9" t="s">
        <v>47</v>
      </c>
      <c r="V33" s="9" t="s">
        <v>47</v>
      </c>
      <c r="W33" s="9" t="s">
        <v>48</v>
      </c>
      <c r="X33" s="9" t="s">
        <v>388</v>
      </c>
      <c r="Y33" s="9" t="s">
        <v>379</v>
      </c>
      <c r="Z33" s="11">
        <v>45989</v>
      </c>
      <c r="AA33" s="9" t="s">
        <v>50</v>
      </c>
      <c r="AB33" s="9" t="s">
        <v>379</v>
      </c>
      <c r="AC33" s="11">
        <v>45989</v>
      </c>
      <c r="AD33" s="9" t="s">
        <v>50</v>
      </c>
    </row>
    <row r="34" spans="1:36" ht="22.5" customHeight="1" x14ac:dyDescent="0.2">
      <c r="A34" s="8">
        <v>45966.465879618059</v>
      </c>
      <c r="B34" s="9" t="s">
        <v>389</v>
      </c>
      <c r="C34" s="9" t="s">
        <v>390</v>
      </c>
      <c r="D34" s="9" t="s">
        <v>53</v>
      </c>
      <c r="E34" s="10" t="s">
        <v>183</v>
      </c>
      <c r="F34" s="9" t="s">
        <v>391</v>
      </c>
      <c r="G34" s="9" t="s">
        <v>35</v>
      </c>
      <c r="H34" s="9" t="s">
        <v>392</v>
      </c>
      <c r="I34" s="9" t="s">
        <v>393</v>
      </c>
      <c r="J34" s="9" t="s">
        <v>394</v>
      </c>
      <c r="K34" s="9" t="s">
        <v>143</v>
      </c>
      <c r="L34" s="9" t="s">
        <v>395</v>
      </c>
      <c r="M34" s="9" t="s">
        <v>396</v>
      </c>
      <c r="N34" s="9" t="s">
        <v>42</v>
      </c>
      <c r="O34" s="9" t="s">
        <v>63</v>
      </c>
      <c r="P34" s="9" t="s">
        <v>397</v>
      </c>
      <c r="Q34" s="9" t="s">
        <v>44</v>
      </c>
      <c r="R34" s="9" t="s">
        <v>45</v>
      </c>
      <c r="S34" s="9" t="s">
        <v>46</v>
      </c>
      <c r="T34" s="9" t="s">
        <v>47</v>
      </c>
      <c r="V34" s="9" t="s">
        <v>47</v>
      </c>
      <c r="W34" s="9" t="s">
        <v>48</v>
      </c>
      <c r="X34" s="9" t="s">
        <v>398</v>
      </c>
      <c r="Y34" s="9" t="s">
        <v>390</v>
      </c>
      <c r="Z34" s="11">
        <v>45966</v>
      </c>
      <c r="AA34" s="9" t="s">
        <v>50</v>
      </c>
      <c r="AB34" s="9" t="s">
        <v>399</v>
      </c>
      <c r="AC34" s="11">
        <v>45966</v>
      </c>
      <c r="AD34" s="9" t="s">
        <v>50</v>
      </c>
    </row>
    <row r="35" spans="1:36" ht="22.5" customHeight="1" x14ac:dyDescent="0.2">
      <c r="A35" s="23">
        <v>45990.718580335648</v>
      </c>
      <c r="B35" s="24" t="s">
        <v>400</v>
      </c>
      <c r="C35" s="24" t="s">
        <v>401</v>
      </c>
      <c r="D35" s="24" t="s">
        <v>53</v>
      </c>
      <c r="E35" s="25">
        <v>28</v>
      </c>
      <c r="F35" s="24" t="s">
        <v>55</v>
      </c>
      <c r="G35" s="24" t="s">
        <v>35</v>
      </c>
      <c r="H35" s="24" t="s">
        <v>402</v>
      </c>
      <c r="I35" s="24" t="s">
        <v>403</v>
      </c>
      <c r="J35" s="24" t="s">
        <v>404</v>
      </c>
      <c r="K35" s="24" t="s">
        <v>143</v>
      </c>
      <c r="L35" s="24" t="s">
        <v>143</v>
      </c>
      <c r="M35" s="24" t="s">
        <v>405</v>
      </c>
      <c r="N35" s="24" t="s">
        <v>62</v>
      </c>
      <c r="O35" s="24" t="s">
        <v>43</v>
      </c>
      <c r="P35" s="24"/>
      <c r="Q35" s="24" t="s">
        <v>44</v>
      </c>
      <c r="R35" s="24" t="s">
        <v>45</v>
      </c>
      <c r="S35" s="24" t="s">
        <v>46</v>
      </c>
      <c r="T35" s="24" t="s">
        <v>47</v>
      </c>
      <c r="U35" s="24"/>
      <c r="V35" s="24" t="s">
        <v>47</v>
      </c>
      <c r="W35" s="24" t="s">
        <v>406</v>
      </c>
      <c r="X35" s="24" t="s">
        <v>407</v>
      </c>
      <c r="Y35" s="24" t="s">
        <v>401</v>
      </c>
      <c r="Z35" s="26">
        <v>45990</v>
      </c>
      <c r="AA35" s="24" t="s">
        <v>50</v>
      </c>
      <c r="AB35" s="24" t="s">
        <v>401</v>
      </c>
      <c r="AC35" s="26">
        <v>45990</v>
      </c>
      <c r="AD35" s="24" t="s">
        <v>50</v>
      </c>
    </row>
    <row r="36" spans="1:36" ht="22.5" customHeight="1" x14ac:dyDescent="0.2">
      <c r="A36" s="8">
        <v>45999.764568750004</v>
      </c>
      <c r="B36" s="9" t="s">
        <v>408</v>
      </c>
      <c r="C36" s="9" t="s">
        <v>409</v>
      </c>
      <c r="D36" s="9" t="s">
        <v>53</v>
      </c>
      <c r="E36" s="9" t="s">
        <v>410</v>
      </c>
      <c r="F36" s="9" t="s">
        <v>55</v>
      </c>
      <c r="G36" s="9" t="s">
        <v>105</v>
      </c>
      <c r="H36" s="9" t="s">
        <v>411</v>
      </c>
      <c r="I36" s="9" t="s">
        <v>412</v>
      </c>
      <c r="J36" s="9" t="s">
        <v>413</v>
      </c>
      <c r="K36" s="9" t="s">
        <v>414</v>
      </c>
      <c r="L36" s="9" t="s">
        <v>415</v>
      </c>
      <c r="M36" s="9" t="s">
        <v>416</v>
      </c>
      <c r="N36" s="9" t="s">
        <v>42</v>
      </c>
      <c r="O36" s="9" t="s">
        <v>43</v>
      </c>
      <c r="Q36" s="9" t="s">
        <v>44</v>
      </c>
      <c r="R36" s="9" t="s">
        <v>45</v>
      </c>
      <c r="S36" s="9" t="s">
        <v>46</v>
      </c>
      <c r="T36" s="9" t="s">
        <v>47</v>
      </c>
      <c r="V36" s="9" t="s">
        <v>63</v>
      </c>
      <c r="W36" s="9" t="s">
        <v>48</v>
      </c>
      <c r="X36" s="9" t="s">
        <v>417</v>
      </c>
      <c r="Y36" s="9" t="s">
        <v>409</v>
      </c>
      <c r="Z36" s="11">
        <v>45999</v>
      </c>
      <c r="AA36" s="9" t="s">
        <v>50</v>
      </c>
      <c r="AB36" s="9" t="s">
        <v>409</v>
      </c>
      <c r="AC36" s="11">
        <v>45999</v>
      </c>
      <c r="AD36" s="9" t="s">
        <v>50</v>
      </c>
    </row>
    <row r="37" spans="1:36" ht="22.5" customHeight="1" x14ac:dyDescent="0.2">
      <c r="A37" s="8">
        <v>45996.538249398145</v>
      </c>
      <c r="B37" s="9" t="s">
        <v>418</v>
      </c>
      <c r="C37" s="9" t="s">
        <v>419</v>
      </c>
      <c r="D37" s="9" t="s">
        <v>53</v>
      </c>
      <c r="E37" s="9" t="s">
        <v>420</v>
      </c>
      <c r="F37" s="9" t="s">
        <v>55</v>
      </c>
      <c r="G37" s="9" t="s">
        <v>35</v>
      </c>
      <c r="H37" s="9" t="s">
        <v>421</v>
      </c>
      <c r="I37" s="9" t="s">
        <v>422</v>
      </c>
      <c r="J37" s="9" t="s">
        <v>423</v>
      </c>
      <c r="K37" s="9" t="s">
        <v>166</v>
      </c>
      <c r="L37" s="9" t="s">
        <v>424</v>
      </c>
      <c r="M37" s="9" t="s">
        <v>425</v>
      </c>
      <c r="N37" s="9" t="s">
        <v>62</v>
      </c>
      <c r="O37" s="9" t="s">
        <v>43</v>
      </c>
      <c r="Q37" s="9" t="s">
        <v>112</v>
      </c>
      <c r="R37" s="9" t="s">
        <v>45</v>
      </c>
      <c r="S37" s="9" t="s">
        <v>46</v>
      </c>
      <c r="T37" s="9" t="s">
        <v>47</v>
      </c>
      <c r="V37" s="9" t="s">
        <v>47</v>
      </c>
      <c r="W37" s="9" t="s">
        <v>48</v>
      </c>
      <c r="X37" s="9" t="s">
        <v>426</v>
      </c>
      <c r="Y37" s="9" t="s">
        <v>419</v>
      </c>
      <c r="Z37" s="11">
        <v>45996</v>
      </c>
      <c r="AA37" s="9" t="s">
        <v>50</v>
      </c>
      <c r="AB37" s="9" t="s">
        <v>419</v>
      </c>
      <c r="AC37" s="11">
        <v>45996</v>
      </c>
      <c r="AD37" s="9" t="s">
        <v>50</v>
      </c>
      <c r="AE37" s="27"/>
      <c r="AF37" s="27"/>
      <c r="AG37" s="27"/>
      <c r="AH37" s="27"/>
      <c r="AI37" s="27"/>
      <c r="AJ37" s="27"/>
    </row>
    <row r="38" spans="1:36" ht="22.5" customHeight="1" x14ac:dyDescent="0.2">
      <c r="A38" s="8">
        <v>46008.593141377314</v>
      </c>
      <c r="B38" s="9" t="s">
        <v>427</v>
      </c>
      <c r="C38" s="9" t="s">
        <v>419</v>
      </c>
      <c r="D38" s="9" t="s">
        <v>53</v>
      </c>
      <c r="E38" s="9" t="s">
        <v>104</v>
      </c>
      <c r="F38" s="9" t="s">
        <v>68</v>
      </c>
      <c r="G38" s="9" t="s">
        <v>105</v>
      </c>
      <c r="H38" s="9" t="s">
        <v>428</v>
      </c>
      <c r="I38" s="9" t="s">
        <v>429</v>
      </c>
      <c r="J38" s="9" t="s">
        <v>430</v>
      </c>
      <c r="K38" s="9" t="s">
        <v>431</v>
      </c>
      <c r="L38" s="9" t="s">
        <v>432</v>
      </c>
      <c r="M38" s="9" t="s">
        <v>433</v>
      </c>
      <c r="N38" s="9" t="s">
        <v>62</v>
      </c>
      <c r="O38" s="9" t="s">
        <v>43</v>
      </c>
      <c r="Q38" s="9" t="s">
        <v>44</v>
      </c>
      <c r="R38" s="9" t="s">
        <v>45</v>
      </c>
      <c r="S38" s="9" t="s">
        <v>46</v>
      </c>
      <c r="T38" s="9" t="s">
        <v>47</v>
      </c>
      <c r="V38" s="9" t="s">
        <v>47</v>
      </c>
      <c r="W38" s="9" t="s">
        <v>48</v>
      </c>
      <c r="X38" s="9" t="s">
        <v>434</v>
      </c>
      <c r="Y38" s="9" t="s">
        <v>419</v>
      </c>
      <c r="Z38" s="11">
        <v>46008</v>
      </c>
      <c r="AA38" s="9" t="s">
        <v>50</v>
      </c>
      <c r="AB38" s="9" t="s">
        <v>419</v>
      </c>
      <c r="AC38" s="11">
        <v>46008</v>
      </c>
      <c r="AD38" s="9" t="s">
        <v>50</v>
      </c>
    </row>
    <row r="39" spans="1:36" ht="22.5" customHeight="1" x14ac:dyDescent="0.2">
      <c r="A39" s="8">
        <v>45980.597376388891</v>
      </c>
      <c r="B39" s="9" t="s">
        <v>435</v>
      </c>
      <c r="C39" s="9" t="s">
        <v>436</v>
      </c>
      <c r="D39" s="9" t="s">
        <v>53</v>
      </c>
      <c r="E39" s="10" t="s">
        <v>437</v>
      </c>
      <c r="F39" s="9" t="s">
        <v>438</v>
      </c>
      <c r="G39" s="9" t="s">
        <v>35</v>
      </c>
      <c r="H39" s="9" t="s">
        <v>439</v>
      </c>
      <c r="I39" s="9" t="s">
        <v>440</v>
      </c>
      <c r="J39" s="9" t="s">
        <v>441</v>
      </c>
      <c r="K39" s="9" t="s">
        <v>442</v>
      </c>
      <c r="L39" s="9" t="s">
        <v>443</v>
      </c>
      <c r="M39" s="9" t="s">
        <v>444</v>
      </c>
      <c r="N39" s="9" t="s">
        <v>42</v>
      </c>
      <c r="O39" s="9" t="s">
        <v>43</v>
      </c>
      <c r="Q39" s="9" t="s">
        <v>44</v>
      </c>
      <c r="R39" s="9" t="s">
        <v>303</v>
      </c>
      <c r="S39" s="9" t="s">
        <v>89</v>
      </c>
      <c r="T39" s="9" t="s">
        <v>47</v>
      </c>
      <c r="V39" s="9" t="s">
        <v>47</v>
      </c>
      <c r="W39" s="9" t="s">
        <v>48</v>
      </c>
      <c r="X39" s="9" t="s">
        <v>445</v>
      </c>
      <c r="Y39" s="9" t="s">
        <v>446</v>
      </c>
      <c r="Z39" s="11">
        <v>45980</v>
      </c>
      <c r="AA39" s="9" t="s">
        <v>50</v>
      </c>
      <c r="AB39" s="9" t="s">
        <v>446</v>
      </c>
      <c r="AC39" s="11">
        <v>45980</v>
      </c>
      <c r="AD39" s="9" t="s">
        <v>50</v>
      </c>
    </row>
    <row r="40" spans="1:36" ht="22.5" customHeight="1" x14ac:dyDescent="0.2">
      <c r="A40" s="8">
        <v>45981.723226145834</v>
      </c>
      <c r="B40" s="9" t="s">
        <v>447</v>
      </c>
      <c r="C40" s="9" t="s">
        <v>448</v>
      </c>
      <c r="D40" s="9" t="s">
        <v>53</v>
      </c>
      <c r="E40" s="10" t="s">
        <v>104</v>
      </c>
      <c r="F40" s="9" t="s">
        <v>55</v>
      </c>
      <c r="G40" s="9" t="s">
        <v>35</v>
      </c>
      <c r="H40" s="9" t="s">
        <v>449</v>
      </c>
      <c r="I40" s="9" t="s">
        <v>450</v>
      </c>
      <c r="J40" s="9" t="s">
        <v>451</v>
      </c>
      <c r="K40" s="9" t="s">
        <v>452</v>
      </c>
      <c r="L40" s="9" t="s">
        <v>453</v>
      </c>
      <c r="M40" s="9" t="s">
        <v>454</v>
      </c>
      <c r="N40" s="9" t="s">
        <v>62</v>
      </c>
      <c r="O40" s="9" t="s">
        <v>63</v>
      </c>
      <c r="P40" s="9" t="s">
        <v>455</v>
      </c>
      <c r="Q40" s="9" t="s">
        <v>44</v>
      </c>
      <c r="R40" s="9" t="s">
        <v>45</v>
      </c>
      <c r="S40" s="9" t="s">
        <v>89</v>
      </c>
      <c r="T40" s="9" t="s">
        <v>47</v>
      </c>
      <c r="V40" s="9" t="s">
        <v>47</v>
      </c>
      <c r="W40" s="9" t="s">
        <v>48</v>
      </c>
      <c r="X40" s="9" t="s">
        <v>456</v>
      </c>
      <c r="Y40" s="9" t="s">
        <v>446</v>
      </c>
      <c r="Z40" s="11">
        <v>45981</v>
      </c>
      <c r="AA40" s="9" t="s">
        <v>50</v>
      </c>
      <c r="AB40" s="9" t="s">
        <v>446</v>
      </c>
      <c r="AC40" s="11">
        <v>45981</v>
      </c>
      <c r="AD40" s="9" t="s">
        <v>50</v>
      </c>
    </row>
    <row r="41" spans="1:36" ht="22.5" customHeight="1" x14ac:dyDescent="0.2">
      <c r="A41" s="8">
        <v>45961.681596215276</v>
      </c>
      <c r="B41" s="9" t="s">
        <v>457</v>
      </c>
      <c r="C41" s="9" t="s">
        <v>458</v>
      </c>
      <c r="D41" s="9" t="s">
        <v>53</v>
      </c>
      <c r="E41" s="10" t="s">
        <v>104</v>
      </c>
      <c r="F41" s="9" t="s">
        <v>55</v>
      </c>
      <c r="G41" s="9" t="s">
        <v>105</v>
      </c>
      <c r="H41" s="9" t="s">
        <v>459</v>
      </c>
      <c r="I41" s="9" t="s">
        <v>460</v>
      </c>
      <c r="J41" s="9" t="s">
        <v>461</v>
      </c>
      <c r="K41" s="9" t="s">
        <v>462</v>
      </c>
      <c r="L41" s="9" t="s">
        <v>463</v>
      </c>
      <c r="M41" s="9" t="s">
        <v>464</v>
      </c>
      <c r="N41" s="9" t="s">
        <v>42</v>
      </c>
      <c r="O41" s="9" t="s">
        <v>43</v>
      </c>
      <c r="Q41" s="9" t="s">
        <v>44</v>
      </c>
      <c r="R41" s="9" t="s">
        <v>76</v>
      </c>
      <c r="S41" s="9" t="s">
        <v>46</v>
      </c>
      <c r="T41" s="9" t="s">
        <v>47</v>
      </c>
      <c r="V41" s="9" t="s">
        <v>47</v>
      </c>
      <c r="W41" s="9" t="s">
        <v>48</v>
      </c>
      <c r="X41" s="9" t="s">
        <v>465</v>
      </c>
      <c r="Y41" s="9" t="s">
        <v>458</v>
      </c>
      <c r="Z41" s="11">
        <v>45961</v>
      </c>
      <c r="AA41" s="9" t="s">
        <v>50</v>
      </c>
      <c r="AB41" s="9" t="s">
        <v>458</v>
      </c>
      <c r="AC41" s="11">
        <v>45961</v>
      </c>
      <c r="AD41" s="9" t="s">
        <v>50</v>
      </c>
    </row>
    <row r="42" spans="1:36" ht="22.5" customHeight="1" x14ac:dyDescent="0.2">
      <c r="A42" s="8">
        <v>45994.488352060187</v>
      </c>
      <c r="B42" s="9" t="s">
        <v>466</v>
      </c>
      <c r="C42" s="9" t="s">
        <v>467</v>
      </c>
      <c r="D42" s="9" t="s">
        <v>53</v>
      </c>
      <c r="E42" s="9" t="s">
        <v>468</v>
      </c>
      <c r="F42" s="9" t="s">
        <v>68</v>
      </c>
      <c r="G42" s="9" t="s">
        <v>35</v>
      </c>
      <c r="H42" s="9" t="s">
        <v>469</v>
      </c>
      <c r="I42" s="9" t="s">
        <v>470</v>
      </c>
      <c r="J42" s="9" t="s">
        <v>471</v>
      </c>
      <c r="K42" s="9" t="s">
        <v>472</v>
      </c>
      <c r="L42" s="9" t="s">
        <v>473</v>
      </c>
      <c r="M42" s="9" t="s">
        <v>474</v>
      </c>
      <c r="N42" s="9" t="s">
        <v>42</v>
      </c>
      <c r="O42" s="9" t="s">
        <v>63</v>
      </c>
      <c r="P42" s="9" t="s">
        <v>475</v>
      </c>
      <c r="Q42" s="9" t="s">
        <v>44</v>
      </c>
      <c r="R42" s="9" t="s">
        <v>76</v>
      </c>
      <c r="S42" s="9" t="s">
        <v>46</v>
      </c>
      <c r="T42" s="9" t="s">
        <v>63</v>
      </c>
      <c r="U42" s="9" t="s">
        <v>476</v>
      </c>
      <c r="V42" s="9" t="s">
        <v>47</v>
      </c>
      <c r="W42" s="9" t="s">
        <v>48</v>
      </c>
      <c r="X42" s="9" t="s">
        <v>477</v>
      </c>
      <c r="Y42" s="9" t="s">
        <v>467</v>
      </c>
      <c r="Z42" s="11">
        <v>45994</v>
      </c>
      <c r="AA42" s="9" t="s">
        <v>50</v>
      </c>
      <c r="AB42" s="9" t="s">
        <v>467</v>
      </c>
      <c r="AC42" s="11">
        <v>45994</v>
      </c>
      <c r="AD42" s="9" t="s">
        <v>50</v>
      </c>
    </row>
    <row r="43" spans="1:36" ht="22.5" customHeight="1" x14ac:dyDescent="0.2">
      <c r="A43" s="8">
        <v>45985.448357557871</v>
      </c>
      <c r="B43" s="9" t="s">
        <v>478</v>
      </c>
      <c r="C43" s="9" t="s">
        <v>479</v>
      </c>
      <c r="D43" s="9" t="s">
        <v>53</v>
      </c>
      <c r="E43" s="10" t="s">
        <v>480</v>
      </c>
      <c r="F43" s="9" t="s">
        <v>127</v>
      </c>
      <c r="G43" s="9" t="s">
        <v>35</v>
      </c>
      <c r="H43" s="9" t="s">
        <v>481</v>
      </c>
      <c r="I43" s="9" t="s">
        <v>482</v>
      </c>
      <c r="J43" s="9" t="s">
        <v>483</v>
      </c>
      <c r="K43" s="9" t="s">
        <v>484</v>
      </c>
      <c r="L43" s="9" t="s">
        <v>485</v>
      </c>
      <c r="M43" s="9" t="s">
        <v>486</v>
      </c>
      <c r="N43" s="9" t="s">
        <v>42</v>
      </c>
      <c r="O43" s="9" t="s">
        <v>43</v>
      </c>
      <c r="Q43" s="9" t="s">
        <v>44</v>
      </c>
      <c r="R43" s="9" t="s">
        <v>45</v>
      </c>
      <c r="S43" s="9" t="s">
        <v>89</v>
      </c>
      <c r="T43" s="9" t="s">
        <v>47</v>
      </c>
      <c r="V43" s="9" t="s">
        <v>63</v>
      </c>
      <c r="W43" s="9" t="s">
        <v>48</v>
      </c>
      <c r="X43" s="9" t="s">
        <v>487</v>
      </c>
      <c r="Y43" s="9" t="s">
        <v>479</v>
      </c>
      <c r="Z43" s="11">
        <v>45985</v>
      </c>
      <c r="AA43" s="9" t="s">
        <v>50</v>
      </c>
      <c r="AB43" s="9" t="s">
        <v>479</v>
      </c>
      <c r="AC43" s="11">
        <v>45985</v>
      </c>
      <c r="AD43" s="9" t="s">
        <v>50</v>
      </c>
    </row>
    <row r="44" spans="1:36" ht="22.5" customHeight="1" x14ac:dyDescent="0.2">
      <c r="A44" s="8">
        <v>45986.982282789351</v>
      </c>
      <c r="B44" s="9" t="s">
        <v>488</v>
      </c>
      <c r="C44" s="9" t="s">
        <v>489</v>
      </c>
      <c r="D44" s="9" t="s">
        <v>32</v>
      </c>
      <c r="E44" s="10" t="s">
        <v>33</v>
      </c>
      <c r="F44" s="9" t="s">
        <v>55</v>
      </c>
      <c r="G44" s="9" t="s">
        <v>35</v>
      </c>
      <c r="H44" s="9" t="s">
        <v>490</v>
      </c>
      <c r="I44" s="9" t="s">
        <v>491</v>
      </c>
      <c r="J44" s="9" t="s">
        <v>492</v>
      </c>
      <c r="K44" s="9" t="s">
        <v>493</v>
      </c>
      <c r="L44" s="9" t="s">
        <v>494</v>
      </c>
      <c r="M44" s="9" t="s">
        <v>495</v>
      </c>
      <c r="N44" s="9" t="s">
        <v>62</v>
      </c>
      <c r="O44" s="9" t="s">
        <v>43</v>
      </c>
      <c r="Q44" s="9" t="s">
        <v>112</v>
      </c>
      <c r="R44" s="9" t="s">
        <v>45</v>
      </c>
      <c r="S44" s="9" t="s">
        <v>46</v>
      </c>
      <c r="T44" s="9" t="s">
        <v>47</v>
      </c>
      <c r="V44" s="9" t="s">
        <v>47</v>
      </c>
      <c r="W44" s="9" t="s">
        <v>48</v>
      </c>
      <c r="X44" s="9" t="s">
        <v>496</v>
      </c>
      <c r="Y44" s="9" t="s">
        <v>489</v>
      </c>
      <c r="Z44" s="11">
        <v>45986</v>
      </c>
      <c r="AA44" s="9" t="s">
        <v>50</v>
      </c>
      <c r="AB44" s="9" t="s">
        <v>489</v>
      </c>
      <c r="AC44" s="11">
        <v>45986</v>
      </c>
      <c r="AD44" s="9" t="s">
        <v>50</v>
      </c>
    </row>
    <row r="45" spans="1:36" ht="22.5" customHeight="1" x14ac:dyDescent="0.2">
      <c r="A45" s="8">
        <v>45966.808093449072</v>
      </c>
      <c r="B45" s="9" t="s">
        <v>497</v>
      </c>
      <c r="C45" s="9" t="s">
        <v>498</v>
      </c>
      <c r="D45" s="9" t="s">
        <v>53</v>
      </c>
      <c r="E45" s="10" t="s">
        <v>499</v>
      </c>
      <c r="F45" s="9" t="s">
        <v>55</v>
      </c>
      <c r="G45" s="9" t="s">
        <v>35</v>
      </c>
      <c r="H45" s="9" t="s">
        <v>500</v>
      </c>
      <c r="I45" s="9" t="s">
        <v>501</v>
      </c>
      <c r="J45" s="9" t="s">
        <v>502</v>
      </c>
      <c r="K45" s="9" t="s">
        <v>503</v>
      </c>
      <c r="L45" s="9" t="s">
        <v>504</v>
      </c>
      <c r="M45" s="9" t="s">
        <v>505</v>
      </c>
      <c r="N45" s="9" t="s">
        <v>42</v>
      </c>
      <c r="O45" s="9" t="s">
        <v>43</v>
      </c>
      <c r="Q45" s="9" t="s">
        <v>44</v>
      </c>
      <c r="R45" s="9" t="s">
        <v>45</v>
      </c>
      <c r="S45" s="9" t="s">
        <v>387</v>
      </c>
      <c r="T45" s="9" t="s">
        <v>47</v>
      </c>
      <c r="V45" s="9" t="s">
        <v>47</v>
      </c>
      <c r="W45" s="9" t="s">
        <v>48</v>
      </c>
      <c r="X45" s="9" t="s">
        <v>506</v>
      </c>
      <c r="Y45" s="9" t="s">
        <v>498</v>
      </c>
      <c r="Z45" s="11">
        <v>45966</v>
      </c>
      <c r="AA45" s="9" t="s">
        <v>50</v>
      </c>
      <c r="AB45" s="9" t="s">
        <v>498</v>
      </c>
      <c r="AC45" s="11">
        <v>45966</v>
      </c>
      <c r="AD45" s="9" t="s">
        <v>50</v>
      </c>
    </row>
    <row r="46" spans="1:36" ht="22.5" customHeight="1" x14ac:dyDescent="0.2">
      <c r="A46" s="8">
        <v>45957.652280416667</v>
      </c>
      <c r="B46" s="9" t="s">
        <v>507</v>
      </c>
      <c r="C46" s="9" t="s">
        <v>508</v>
      </c>
      <c r="D46" s="9" t="s">
        <v>53</v>
      </c>
      <c r="E46" s="10" t="s">
        <v>318</v>
      </c>
      <c r="F46" s="9" t="s">
        <v>55</v>
      </c>
      <c r="G46" s="9" t="s">
        <v>35</v>
      </c>
      <c r="H46" s="9" t="s">
        <v>509</v>
      </c>
      <c r="I46" s="9" t="s">
        <v>510</v>
      </c>
      <c r="J46" s="9" t="s">
        <v>511</v>
      </c>
      <c r="K46" s="9" t="s">
        <v>512</v>
      </c>
      <c r="L46" s="9" t="s">
        <v>513</v>
      </c>
      <c r="M46" s="9" t="s">
        <v>514</v>
      </c>
      <c r="N46" s="9" t="s">
        <v>62</v>
      </c>
      <c r="O46" s="9" t="s">
        <v>63</v>
      </c>
      <c r="P46" s="9" t="s">
        <v>515</v>
      </c>
      <c r="Q46" s="9" t="s">
        <v>44</v>
      </c>
      <c r="R46" s="9" t="s">
        <v>45</v>
      </c>
      <c r="S46" s="9" t="s">
        <v>46</v>
      </c>
      <c r="T46" s="9" t="s">
        <v>47</v>
      </c>
      <c r="V46" s="9" t="s">
        <v>47</v>
      </c>
      <c r="W46" s="9" t="s">
        <v>48</v>
      </c>
      <c r="X46" s="9" t="s">
        <v>516</v>
      </c>
      <c r="Y46" s="9" t="s">
        <v>508</v>
      </c>
      <c r="Z46" s="11">
        <v>36927</v>
      </c>
      <c r="AA46" s="9" t="s">
        <v>50</v>
      </c>
      <c r="AB46" s="9" t="s">
        <v>508</v>
      </c>
      <c r="AC46" s="11">
        <v>36927</v>
      </c>
      <c r="AD46" s="9" t="s">
        <v>50</v>
      </c>
    </row>
    <row r="47" spans="1:36" ht="22.5" customHeight="1" x14ac:dyDescent="0.2">
      <c r="A47" s="28">
        <v>45958.68390152778</v>
      </c>
      <c r="B47" s="29" t="s">
        <v>517</v>
      </c>
      <c r="C47" s="29" t="s">
        <v>518</v>
      </c>
      <c r="D47" s="29" t="s">
        <v>53</v>
      </c>
      <c r="E47" s="30" t="s">
        <v>234</v>
      </c>
      <c r="F47" s="29" t="s">
        <v>127</v>
      </c>
      <c r="G47" s="29" t="s">
        <v>35</v>
      </c>
      <c r="H47" s="29" t="s">
        <v>519</v>
      </c>
      <c r="I47" s="29" t="s">
        <v>520</v>
      </c>
      <c r="J47" s="29" t="s">
        <v>521</v>
      </c>
      <c r="K47" s="29" t="s">
        <v>143</v>
      </c>
      <c r="L47" s="29" t="s">
        <v>522</v>
      </c>
      <c r="M47" s="29" t="s">
        <v>523</v>
      </c>
      <c r="N47" s="29" t="s">
        <v>42</v>
      </c>
      <c r="O47" s="29" t="s">
        <v>63</v>
      </c>
      <c r="P47" s="29" t="s">
        <v>524</v>
      </c>
      <c r="Q47" s="29" t="s">
        <v>44</v>
      </c>
      <c r="R47" s="29" t="s">
        <v>76</v>
      </c>
      <c r="S47" s="29" t="s">
        <v>46</v>
      </c>
      <c r="T47" s="29" t="s">
        <v>63</v>
      </c>
      <c r="U47" s="29" t="s">
        <v>525</v>
      </c>
      <c r="V47" s="29" t="s">
        <v>47</v>
      </c>
      <c r="W47" s="29" t="s">
        <v>48</v>
      </c>
      <c r="X47" s="29" t="s">
        <v>526</v>
      </c>
      <c r="Y47" s="29" t="s">
        <v>518</v>
      </c>
      <c r="Z47" s="31">
        <v>45958</v>
      </c>
      <c r="AA47" s="29" t="s">
        <v>50</v>
      </c>
      <c r="AB47" s="29" t="s">
        <v>518</v>
      </c>
      <c r="AC47" s="31">
        <v>45958</v>
      </c>
      <c r="AD47" s="29" t="s">
        <v>50</v>
      </c>
    </row>
    <row r="48" spans="1:36" ht="22.5" customHeight="1" x14ac:dyDescent="0.2">
      <c r="A48" s="8">
        <v>45989.739136643519</v>
      </c>
      <c r="B48" s="9" t="s">
        <v>527</v>
      </c>
      <c r="C48" s="9" t="s">
        <v>528</v>
      </c>
      <c r="D48" s="9" t="s">
        <v>53</v>
      </c>
      <c r="E48" s="10" t="s">
        <v>529</v>
      </c>
      <c r="F48" s="9" t="s">
        <v>55</v>
      </c>
      <c r="G48" s="9" t="s">
        <v>35</v>
      </c>
      <c r="H48" s="9" t="s">
        <v>530</v>
      </c>
      <c r="I48" s="9" t="s">
        <v>531</v>
      </c>
      <c r="J48" s="9" t="s">
        <v>532</v>
      </c>
      <c r="K48" s="9" t="s">
        <v>166</v>
      </c>
      <c r="L48" s="9" t="s">
        <v>166</v>
      </c>
      <c r="M48" s="9" t="s">
        <v>533</v>
      </c>
      <c r="N48" s="9" t="s">
        <v>62</v>
      </c>
      <c r="O48" s="9" t="s">
        <v>43</v>
      </c>
      <c r="Q48" s="9" t="s">
        <v>44</v>
      </c>
      <c r="R48" s="9" t="s">
        <v>45</v>
      </c>
      <c r="S48" s="9" t="s">
        <v>46</v>
      </c>
      <c r="T48" s="9" t="s">
        <v>63</v>
      </c>
      <c r="U48" s="9" t="s">
        <v>534</v>
      </c>
      <c r="V48" s="9" t="s">
        <v>47</v>
      </c>
      <c r="W48" s="9" t="s">
        <v>48</v>
      </c>
      <c r="X48" s="9" t="s">
        <v>535</v>
      </c>
      <c r="Y48" s="9" t="s">
        <v>528</v>
      </c>
      <c r="Z48" s="11">
        <v>45989</v>
      </c>
      <c r="AA48" s="9" t="s">
        <v>50</v>
      </c>
      <c r="AB48" s="9" t="s">
        <v>528</v>
      </c>
      <c r="AC48" s="11">
        <v>45989</v>
      </c>
      <c r="AD48" s="9" t="s">
        <v>50</v>
      </c>
    </row>
    <row r="49" spans="1:30" ht="22.5" customHeight="1" x14ac:dyDescent="0.2">
      <c r="A49" s="8">
        <v>46007.742776585648</v>
      </c>
      <c r="B49" s="9" t="s">
        <v>536</v>
      </c>
      <c r="C49" s="9" t="s">
        <v>537</v>
      </c>
      <c r="D49" s="9" t="s">
        <v>53</v>
      </c>
      <c r="E49" s="9" t="s">
        <v>538</v>
      </c>
      <c r="F49" s="9" t="s">
        <v>68</v>
      </c>
      <c r="G49" s="9" t="s">
        <v>35</v>
      </c>
      <c r="H49" s="9" t="s">
        <v>539</v>
      </c>
      <c r="I49" s="9" t="s">
        <v>540</v>
      </c>
      <c r="J49" s="9" t="s">
        <v>541</v>
      </c>
      <c r="K49" s="9" t="s">
        <v>542</v>
      </c>
      <c r="L49" s="9" t="s">
        <v>543</v>
      </c>
      <c r="M49" s="9" t="s">
        <v>544</v>
      </c>
      <c r="N49" s="9" t="s">
        <v>42</v>
      </c>
      <c r="O49" s="9" t="s">
        <v>63</v>
      </c>
      <c r="P49" s="9" t="s">
        <v>545</v>
      </c>
      <c r="Q49" s="9" t="s">
        <v>44</v>
      </c>
      <c r="R49" s="9" t="s">
        <v>76</v>
      </c>
      <c r="S49" s="9" t="s">
        <v>89</v>
      </c>
      <c r="T49" s="9" t="s">
        <v>47</v>
      </c>
      <c r="V49" s="9" t="s">
        <v>47</v>
      </c>
      <c r="W49" s="9" t="s">
        <v>406</v>
      </c>
      <c r="X49" s="9" t="s">
        <v>546</v>
      </c>
      <c r="Y49" s="9" t="s">
        <v>537</v>
      </c>
      <c r="Z49" s="11">
        <v>46007</v>
      </c>
      <c r="AA49" s="9" t="s">
        <v>50</v>
      </c>
      <c r="AB49" s="9" t="s">
        <v>537</v>
      </c>
      <c r="AC49" s="11">
        <v>46007</v>
      </c>
      <c r="AD49" s="9" t="s">
        <v>50</v>
      </c>
    </row>
    <row r="50" spans="1:30" ht="22.5" customHeight="1" x14ac:dyDescent="0.2">
      <c r="A50" s="8">
        <v>45979.5913678125</v>
      </c>
      <c r="B50" s="9" t="s">
        <v>547</v>
      </c>
      <c r="C50" s="9" t="s">
        <v>548</v>
      </c>
      <c r="D50" s="9" t="s">
        <v>53</v>
      </c>
      <c r="E50" s="10" t="s">
        <v>139</v>
      </c>
      <c r="F50" s="9" t="s">
        <v>55</v>
      </c>
      <c r="G50" s="9" t="s">
        <v>35</v>
      </c>
      <c r="H50" s="9" t="s">
        <v>549</v>
      </c>
      <c r="I50" s="9" t="s">
        <v>550</v>
      </c>
      <c r="J50" s="9" t="s">
        <v>551</v>
      </c>
      <c r="K50" s="9" t="s">
        <v>166</v>
      </c>
      <c r="L50" s="9" t="s">
        <v>552</v>
      </c>
      <c r="M50" s="9" t="s">
        <v>553</v>
      </c>
      <c r="N50" s="9" t="s">
        <v>42</v>
      </c>
      <c r="O50" s="9" t="s">
        <v>43</v>
      </c>
      <c r="Q50" s="9" t="s">
        <v>44</v>
      </c>
      <c r="R50" s="9" t="s">
        <v>45</v>
      </c>
      <c r="S50" s="9" t="s">
        <v>46</v>
      </c>
      <c r="T50" s="9" t="s">
        <v>63</v>
      </c>
      <c r="U50" s="9" t="s">
        <v>554</v>
      </c>
      <c r="V50" s="9" t="s">
        <v>63</v>
      </c>
      <c r="W50" s="9" t="s">
        <v>555</v>
      </c>
      <c r="X50" s="9" t="s">
        <v>556</v>
      </c>
      <c r="Y50" s="9" t="s">
        <v>548</v>
      </c>
      <c r="Z50" s="11">
        <v>45979</v>
      </c>
      <c r="AA50" s="9" t="s">
        <v>50</v>
      </c>
      <c r="AB50" s="9" t="s">
        <v>548</v>
      </c>
      <c r="AC50" s="11">
        <v>45979</v>
      </c>
      <c r="AD50" s="9" t="s">
        <v>50</v>
      </c>
    </row>
    <row r="51" spans="1:30" ht="22.5" customHeight="1" x14ac:dyDescent="0.2">
      <c r="A51" s="8">
        <v>46007.640380729164</v>
      </c>
      <c r="B51" s="9" t="s">
        <v>557</v>
      </c>
      <c r="C51" s="9" t="s">
        <v>558</v>
      </c>
      <c r="D51" s="9" t="s">
        <v>32</v>
      </c>
      <c r="E51" s="9" t="s">
        <v>559</v>
      </c>
      <c r="F51" s="9" t="s">
        <v>55</v>
      </c>
      <c r="G51" s="9" t="s">
        <v>35</v>
      </c>
      <c r="H51" s="9" t="s">
        <v>560</v>
      </c>
      <c r="I51" s="9" t="s">
        <v>561</v>
      </c>
      <c r="J51" s="9" t="s">
        <v>562</v>
      </c>
      <c r="K51" s="9" t="s">
        <v>563</v>
      </c>
      <c r="L51" s="9" t="s">
        <v>187</v>
      </c>
      <c r="M51" s="9" t="s">
        <v>564</v>
      </c>
      <c r="N51" s="9" t="s">
        <v>42</v>
      </c>
      <c r="O51" s="9" t="s">
        <v>43</v>
      </c>
      <c r="Q51" s="9" t="s">
        <v>386</v>
      </c>
      <c r="R51" s="9" t="s">
        <v>76</v>
      </c>
      <c r="S51" s="9" t="s">
        <v>89</v>
      </c>
      <c r="T51" s="9" t="s">
        <v>63</v>
      </c>
      <c r="U51" s="9" t="s">
        <v>534</v>
      </c>
      <c r="V51" s="9" t="s">
        <v>47</v>
      </c>
      <c r="W51" s="9" t="s">
        <v>565</v>
      </c>
      <c r="X51" s="9" t="s">
        <v>566</v>
      </c>
      <c r="Y51" s="9" t="s">
        <v>558</v>
      </c>
      <c r="Z51" s="11">
        <v>46007</v>
      </c>
      <c r="AA51" s="9" t="s">
        <v>50</v>
      </c>
      <c r="AB51" s="9" t="s">
        <v>558</v>
      </c>
      <c r="AC51" s="11">
        <v>46007</v>
      </c>
      <c r="AD51" s="9" t="s">
        <v>50</v>
      </c>
    </row>
    <row r="52" spans="1:30" ht="22.5" customHeight="1" x14ac:dyDescent="0.2">
      <c r="A52" s="8">
        <v>45980.488506909722</v>
      </c>
      <c r="B52" s="9" t="s">
        <v>567</v>
      </c>
      <c r="C52" s="9" t="s">
        <v>568</v>
      </c>
      <c r="D52" s="9" t="s">
        <v>53</v>
      </c>
      <c r="E52" s="10" t="s">
        <v>569</v>
      </c>
      <c r="F52" s="9" t="s">
        <v>570</v>
      </c>
      <c r="G52" s="9" t="s">
        <v>35</v>
      </c>
      <c r="H52" s="9" t="s">
        <v>571</v>
      </c>
      <c r="I52" s="9" t="s">
        <v>572</v>
      </c>
      <c r="J52" s="9" t="s">
        <v>573</v>
      </c>
      <c r="K52" s="9" t="s">
        <v>574</v>
      </c>
      <c r="L52" s="9" t="s">
        <v>575</v>
      </c>
      <c r="M52" s="9" t="s">
        <v>576</v>
      </c>
      <c r="N52" s="9" t="s">
        <v>42</v>
      </c>
      <c r="O52" s="9" t="s">
        <v>43</v>
      </c>
      <c r="Q52" s="9" t="s">
        <v>44</v>
      </c>
      <c r="R52" s="9" t="s">
        <v>45</v>
      </c>
      <c r="S52" s="9" t="s">
        <v>46</v>
      </c>
      <c r="T52" s="9" t="s">
        <v>47</v>
      </c>
      <c r="V52" s="9" t="s">
        <v>47</v>
      </c>
      <c r="W52" s="9" t="s">
        <v>48</v>
      </c>
      <c r="X52" s="9" t="s">
        <v>577</v>
      </c>
      <c r="Y52" s="9" t="s">
        <v>568</v>
      </c>
      <c r="Z52" s="11">
        <v>45980</v>
      </c>
      <c r="AA52" s="9" t="s">
        <v>50</v>
      </c>
      <c r="AB52" s="9" t="s">
        <v>568</v>
      </c>
      <c r="AC52" s="11">
        <v>45980</v>
      </c>
      <c r="AD52" s="9" t="s">
        <v>50</v>
      </c>
    </row>
    <row r="53" spans="1:30" ht="22.5" customHeight="1" x14ac:dyDescent="0.2">
      <c r="A53" s="8">
        <v>45966.709451562499</v>
      </c>
      <c r="B53" s="9" t="s">
        <v>578</v>
      </c>
      <c r="C53" s="9" t="s">
        <v>579</v>
      </c>
      <c r="D53" s="9" t="s">
        <v>53</v>
      </c>
      <c r="E53" s="10" t="s">
        <v>33</v>
      </c>
      <c r="F53" s="9" t="s">
        <v>68</v>
      </c>
      <c r="G53" s="9" t="s">
        <v>35</v>
      </c>
      <c r="H53" s="9" t="s">
        <v>580</v>
      </c>
      <c r="I53" s="9" t="s">
        <v>581</v>
      </c>
      <c r="J53" s="9" t="s">
        <v>582</v>
      </c>
      <c r="K53" s="9" t="s">
        <v>583</v>
      </c>
      <c r="L53" s="9" t="s">
        <v>584</v>
      </c>
      <c r="M53" s="9" t="s">
        <v>585</v>
      </c>
      <c r="N53" s="9" t="s">
        <v>62</v>
      </c>
      <c r="O53" s="9" t="s">
        <v>63</v>
      </c>
      <c r="P53" s="9" t="s">
        <v>586</v>
      </c>
      <c r="Q53" s="9" t="s">
        <v>44</v>
      </c>
      <c r="R53" s="9" t="s">
        <v>76</v>
      </c>
      <c r="S53" s="9" t="s">
        <v>89</v>
      </c>
      <c r="T53" s="9" t="s">
        <v>63</v>
      </c>
      <c r="U53" s="9" t="s">
        <v>587</v>
      </c>
      <c r="V53" s="9" t="s">
        <v>47</v>
      </c>
      <c r="W53" s="9" t="s">
        <v>48</v>
      </c>
      <c r="X53" s="9" t="s">
        <v>588</v>
      </c>
      <c r="Y53" s="9" t="s">
        <v>579</v>
      </c>
      <c r="Z53" s="11">
        <v>45966</v>
      </c>
      <c r="AA53" s="9" t="s">
        <v>50</v>
      </c>
      <c r="AB53" s="9" t="s">
        <v>579</v>
      </c>
      <c r="AC53" s="11">
        <v>45966</v>
      </c>
      <c r="AD53" s="9" t="s">
        <v>50</v>
      </c>
    </row>
    <row r="54" spans="1:30" ht="22.5" customHeight="1" x14ac:dyDescent="0.2">
      <c r="A54" s="8">
        <v>45982.796522037039</v>
      </c>
      <c r="B54" s="9" t="s">
        <v>589</v>
      </c>
      <c r="C54" s="9" t="s">
        <v>590</v>
      </c>
      <c r="D54" s="9" t="s">
        <v>32</v>
      </c>
      <c r="E54" s="10" t="s">
        <v>104</v>
      </c>
      <c r="F54" s="9" t="s">
        <v>68</v>
      </c>
      <c r="G54" s="9" t="s">
        <v>35</v>
      </c>
      <c r="H54" s="9" t="s">
        <v>591</v>
      </c>
      <c r="I54" s="9" t="s">
        <v>592</v>
      </c>
      <c r="J54" s="9" t="s">
        <v>593</v>
      </c>
      <c r="K54" s="9" t="s">
        <v>594</v>
      </c>
      <c r="L54" s="9" t="s">
        <v>595</v>
      </c>
      <c r="M54" s="9" t="s">
        <v>596</v>
      </c>
      <c r="N54" s="9" t="s">
        <v>42</v>
      </c>
      <c r="O54" s="9" t="s">
        <v>43</v>
      </c>
      <c r="Q54" s="9" t="s">
        <v>44</v>
      </c>
      <c r="R54" s="9" t="s">
        <v>45</v>
      </c>
      <c r="S54" s="9" t="s">
        <v>46</v>
      </c>
      <c r="T54" s="9" t="s">
        <v>63</v>
      </c>
      <c r="U54" s="9" t="s">
        <v>597</v>
      </c>
      <c r="V54" s="9" t="s">
        <v>47</v>
      </c>
      <c r="W54" s="9" t="s">
        <v>48</v>
      </c>
      <c r="X54" s="9" t="s">
        <v>598</v>
      </c>
      <c r="Y54" s="9" t="s">
        <v>590</v>
      </c>
      <c r="Z54" s="11">
        <v>45982</v>
      </c>
      <c r="AA54" s="9" t="s">
        <v>50</v>
      </c>
      <c r="AB54" s="9" t="s">
        <v>590</v>
      </c>
      <c r="AC54" s="11">
        <v>45982</v>
      </c>
      <c r="AD54" s="9" t="s">
        <v>50</v>
      </c>
    </row>
    <row r="55" spans="1:30" ht="22.5" customHeight="1" x14ac:dyDescent="0.2">
      <c r="A55" s="8">
        <v>45986.623531122685</v>
      </c>
      <c r="B55" s="9" t="s">
        <v>599</v>
      </c>
      <c r="C55" s="9" t="s">
        <v>600</v>
      </c>
      <c r="D55" s="9" t="s">
        <v>53</v>
      </c>
      <c r="E55" s="10" t="s">
        <v>601</v>
      </c>
      <c r="F55" s="9" t="s">
        <v>68</v>
      </c>
      <c r="G55" s="9" t="s">
        <v>35</v>
      </c>
      <c r="H55" s="9" t="s">
        <v>602</v>
      </c>
      <c r="I55" s="9" t="s">
        <v>603</v>
      </c>
      <c r="J55" s="9" t="s">
        <v>604</v>
      </c>
      <c r="K55" s="9" t="s">
        <v>605</v>
      </c>
      <c r="L55" s="9" t="s">
        <v>606</v>
      </c>
      <c r="M55" s="9" t="s">
        <v>607</v>
      </c>
      <c r="N55" s="9" t="s">
        <v>42</v>
      </c>
      <c r="O55" s="9" t="s">
        <v>63</v>
      </c>
      <c r="P55" s="9" t="s">
        <v>608</v>
      </c>
      <c r="Q55" s="9" t="s">
        <v>386</v>
      </c>
      <c r="R55" s="9" t="s">
        <v>45</v>
      </c>
      <c r="S55" s="9" t="s">
        <v>46</v>
      </c>
      <c r="T55" s="9" t="s">
        <v>63</v>
      </c>
      <c r="U55" s="9" t="s">
        <v>609</v>
      </c>
      <c r="V55" s="9" t="s">
        <v>63</v>
      </c>
      <c r="W55" s="9" t="s">
        <v>48</v>
      </c>
      <c r="X55" s="9" t="s">
        <v>610</v>
      </c>
      <c r="Y55" s="9" t="s">
        <v>600</v>
      </c>
      <c r="Z55" s="11">
        <v>45986</v>
      </c>
      <c r="AA55" s="9" t="s">
        <v>50</v>
      </c>
      <c r="AB55" s="9" t="s">
        <v>600</v>
      </c>
      <c r="AC55" s="11">
        <v>45986</v>
      </c>
      <c r="AD55" s="9" t="s">
        <v>50</v>
      </c>
    </row>
    <row r="56" spans="1:30" ht="22.5" customHeight="1" x14ac:dyDescent="0.2">
      <c r="A56" s="8">
        <v>46000.738302534723</v>
      </c>
      <c r="B56" s="9" t="s">
        <v>611</v>
      </c>
      <c r="C56" s="9" t="s">
        <v>612</v>
      </c>
      <c r="D56" s="9" t="s">
        <v>53</v>
      </c>
      <c r="E56" s="9" t="s">
        <v>139</v>
      </c>
      <c r="F56" s="9" t="s">
        <v>55</v>
      </c>
      <c r="G56" s="9" t="s">
        <v>35</v>
      </c>
      <c r="H56" s="9" t="s">
        <v>613</v>
      </c>
      <c r="I56" s="9" t="s">
        <v>614</v>
      </c>
      <c r="J56" s="9" t="s">
        <v>615</v>
      </c>
      <c r="K56" s="9" t="s">
        <v>616</v>
      </c>
      <c r="L56" s="9" t="s">
        <v>617</v>
      </c>
      <c r="M56" s="9" t="s">
        <v>618</v>
      </c>
      <c r="N56" s="9" t="s">
        <v>42</v>
      </c>
      <c r="O56" s="9" t="s">
        <v>43</v>
      </c>
      <c r="Q56" s="9" t="s">
        <v>75</v>
      </c>
      <c r="R56" s="9" t="s">
        <v>45</v>
      </c>
      <c r="S56" s="9" t="s">
        <v>46</v>
      </c>
      <c r="T56" s="9" t="s">
        <v>47</v>
      </c>
      <c r="V56" s="9" t="s">
        <v>47</v>
      </c>
      <c r="W56" s="9" t="s">
        <v>48</v>
      </c>
      <c r="X56" s="9" t="s">
        <v>619</v>
      </c>
      <c r="Y56" s="9" t="s">
        <v>612</v>
      </c>
      <c r="Z56" s="11">
        <v>46000</v>
      </c>
      <c r="AA56" s="9" t="s">
        <v>50</v>
      </c>
      <c r="AB56" s="9" t="s">
        <v>620</v>
      </c>
      <c r="AC56" s="11">
        <v>46000</v>
      </c>
      <c r="AD56" s="9" t="s">
        <v>50</v>
      </c>
    </row>
    <row r="57" spans="1:30" ht="22.5" customHeight="1" x14ac:dyDescent="0.2">
      <c r="A57" s="8">
        <v>45979.92500758102</v>
      </c>
      <c r="B57" s="9" t="s">
        <v>621</v>
      </c>
      <c r="C57" s="9" t="s">
        <v>622</v>
      </c>
      <c r="D57" s="9" t="s">
        <v>53</v>
      </c>
      <c r="E57" s="10" t="s">
        <v>623</v>
      </c>
      <c r="F57" s="9" t="s">
        <v>55</v>
      </c>
      <c r="G57" s="9" t="s">
        <v>35</v>
      </c>
      <c r="H57" s="9" t="s">
        <v>624</v>
      </c>
      <c r="I57" s="9" t="s">
        <v>625</v>
      </c>
      <c r="J57" s="9" t="s">
        <v>626</v>
      </c>
      <c r="K57" s="9" t="s">
        <v>166</v>
      </c>
      <c r="L57" s="9" t="s">
        <v>627</v>
      </c>
      <c r="M57" s="9" t="s">
        <v>628</v>
      </c>
      <c r="N57" s="9" t="s">
        <v>62</v>
      </c>
      <c r="O57" s="9" t="s">
        <v>63</v>
      </c>
      <c r="P57" s="9" t="s">
        <v>629</v>
      </c>
      <c r="Q57" s="9" t="s">
        <v>75</v>
      </c>
      <c r="R57" s="9" t="s">
        <v>76</v>
      </c>
      <c r="S57" s="9" t="s">
        <v>77</v>
      </c>
      <c r="T57" s="9" t="s">
        <v>63</v>
      </c>
      <c r="U57" s="9" t="s">
        <v>630</v>
      </c>
      <c r="V57" s="9" t="s">
        <v>47</v>
      </c>
      <c r="W57" s="9" t="s">
        <v>48</v>
      </c>
      <c r="X57" s="9" t="s">
        <v>631</v>
      </c>
      <c r="Y57" s="9" t="s">
        <v>622</v>
      </c>
      <c r="Z57" s="11">
        <v>45979</v>
      </c>
      <c r="AA57" s="9" t="s">
        <v>50</v>
      </c>
      <c r="AB57" s="9" t="s">
        <v>622</v>
      </c>
      <c r="AC57" s="11">
        <v>45979</v>
      </c>
      <c r="AD57" s="9" t="s">
        <v>50</v>
      </c>
    </row>
    <row r="58" spans="1:30" ht="22.5" customHeight="1" x14ac:dyDescent="0.2">
      <c r="A58" s="8">
        <v>46009.65476740741</v>
      </c>
      <c r="B58" s="9" t="s">
        <v>632</v>
      </c>
      <c r="C58" s="9" t="s">
        <v>633</v>
      </c>
      <c r="D58" s="9" t="s">
        <v>53</v>
      </c>
      <c r="E58" s="9" t="s">
        <v>139</v>
      </c>
      <c r="F58" s="9" t="s">
        <v>55</v>
      </c>
      <c r="G58" s="9" t="s">
        <v>105</v>
      </c>
      <c r="H58" s="9" t="s">
        <v>634</v>
      </c>
      <c r="I58" s="9" t="s">
        <v>635</v>
      </c>
      <c r="J58" s="9" t="s">
        <v>636</v>
      </c>
      <c r="K58" s="9" t="s">
        <v>166</v>
      </c>
      <c r="L58" s="9" t="s">
        <v>637</v>
      </c>
      <c r="M58" s="9" t="s">
        <v>638</v>
      </c>
      <c r="N58" s="9" t="s">
        <v>42</v>
      </c>
      <c r="O58" s="9" t="s">
        <v>43</v>
      </c>
      <c r="Q58" s="9" t="s">
        <v>44</v>
      </c>
      <c r="R58" s="9" t="s">
        <v>76</v>
      </c>
      <c r="S58" s="9" t="s">
        <v>46</v>
      </c>
      <c r="T58" s="9" t="s">
        <v>47</v>
      </c>
      <c r="V58" s="9" t="s">
        <v>63</v>
      </c>
      <c r="W58" s="9" t="s">
        <v>48</v>
      </c>
      <c r="X58" s="9" t="s">
        <v>639</v>
      </c>
      <c r="Y58" s="9" t="s">
        <v>633</v>
      </c>
      <c r="Z58" s="11">
        <v>46009</v>
      </c>
      <c r="AA58" s="9" t="s">
        <v>50</v>
      </c>
      <c r="AB58" s="9" t="s">
        <v>633</v>
      </c>
      <c r="AC58" s="11">
        <v>46009</v>
      </c>
      <c r="AD58" s="9" t="s">
        <v>50</v>
      </c>
    </row>
    <row r="59" spans="1:30" ht="22.5" customHeight="1" x14ac:dyDescent="0.2">
      <c r="A59" s="8">
        <v>45964.88002423611</v>
      </c>
      <c r="B59" s="9" t="s">
        <v>640</v>
      </c>
      <c r="C59" s="9" t="s">
        <v>641</v>
      </c>
      <c r="D59" s="9" t="s">
        <v>32</v>
      </c>
      <c r="E59" s="10" t="s">
        <v>642</v>
      </c>
      <c r="F59" s="9" t="s">
        <v>55</v>
      </c>
      <c r="G59" s="9" t="s">
        <v>35</v>
      </c>
      <c r="H59" s="9" t="s">
        <v>643</v>
      </c>
      <c r="I59" s="9" t="s">
        <v>644</v>
      </c>
      <c r="J59" s="9" t="s">
        <v>645</v>
      </c>
      <c r="K59" s="9" t="s">
        <v>646</v>
      </c>
      <c r="L59" s="9" t="s">
        <v>647</v>
      </c>
      <c r="M59" s="9" t="s">
        <v>648</v>
      </c>
      <c r="N59" s="9" t="s">
        <v>62</v>
      </c>
      <c r="O59" s="9" t="s">
        <v>63</v>
      </c>
      <c r="P59" s="9" t="s">
        <v>649</v>
      </c>
      <c r="Q59" s="9" t="s">
        <v>44</v>
      </c>
      <c r="R59" s="9" t="s">
        <v>169</v>
      </c>
      <c r="S59" s="9" t="s">
        <v>46</v>
      </c>
      <c r="T59" s="9" t="s">
        <v>47</v>
      </c>
      <c r="V59" s="9" t="s">
        <v>63</v>
      </c>
      <c r="W59" s="9" t="s">
        <v>650</v>
      </c>
      <c r="X59" s="9" t="s">
        <v>651</v>
      </c>
      <c r="Y59" s="9" t="s">
        <v>641</v>
      </c>
      <c r="Z59" s="11">
        <v>45964</v>
      </c>
      <c r="AA59" s="9" t="s">
        <v>50</v>
      </c>
      <c r="AB59" s="9" t="s">
        <v>641</v>
      </c>
      <c r="AC59" s="11">
        <v>45964</v>
      </c>
      <c r="AD59" s="9" t="s">
        <v>50</v>
      </c>
    </row>
    <row r="60" spans="1:30" ht="22.5" customHeight="1" x14ac:dyDescent="0.2">
      <c r="A60" s="8">
        <v>45986.809265185184</v>
      </c>
      <c r="B60" s="9" t="s">
        <v>652</v>
      </c>
      <c r="C60" s="9" t="s">
        <v>653</v>
      </c>
      <c r="D60" s="9" t="s">
        <v>53</v>
      </c>
      <c r="E60" s="10" t="s">
        <v>654</v>
      </c>
      <c r="F60" s="9" t="s">
        <v>68</v>
      </c>
      <c r="G60" s="9" t="s">
        <v>35</v>
      </c>
      <c r="H60" s="9" t="s">
        <v>655</v>
      </c>
      <c r="I60" s="9" t="s">
        <v>656</v>
      </c>
      <c r="J60" s="9" t="s">
        <v>657</v>
      </c>
      <c r="K60" s="9" t="s">
        <v>658</v>
      </c>
      <c r="L60" s="9" t="s">
        <v>659</v>
      </c>
      <c r="M60" s="9" t="s">
        <v>660</v>
      </c>
      <c r="N60" s="9" t="s">
        <v>62</v>
      </c>
      <c r="O60" s="9" t="s">
        <v>63</v>
      </c>
      <c r="P60" s="9" t="s">
        <v>661</v>
      </c>
      <c r="Q60" s="9" t="s">
        <v>44</v>
      </c>
      <c r="R60" s="9" t="s">
        <v>45</v>
      </c>
      <c r="S60" s="9" t="s">
        <v>387</v>
      </c>
      <c r="T60" s="9" t="s">
        <v>47</v>
      </c>
      <c r="U60" s="9" t="s">
        <v>662</v>
      </c>
      <c r="V60" s="9" t="s">
        <v>47</v>
      </c>
      <c r="W60" s="9" t="s">
        <v>663</v>
      </c>
      <c r="X60" s="9" t="s">
        <v>664</v>
      </c>
      <c r="Y60" s="9" t="s">
        <v>653</v>
      </c>
      <c r="Z60" s="11">
        <v>45986</v>
      </c>
      <c r="AA60" s="9" t="s">
        <v>50</v>
      </c>
      <c r="AB60" s="9" t="s">
        <v>653</v>
      </c>
      <c r="AC60" s="11">
        <v>45986</v>
      </c>
      <c r="AD60" s="9" t="s">
        <v>50</v>
      </c>
    </row>
    <row r="61" spans="1:30" ht="22.5" customHeight="1" x14ac:dyDescent="0.2">
      <c r="A61" s="8">
        <v>45974.73902267361</v>
      </c>
      <c r="B61" s="9" t="s">
        <v>665</v>
      </c>
      <c r="C61" s="9" t="s">
        <v>666</v>
      </c>
      <c r="D61" s="9" t="s">
        <v>53</v>
      </c>
      <c r="E61" s="10" t="s">
        <v>139</v>
      </c>
      <c r="F61" s="9" t="s">
        <v>55</v>
      </c>
      <c r="G61" s="9" t="s">
        <v>35</v>
      </c>
      <c r="H61" s="9" t="s">
        <v>667</v>
      </c>
      <c r="I61" s="9" t="s">
        <v>668</v>
      </c>
      <c r="J61" s="9" t="s">
        <v>669</v>
      </c>
      <c r="K61" s="9" t="s">
        <v>670</v>
      </c>
      <c r="L61" s="9" t="s">
        <v>671</v>
      </c>
      <c r="M61" s="9" t="s">
        <v>672</v>
      </c>
      <c r="N61" s="9" t="s">
        <v>42</v>
      </c>
      <c r="O61" s="9" t="s">
        <v>63</v>
      </c>
      <c r="Q61" s="9" t="s">
        <v>44</v>
      </c>
      <c r="R61" s="9" t="s">
        <v>45</v>
      </c>
      <c r="S61" s="9" t="s">
        <v>46</v>
      </c>
      <c r="T61" s="9" t="s">
        <v>47</v>
      </c>
      <c r="V61" s="9" t="s">
        <v>63</v>
      </c>
      <c r="W61" s="9" t="s">
        <v>406</v>
      </c>
      <c r="X61" s="9" t="s">
        <v>673</v>
      </c>
      <c r="Y61" s="9" t="s">
        <v>666</v>
      </c>
      <c r="Z61" s="11">
        <v>45974</v>
      </c>
      <c r="AA61" s="9" t="s">
        <v>50</v>
      </c>
      <c r="AB61" s="9" t="s">
        <v>666</v>
      </c>
      <c r="AC61" s="11">
        <v>45974</v>
      </c>
      <c r="AD61" s="9" t="s">
        <v>50</v>
      </c>
    </row>
    <row r="62" spans="1:30" ht="22.5" customHeight="1" x14ac:dyDescent="0.2">
      <c r="A62" s="8">
        <v>45993.073136898151</v>
      </c>
      <c r="B62" s="9" t="s">
        <v>674</v>
      </c>
      <c r="C62" s="9" t="s">
        <v>675</v>
      </c>
      <c r="D62" s="9" t="s">
        <v>53</v>
      </c>
      <c r="E62" s="9" t="s">
        <v>676</v>
      </c>
      <c r="F62" s="9" t="s">
        <v>55</v>
      </c>
      <c r="G62" s="9" t="s">
        <v>35</v>
      </c>
      <c r="H62" s="9" t="s">
        <v>677</v>
      </c>
      <c r="I62" s="9" t="s">
        <v>678</v>
      </c>
      <c r="J62" s="9" t="s">
        <v>679</v>
      </c>
      <c r="K62" s="9" t="s">
        <v>680</v>
      </c>
      <c r="L62" s="9" t="s">
        <v>681</v>
      </c>
      <c r="M62" s="9" t="s">
        <v>682</v>
      </c>
      <c r="N62" s="9" t="s">
        <v>62</v>
      </c>
      <c r="O62" s="9" t="s">
        <v>43</v>
      </c>
      <c r="Q62" s="9" t="s">
        <v>44</v>
      </c>
      <c r="R62" s="9" t="s">
        <v>45</v>
      </c>
      <c r="S62" s="9" t="s">
        <v>77</v>
      </c>
      <c r="T62" s="9" t="s">
        <v>47</v>
      </c>
      <c r="V62" s="9" t="s">
        <v>47</v>
      </c>
      <c r="W62" s="9" t="s">
        <v>48</v>
      </c>
      <c r="X62" s="9" t="s">
        <v>683</v>
      </c>
      <c r="Y62" s="9" t="s">
        <v>675</v>
      </c>
      <c r="Z62" s="11">
        <v>45993</v>
      </c>
      <c r="AA62" s="9" t="s">
        <v>50</v>
      </c>
      <c r="AB62" s="9" t="s">
        <v>675</v>
      </c>
      <c r="AC62" s="11">
        <v>45993</v>
      </c>
      <c r="AD62" s="9" t="s">
        <v>50</v>
      </c>
    </row>
    <row r="63" spans="1:30" ht="22.5" customHeight="1" x14ac:dyDescent="0.2">
      <c r="A63" s="8">
        <v>45980.575517037039</v>
      </c>
      <c r="B63" s="9" t="s">
        <v>684</v>
      </c>
      <c r="C63" s="9" t="s">
        <v>685</v>
      </c>
      <c r="D63" s="9" t="s">
        <v>53</v>
      </c>
      <c r="E63" s="10" t="s">
        <v>162</v>
      </c>
      <c r="F63" s="9" t="s">
        <v>391</v>
      </c>
      <c r="G63" s="9" t="s">
        <v>35</v>
      </c>
      <c r="H63" s="9" t="s">
        <v>686</v>
      </c>
      <c r="I63" s="9" t="s">
        <v>687</v>
      </c>
      <c r="J63" s="9" t="s">
        <v>688</v>
      </c>
      <c r="K63" s="9" t="s">
        <v>143</v>
      </c>
      <c r="L63" s="9" t="s">
        <v>689</v>
      </c>
      <c r="M63" s="9" t="s">
        <v>690</v>
      </c>
      <c r="N63" s="9" t="s">
        <v>62</v>
      </c>
      <c r="O63" s="9" t="s">
        <v>43</v>
      </c>
      <c r="Q63" s="9" t="s">
        <v>44</v>
      </c>
      <c r="R63" s="9" t="s">
        <v>45</v>
      </c>
      <c r="S63" s="9" t="s">
        <v>46</v>
      </c>
      <c r="T63" s="9" t="s">
        <v>63</v>
      </c>
      <c r="U63" s="9" t="s">
        <v>691</v>
      </c>
      <c r="V63" s="9" t="s">
        <v>47</v>
      </c>
      <c r="W63" s="9" t="s">
        <v>48</v>
      </c>
      <c r="X63" s="9" t="s">
        <v>692</v>
      </c>
      <c r="Y63" s="9" t="s">
        <v>685</v>
      </c>
      <c r="Z63" s="11">
        <v>45980</v>
      </c>
      <c r="AA63" s="9" t="s">
        <v>50</v>
      </c>
      <c r="AB63" s="9" t="s">
        <v>685</v>
      </c>
      <c r="AC63" s="11">
        <v>45980</v>
      </c>
      <c r="AD63" s="9" t="s">
        <v>50</v>
      </c>
    </row>
    <row r="64" spans="1:30" ht="22.5" customHeight="1" x14ac:dyDescent="0.2">
      <c r="A64" s="4">
        <v>45946.533371064812</v>
      </c>
      <c r="B64" s="5" t="s">
        <v>693</v>
      </c>
      <c r="C64" s="5" t="s">
        <v>694</v>
      </c>
      <c r="D64" s="5" t="s">
        <v>53</v>
      </c>
      <c r="E64" s="6" t="s">
        <v>695</v>
      </c>
      <c r="F64" s="5" t="s">
        <v>696</v>
      </c>
      <c r="G64" s="5" t="s">
        <v>105</v>
      </c>
      <c r="H64" s="5" t="s">
        <v>697</v>
      </c>
      <c r="I64" s="5" t="s">
        <v>698</v>
      </c>
      <c r="J64" s="5" t="s">
        <v>699</v>
      </c>
      <c r="K64" s="5" t="s">
        <v>700</v>
      </c>
      <c r="L64" s="5" t="s">
        <v>701</v>
      </c>
      <c r="M64" s="5" t="s">
        <v>702</v>
      </c>
      <c r="N64" s="5" t="s">
        <v>42</v>
      </c>
      <c r="O64" s="5" t="s">
        <v>43</v>
      </c>
      <c r="P64" s="5"/>
      <c r="Q64" s="5" t="s">
        <v>112</v>
      </c>
      <c r="R64" s="5" t="s">
        <v>45</v>
      </c>
      <c r="S64" s="5" t="s">
        <v>77</v>
      </c>
      <c r="T64" s="5" t="s">
        <v>47</v>
      </c>
      <c r="U64" s="5"/>
      <c r="V64" s="5" t="s">
        <v>63</v>
      </c>
      <c r="W64" s="5" t="s">
        <v>48</v>
      </c>
      <c r="X64" s="5" t="s">
        <v>703</v>
      </c>
      <c r="Y64" s="5" t="s">
        <v>694</v>
      </c>
      <c r="Z64" s="7">
        <v>45946</v>
      </c>
      <c r="AA64" s="5" t="s">
        <v>50</v>
      </c>
      <c r="AB64" s="5" t="s">
        <v>694</v>
      </c>
      <c r="AC64" s="7">
        <v>45946</v>
      </c>
      <c r="AD64" s="5" t="s">
        <v>50</v>
      </c>
    </row>
    <row r="65" spans="1:36" ht="22.5" customHeight="1" x14ac:dyDescent="0.2">
      <c r="A65" s="32">
        <v>45988.695187523146</v>
      </c>
      <c r="B65" s="33" t="s">
        <v>704</v>
      </c>
      <c r="C65" s="33" t="s">
        <v>705</v>
      </c>
      <c r="D65" s="33" t="s">
        <v>53</v>
      </c>
      <c r="E65" s="34">
        <v>82</v>
      </c>
      <c r="F65" s="33" t="s">
        <v>55</v>
      </c>
      <c r="G65" s="33" t="s">
        <v>35</v>
      </c>
      <c r="H65" s="33" t="s">
        <v>706</v>
      </c>
      <c r="I65" s="33" t="s">
        <v>707</v>
      </c>
      <c r="J65" s="33" t="s">
        <v>708</v>
      </c>
      <c r="K65" s="33" t="s">
        <v>709</v>
      </c>
      <c r="L65" s="33" t="s">
        <v>710</v>
      </c>
      <c r="M65" s="33" t="s">
        <v>711</v>
      </c>
      <c r="N65" s="33" t="s">
        <v>42</v>
      </c>
      <c r="O65" s="33" t="s">
        <v>43</v>
      </c>
      <c r="P65" s="33"/>
      <c r="Q65" s="33" t="s">
        <v>44</v>
      </c>
      <c r="R65" s="33" t="s">
        <v>45</v>
      </c>
      <c r="S65" s="33" t="s">
        <v>46</v>
      </c>
      <c r="T65" s="33" t="s">
        <v>47</v>
      </c>
      <c r="U65" s="33"/>
      <c r="V65" s="33" t="s">
        <v>63</v>
      </c>
      <c r="W65" s="33" t="s">
        <v>48</v>
      </c>
      <c r="X65" s="33" t="s">
        <v>712</v>
      </c>
      <c r="Y65" s="33" t="s">
        <v>705</v>
      </c>
      <c r="Z65" s="35">
        <v>45988</v>
      </c>
      <c r="AA65" s="33" t="s">
        <v>50</v>
      </c>
      <c r="AB65" s="33" t="s">
        <v>705</v>
      </c>
      <c r="AC65" s="35">
        <v>45988</v>
      </c>
      <c r="AD65" s="33" t="s">
        <v>50</v>
      </c>
    </row>
    <row r="66" spans="1:36" ht="22.5" customHeight="1" x14ac:dyDescent="0.2">
      <c r="A66" s="8">
        <v>45951.068922118051</v>
      </c>
      <c r="B66" s="9" t="s">
        <v>713</v>
      </c>
      <c r="C66" s="9" t="s">
        <v>714</v>
      </c>
      <c r="D66" s="9" t="s">
        <v>53</v>
      </c>
      <c r="E66" s="10" t="s">
        <v>139</v>
      </c>
      <c r="F66" s="9" t="s">
        <v>55</v>
      </c>
      <c r="G66" s="9" t="s">
        <v>35</v>
      </c>
      <c r="H66" s="9" t="s">
        <v>715</v>
      </c>
      <c r="I66" s="9" t="s">
        <v>716</v>
      </c>
      <c r="J66" s="9" t="s">
        <v>717</v>
      </c>
      <c r="K66" s="9" t="s">
        <v>718</v>
      </c>
      <c r="L66" s="9" t="s">
        <v>719</v>
      </c>
      <c r="M66" s="9" t="s">
        <v>720</v>
      </c>
      <c r="N66" s="9" t="s">
        <v>62</v>
      </c>
      <c r="O66" s="9" t="s">
        <v>43</v>
      </c>
      <c r="Q66" s="9" t="s">
        <v>44</v>
      </c>
      <c r="R66" s="9" t="s">
        <v>45</v>
      </c>
      <c r="S66" s="9" t="s">
        <v>46</v>
      </c>
      <c r="T66" s="9" t="s">
        <v>63</v>
      </c>
      <c r="U66" s="9" t="s">
        <v>721</v>
      </c>
      <c r="V66" s="9" t="s">
        <v>63</v>
      </c>
      <c r="W66" s="9" t="s">
        <v>48</v>
      </c>
      <c r="X66" s="9" t="s">
        <v>722</v>
      </c>
      <c r="Y66" s="9" t="s">
        <v>714</v>
      </c>
      <c r="Z66" s="11">
        <v>45951</v>
      </c>
      <c r="AA66" s="9" t="s">
        <v>50</v>
      </c>
      <c r="AB66" s="9" t="s">
        <v>714</v>
      </c>
      <c r="AC66" s="11">
        <v>45951</v>
      </c>
      <c r="AD66" s="9" t="s">
        <v>50</v>
      </c>
    </row>
    <row r="67" spans="1:36" ht="22.5" customHeight="1" x14ac:dyDescent="0.2">
      <c r="A67" s="8">
        <v>46000.691438321759</v>
      </c>
      <c r="B67" s="9" t="s">
        <v>723</v>
      </c>
      <c r="C67" s="9" t="s">
        <v>724</v>
      </c>
      <c r="D67" s="9" t="s">
        <v>53</v>
      </c>
      <c r="E67" s="9" t="s">
        <v>33</v>
      </c>
      <c r="F67" s="9" t="s">
        <v>68</v>
      </c>
      <c r="G67" s="9" t="s">
        <v>105</v>
      </c>
      <c r="H67" s="9" t="s">
        <v>725</v>
      </c>
      <c r="I67" s="9" t="s">
        <v>726</v>
      </c>
      <c r="J67" s="9" t="s">
        <v>727</v>
      </c>
      <c r="K67" s="9" t="s">
        <v>48</v>
      </c>
      <c r="L67" s="9" t="s">
        <v>728</v>
      </c>
      <c r="M67" s="9" t="s">
        <v>729</v>
      </c>
      <c r="N67" s="9" t="s">
        <v>42</v>
      </c>
      <c r="O67" s="9" t="s">
        <v>43</v>
      </c>
      <c r="Q67" s="9" t="s">
        <v>75</v>
      </c>
      <c r="R67" s="9" t="s">
        <v>76</v>
      </c>
      <c r="S67" s="9" t="s">
        <v>46</v>
      </c>
      <c r="T67" s="9" t="s">
        <v>47</v>
      </c>
      <c r="V67" s="9" t="s">
        <v>47</v>
      </c>
      <c r="W67" s="9" t="s">
        <v>48</v>
      </c>
      <c r="X67" s="9" t="s">
        <v>730</v>
      </c>
      <c r="Y67" s="9" t="s">
        <v>724</v>
      </c>
      <c r="Z67" s="11">
        <v>46000</v>
      </c>
      <c r="AA67" s="9" t="s">
        <v>50</v>
      </c>
      <c r="AB67" s="9" t="s">
        <v>724</v>
      </c>
      <c r="AC67" s="11">
        <v>46000</v>
      </c>
      <c r="AD67" s="9" t="s">
        <v>50</v>
      </c>
    </row>
    <row r="68" spans="1:36" ht="22.5" customHeight="1" x14ac:dyDescent="0.2">
      <c r="A68" s="8">
        <v>45944.883232048611</v>
      </c>
      <c r="B68" s="9" t="s">
        <v>731</v>
      </c>
      <c r="C68" s="9" t="s">
        <v>732</v>
      </c>
      <c r="D68" s="9" t="s">
        <v>53</v>
      </c>
      <c r="E68" s="10" t="s">
        <v>93</v>
      </c>
      <c r="F68" s="9" t="s">
        <v>733</v>
      </c>
      <c r="G68" s="9" t="s">
        <v>35</v>
      </c>
      <c r="H68" s="9" t="s">
        <v>734</v>
      </c>
      <c r="I68" s="9" t="s">
        <v>735</v>
      </c>
      <c r="J68" s="9" t="s">
        <v>736</v>
      </c>
      <c r="K68" s="9" t="s">
        <v>143</v>
      </c>
      <c r="L68" s="9" t="s">
        <v>737</v>
      </c>
      <c r="M68" s="9" t="s">
        <v>738</v>
      </c>
      <c r="N68" s="9" t="s">
        <v>42</v>
      </c>
      <c r="O68" s="9" t="s">
        <v>43</v>
      </c>
      <c r="Q68" s="9" t="s">
        <v>44</v>
      </c>
      <c r="R68" s="9" t="s">
        <v>76</v>
      </c>
      <c r="S68" s="9" t="s">
        <v>46</v>
      </c>
      <c r="T68" s="9" t="s">
        <v>63</v>
      </c>
      <c r="U68" s="9" t="s">
        <v>739</v>
      </c>
      <c r="V68" s="9" t="s">
        <v>47</v>
      </c>
      <c r="W68" s="9" t="s">
        <v>48</v>
      </c>
      <c r="X68" s="9" t="s">
        <v>740</v>
      </c>
      <c r="Y68" s="9" t="s">
        <v>732</v>
      </c>
      <c r="Z68" s="11">
        <v>45944</v>
      </c>
      <c r="AA68" s="9" t="s">
        <v>50</v>
      </c>
      <c r="AB68" s="9" t="s">
        <v>732</v>
      </c>
      <c r="AC68" s="11">
        <v>45944</v>
      </c>
      <c r="AD68" s="9" t="s">
        <v>50</v>
      </c>
      <c r="AE68" s="36"/>
      <c r="AF68" s="36"/>
      <c r="AG68" s="36"/>
      <c r="AH68" s="36"/>
      <c r="AI68" s="36"/>
      <c r="AJ68" s="36"/>
    </row>
    <row r="69" spans="1:36" ht="22.5" customHeight="1" x14ac:dyDescent="0.2">
      <c r="A69" s="8">
        <v>45999.707296793982</v>
      </c>
      <c r="B69" s="9" t="s">
        <v>741</v>
      </c>
      <c r="C69" s="9" t="s">
        <v>742</v>
      </c>
      <c r="D69" s="9" t="s">
        <v>53</v>
      </c>
      <c r="E69" s="9" t="s">
        <v>139</v>
      </c>
      <c r="F69" s="9" t="s">
        <v>55</v>
      </c>
      <c r="G69" s="9" t="s">
        <v>35</v>
      </c>
      <c r="H69" s="9" t="s">
        <v>743</v>
      </c>
      <c r="I69" s="9" t="s">
        <v>744</v>
      </c>
      <c r="J69" s="9" t="s">
        <v>745</v>
      </c>
      <c r="K69" s="9" t="s">
        <v>166</v>
      </c>
      <c r="L69" s="9" t="s">
        <v>187</v>
      </c>
      <c r="M69" s="9" t="s">
        <v>746</v>
      </c>
      <c r="N69" s="9" t="s">
        <v>42</v>
      </c>
      <c r="O69" s="9" t="s">
        <v>43</v>
      </c>
      <c r="Q69" s="9" t="s">
        <v>44</v>
      </c>
      <c r="R69" s="9" t="s">
        <v>45</v>
      </c>
      <c r="S69" s="9" t="s">
        <v>46</v>
      </c>
      <c r="T69" s="9" t="s">
        <v>47</v>
      </c>
      <c r="V69" s="9" t="s">
        <v>63</v>
      </c>
      <c r="W69" s="9" t="s">
        <v>48</v>
      </c>
      <c r="X69" s="9" t="s">
        <v>747</v>
      </c>
      <c r="Y69" s="9" t="s">
        <v>742</v>
      </c>
      <c r="Z69" s="11">
        <v>45999</v>
      </c>
      <c r="AA69" s="9" t="s">
        <v>50</v>
      </c>
      <c r="AB69" s="9" t="s">
        <v>742</v>
      </c>
      <c r="AC69" s="11">
        <v>45999</v>
      </c>
      <c r="AD69" s="9" t="s">
        <v>50</v>
      </c>
    </row>
    <row r="70" spans="1:36" ht="22.5" customHeight="1" x14ac:dyDescent="0.2">
      <c r="A70" s="8">
        <v>45982.653737129629</v>
      </c>
      <c r="B70" s="9" t="s">
        <v>748</v>
      </c>
      <c r="C70" s="9" t="s">
        <v>749</v>
      </c>
      <c r="D70" s="9" t="s">
        <v>53</v>
      </c>
      <c r="E70" s="10" t="s">
        <v>183</v>
      </c>
      <c r="F70" s="9" t="s">
        <v>55</v>
      </c>
      <c r="G70" s="9" t="s">
        <v>35</v>
      </c>
      <c r="H70" s="9" t="s">
        <v>750</v>
      </c>
      <c r="I70" s="9" t="s">
        <v>751</v>
      </c>
      <c r="J70" s="9" t="s">
        <v>752</v>
      </c>
      <c r="K70" s="9" t="s">
        <v>143</v>
      </c>
      <c r="L70" s="9" t="s">
        <v>753</v>
      </c>
      <c r="M70" s="9" t="s">
        <v>754</v>
      </c>
      <c r="N70" s="9" t="s">
        <v>42</v>
      </c>
      <c r="O70" s="9" t="s">
        <v>43</v>
      </c>
      <c r="Q70" s="9" t="s">
        <v>44</v>
      </c>
      <c r="R70" s="9" t="s">
        <v>45</v>
      </c>
      <c r="S70" s="9" t="s">
        <v>46</v>
      </c>
      <c r="T70" s="9" t="s">
        <v>47</v>
      </c>
      <c r="V70" s="9" t="s">
        <v>47</v>
      </c>
      <c r="W70" s="9" t="s">
        <v>48</v>
      </c>
      <c r="X70" s="9" t="s">
        <v>755</v>
      </c>
      <c r="Y70" s="9" t="s">
        <v>749</v>
      </c>
      <c r="Z70" s="11">
        <v>45982</v>
      </c>
      <c r="AA70" s="9" t="s">
        <v>50</v>
      </c>
      <c r="AB70" s="9" t="s">
        <v>749</v>
      </c>
      <c r="AC70" s="11">
        <v>45982</v>
      </c>
      <c r="AD70" s="9" t="s">
        <v>50</v>
      </c>
    </row>
    <row r="71" spans="1:36" ht="22.5" customHeight="1" x14ac:dyDescent="0.2">
      <c r="A71" s="8">
        <v>45981.810245439818</v>
      </c>
      <c r="B71" s="9" t="s">
        <v>756</v>
      </c>
      <c r="C71" s="9" t="s">
        <v>757</v>
      </c>
      <c r="D71" s="9" t="s">
        <v>53</v>
      </c>
      <c r="E71" s="10" t="s">
        <v>437</v>
      </c>
      <c r="F71" s="9" t="s">
        <v>55</v>
      </c>
      <c r="G71" s="9" t="s">
        <v>35</v>
      </c>
      <c r="H71" s="9" t="s">
        <v>758</v>
      </c>
      <c r="I71" s="9" t="s">
        <v>759</v>
      </c>
      <c r="J71" s="9" t="s">
        <v>760</v>
      </c>
      <c r="K71" s="9" t="s">
        <v>761</v>
      </c>
      <c r="L71" s="9" t="s">
        <v>762</v>
      </c>
      <c r="M71" s="9" t="s">
        <v>763</v>
      </c>
      <c r="N71" s="9" t="s">
        <v>42</v>
      </c>
      <c r="O71" s="9" t="s">
        <v>43</v>
      </c>
      <c r="Q71" s="9" t="s">
        <v>44</v>
      </c>
      <c r="R71" s="9" t="s">
        <v>45</v>
      </c>
      <c r="S71" s="9" t="s">
        <v>387</v>
      </c>
      <c r="T71" s="9" t="s">
        <v>47</v>
      </c>
      <c r="V71" s="9" t="s">
        <v>47</v>
      </c>
      <c r="W71" s="9" t="s">
        <v>406</v>
      </c>
      <c r="X71" s="9" t="s">
        <v>764</v>
      </c>
      <c r="Y71" s="9" t="s">
        <v>757</v>
      </c>
      <c r="Z71" s="11">
        <v>45981</v>
      </c>
      <c r="AA71" s="9" t="s">
        <v>50</v>
      </c>
      <c r="AB71" s="9" t="s">
        <v>757</v>
      </c>
      <c r="AC71" s="11">
        <v>45981</v>
      </c>
      <c r="AD71" s="9" t="s">
        <v>50</v>
      </c>
    </row>
    <row r="72" spans="1:36" ht="22.5" customHeight="1" x14ac:dyDescent="0.2">
      <c r="A72" s="8">
        <v>45989.791793738426</v>
      </c>
      <c r="B72" s="9" t="s">
        <v>765</v>
      </c>
      <c r="C72" s="9" t="s">
        <v>766</v>
      </c>
      <c r="D72" s="9" t="s">
        <v>53</v>
      </c>
      <c r="E72" s="10" t="s">
        <v>767</v>
      </c>
      <c r="F72" s="9" t="s">
        <v>55</v>
      </c>
      <c r="G72" s="9" t="s">
        <v>35</v>
      </c>
      <c r="H72" s="9" t="s">
        <v>768</v>
      </c>
      <c r="I72" s="9" t="s">
        <v>769</v>
      </c>
      <c r="J72" s="9" t="s">
        <v>770</v>
      </c>
      <c r="K72" s="9" t="s">
        <v>771</v>
      </c>
      <c r="L72" s="9" t="s">
        <v>772</v>
      </c>
      <c r="M72" s="9" t="s">
        <v>773</v>
      </c>
      <c r="N72" s="9" t="s">
        <v>62</v>
      </c>
      <c r="O72" s="9" t="s">
        <v>43</v>
      </c>
      <c r="Q72" s="9" t="s">
        <v>44</v>
      </c>
      <c r="R72" s="9" t="s">
        <v>45</v>
      </c>
      <c r="S72" s="9" t="s">
        <v>46</v>
      </c>
      <c r="T72" s="9" t="s">
        <v>47</v>
      </c>
      <c r="V72" s="9" t="s">
        <v>47</v>
      </c>
      <c r="W72" s="9" t="s">
        <v>48</v>
      </c>
      <c r="X72" s="9" t="s">
        <v>774</v>
      </c>
      <c r="Y72" s="9" t="s">
        <v>766</v>
      </c>
      <c r="Z72" s="11">
        <v>45989</v>
      </c>
      <c r="AA72" s="9" t="s">
        <v>50</v>
      </c>
      <c r="AB72" s="9" t="s">
        <v>766</v>
      </c>
      <c r="AC72" s="11">
        <v>45989</v>
      </c>
      <c r="AD72" s="9" t="s">
        <v>50</v>
      </c>
    </row>
    <row r="73" spans="1:36" ht="22.5" customHeight="1" x14ac:dyDescent="0.2">
      <c r="A73" s="37">
        <v>45996.680937500001</v>
      </c>
      <c r="B73" s="38" t="s">
        <v>775</v>
      </c>
      <c r="C73" s="38" t="s">
        <v>776</v>
      </c>
      <c r="D73" s="38" t="s">
        <v>53</v>
      </c>
      <c r="E73" s="38" t="s">
        <v>777</v>
      </c>
      <c r="F73" s="38" t="s">
        <v>55</v>
      </c>
      <c r="G73" s="38" t="s">
        <v>35</v>
      </c>
      <c r="H73" s="38" t="s">
        <v>778</v>
      </c>
      <c r="I73" s="38" t="s">
        <v>779</v>
      </c>
      <c r="J73" s="38" t="s">
        <v>780</v>
      </c>
      <c r="K73" s="38" t="s">
        <v>166</v>
      </c>
      <c r="L73" s="38" t="s">
        <v>781</v>
      </c>
      <c r="M73" s="38" t="s">
        <v>782</v>
      </c>
      <c r="N73" s="38" t="s">
        <v>42</v>
      </c>
      <c r="O73" s="38" t="s">
        <v>43</v>
      </c>
      <c r="P73" s="39"/>
      <c r="Q73" s="38" t="s">
        <v>44</v>
      </c>
      <c r="R73" s="38" t="s">
        <v>45</v>
      </c>
      <c r="S73" s="38" t="s">
        <v>46</v>
      </c>
      <c r="T73" s="38" t="s">
        <v>47</v>
      </c>
      <c r="U73" s="38"/>
      <c r="V73" s="38" t="s">
        <v>47</v>
      </c>
      <c r="W73" s="38" t="s">
        <v>48</v>
      </c>
      <c r="X73" s="38" t="s">
        <v>783</v>
      </c>
      <c r="Y73" s="38" t="s">
        <v>776</v>
      </c>
      <c r="Z73" s="40">
        <v>45996</v>
      </c>
      <c r="AA73" s="38" t="s">
        <v>50</v>
      </c>
      <c r="AB73" s="38" t="s">
        <v>776</v>
      </c>
      <c r="AC73" s="40">
        <v>45996</v>
      </c>
      <c r="AD73" s="38" t="s">
        <v>50</v>
      </c>
    </row>
    <row r="74" spans="1:36" ht="22.5" customHeight="1" x14ac:dyDescent="0.2">
      <c r="A74" s="8">
        <v>45940.602612453702</v>
      </c>
      <c r="B74" s="9" t="s">
        <v>784</v>
      </c>
      <c r="C74" s="9" t="s">
        <v>785</v>
      </c>
      <c r="D74" s="9" t="s">
        <v>53</v>
      </c>
      <c r="E74" s="10" t="s">
        <v>499</v>
      </c>
      <c r="F74" s="9" t="s">
        <v>55</v>
      </c>
      <c r="G74" s="9" t="s">
        <v>35</v>
      </c>
      <c r="H74" s="9" t="s">
        <v>786</v>
      </c>
      <c r="I74" s="9" t="s">
        <v>787</v>
      </c>
      <c r="J74" s="9" t="s">
        <v>788</v>
      </c>
      <c r="K74" s="9" t="s">
        <v>789</v>
      </c>
      <c r="L74" s="9" t="s">
        <v>790</v>
      </c>
      <c r="M74" s="9" t="s">
        <v>791</v>
      </c>
      <c r="N74" s="9" t="s">
        <v>42</v>
      </c>
      <c r="O74" s="9" t="s">
        <v>43</v>
      </c>
      <c r="Q74" s="9" t="s">
        <v>44</v>
      </c>
      <c r="R74" s="9" t="s">
        <v>45</v>
      </c>
      <c r="S74" s="9" t="s">
        <v>46</v>
      </c>
      <c r="T74" s="9" t="s">
        <v>47</v>
      </c>
      <c r="V74" s="9" t="s">
        <v>63</v>
      </c>
      <c r="W74" s="9" t="s">
        <v>48</v>
      </c>
      <c r="X74" s="9" t="s">
        <v>792</v>
      </c>
      <c r="Y74" s="9" t="s">
        <v>785</v>
      </c>
      <c r="Z74" s="11">
        <v>34837</v>
      </c>
      <c r="AA74" s="9" t="s">
        <v>50</v>
      </c>
      <c r="AB74" s="9" t="s">
        <v>785</v>
      </c>
      <c r="AC74" s="11">
        <v>34837</v>
      </c>
      <c r="AD74" s="9" t="s">
        <v>50</v>
      </c>
    </row>
    <row r="75" spans="1:36" ht="22.5" customHeight="1" x14ac:dyDescent="0.2">
      <c r="A75" s="8">
        <v>45931.61121234954</v>
      </c>
      <c r="B75" s="9" t="s">
        <v>793</v>
      </c>
      <c r="C75" s="9" t="s">
        <v>794</v>
      </c>
      <c r="D75" s="9" t="s">
        <v>53</v>
      </c>
      <c r="E75" s="10" t="s">
        <v>104</v>
      </c>
      <c r="F75" s="9" t="s">
        <v>339</v>
      </c>
      <c r="G75" s="9" t="s">
        <v>35</v>
      </c>
      <c r="H75" s="9" t="s">
        <v>795</v>
      </c>
      <c r="I75" s="9" t="s">
        <v>796</v>
      </c>
      <c r="J75" s="9" t="s">
        <v>797</v>
      </c>
      <c r="K75" s="9" t="s">
        <v>798</v>
      </c>
      <c r="L75" s="9" t="s">
        <v>799</v>
      </c>
      <c r="M75" s="9" t="s">
        <v>800</v>
      </c>
      <c r="N75" s="9" t="s">
        <v>42</v>
      </c>
      <c r="O75" s="9" t="s">
        <v>43</v>
      </c>
      <c r="P75" s="9"/>
      <c r="Q75" s="9" t="s">
        <v>75</v>
      </c>
      <c r="R75" s="9" t="s">
        <v>45</v>
      </c>
      <c r="S75" s="9" t="s">
        <v>77</v>
      </c>
      <c r="T75" s="9" t="s">
        <v>47</v>
      </c>
      <c r="U75" s="9"/>
      <c r="V75" s="9" t="s">
        <v>47</v>
      </c>
      <c r="W75" s="9" t="s">
        <v>48</v>
      </c>
      <c r="X75" s="9" t="s">
        <v>801</v>
      </c>
      <c r="Y75" s="9" t="s">
        <v>794</v>
      </c>
      <c r="Z75" s="11">
        <v>45931</v>
      </c>
      <c r="AA75" s="9" t="s">
        <v>50</v>
      </c>
      <c r="AB75" s="9" t="s">
        <v>794</v>
      </c>
      <c r="AC75" s="11">
        <v>45931</v>
      </c>
      <c r="AD75" s="9" t="s">
        <v>50</v>
      </c>
    </row>
    <row r="76" spans="1:36" ht="22.5" customHeight="1" x14ac:dyDescent="0.2">
      <c r="A76" s="17">
        <v>45989.693505347226</v>
      </c>
      <c r="B76" s="18" t="s">
        <v>802</v>
      </c>
      <c r="C76" s="18" t="s">
        <v>803</v>
      </c>
      <c r="D76" s="18" t="s">
        <v>32</v>
      </c>
      <c r="E76" s="19">
        <v>36</v>
      </c>
      <c r="F76" s="18" t="s">
        <v>68</v>
      </c>
      <c r="G76" s="18" t="s">
        <v>35</v>
      </c>
      <c r="H76" s="18" t="s">
        <v>804</v>
      </c>
      <c r="I76" s="18" t="s">
        <v>805</v>
      </c>
      <c r="J76" s="18" t="s">
        <v>806</v>
      </c>
      <c r="K76" s="18" t="s">
        <v>47</v>
      </c>
      <c r="L76" s="18" t="s">
        <v>807</v>
      </c>
      <c r="M76" s="18" t="s">
        <v>808</v>
      </c>
      <c r="N76" s="18" t="s">
        <v>62</v>
      </c>
      <c r="O76" s="18" t="s">
        <v>43</v>
      </c>
      <c r="P76" s="18"/>
      <c r="Q76" s="18" t="s">
        <v>44</v>
      </c>
      <c r="R76" s="18" t="s">
        <v>76</v>
      </c>
      <c r="S76" s="18" t="s">
        <v>46</v>
      </c>
      <c r="T76" s="18" t="s">
        <v>47</v>
      </c>
      <c r="U76" s="18"/>
      <c r="V76" s="18" t="s">
        <v>47</v>
      </c>
      <c r="W76" s="18" t="s">
        <v>48</v>
      </c>
      <c r="X76" s="18" t="s">
        <v>809</v>
      </c>
      <c r="Y76" s="18" t="s">
        <v>803</v>
      </c>
      <c r="Z76" s="20">
        <v>45989</v>
      </c>
      <c r="AA76" s="18" t="s">
        <v>50</v>
      </c>
      <c r="AB76" s="18" t="s">
        <v>803</v>
      </c>
      <c r="AC76" s="20">
        <v>45989</v>
      </c>
      <c r="AD76" s="18" t="s">
        <v>50</v>
      </c>
    </row>
    <row r="77" spans="1:36" ht="22.5" customHeight="1" x14ac:dyDescent="0.2">
      <c r="A77" s="17">
        <v>45990.696710694443</v>
      </c>
      <c r="B77" s="18" t="s">
        <v>802</v>
      </c>
      <c r="C77" s="18" t="s">
        <v>803</v>
      </c>
      <c r="D77" s="18" t="s">
        <v>32</v>
      </c>
      <c r="E77" s="19">
        <v>37</v>
      </c>
      <c r="F77" s="18" t="s">
        <v>68</v>
      </c>
      <c r="G77" s="18" t="s">
        <v>35</v>
      </c>
      <c r="H77" s="18" t="s">
        <v>810</v>
      </c>
      <c r="I77" s="18" t="s">
        <v>811</v>
      </c>
      <c r="J77" s="18" t="s">
        <v>812</v>
      </c>
      <c r="K77" s="18" t="s">
        <v>47</v>
      </c>
      <c r="L77" s="18" t="s">
        <v>143</v>
      </c>
      <c r="M77" s="18" t="s">
        <v>813</v>
      </c>
      <c r="N77" s="18" t="s">
        <v>62</v>
      </c>
      <c r="O77" s="18" t="s">
        <v>43</v>
      </c>
      <c r="P77" s="18"/>
      <c r="Q77" s="18" t="s">
        <v>44</v>
      </c>
      <c r="R77" s="18" t="s">
        <v>76</v>
      </c>
      <c r="S77" s="18" t="s">
        <v>46</v>
      </c>
      <c r="T77" s="18" t="s">
        <v>47</v>
      </c>
      <c r="U77" s="18"/>
      <c r="V77" s="18" t="s">
        <v>47</v>
      </c>
      <c r="W77" s="18" t="s">
        <v>663</v>
      </c>
      <c r="X77" s="18" t="s">
        <v>814</v>
      </c>
      <c r="Y77" s="18" t="s">
        <v>803</v>
      </c>
      <c r="Z77" s="20">
        <v>45990</v>
      </c>
      <c r="AA77" s="18" t="s">
        <v>50</v>
      </c>
      <c r="AB77" s="18" t="s">
        <v>803</v>
      </c>
      <c r="AC77" s="20">
        <v>45990</v>
      </c>
      <c r="AD77" s="18" t="s">
        <v>50</v>
      </c>
    </row>
    <row r="78" spans="1:36" ht="22.5" customHeight="1" x14ac:dyDescent="0.2">
      <c r="A78" s="8">
        <v>45989.759408344908</v>
      </c>
      <c r="B78" s="9" t="s">
        <v>815</v>
      </c>
      <c r="C78" s="9" t="s">
        <v>816</v>
      </c>
      <c r="D78" s="9" t="s">
        <v>53</v>
      </c>
      <c r="E78" s="10" t="s">
        <v>234</v>
      </c>
      <c r="F78" s="9" t="s">
        <v>68</v>
      </c>
      <c r="G78" s="9" t="s">
        <v>35</v>
      </c>
      <c r="H78" s="9" t="s">
        <v>817</v>
      </c>
      <c r="I78" s="9" t="s">
        <v>818</v>
      </c>
      <c r="J78" s="9" t="s">
        <v>819</v>
      </c>
      <c r="K78" s="9" t="s">
        <v>166</v>
      </c>
      <c r="L78" s="9" t="s">
        <v>820</v>
      </c>
      <c r="M78" s="9" t="s">
        <v>821</v>
      </c>
      <c r="N78" s="9" t="s">
        <v>62</v>
      </c>
      <c r="O78" s="9" t="s">
        <v>43</v>
      </c>
      <c r="Q78" s="9" t="s">
        <v>44</v>
      </c>
      <c r="R78" s="9" t="s">
        <v>45</v>
      </c>
      <c r="S78" s="9" t="s">
        <v>46</v>
      </c>
      <c r="T78" s="9" t="s">
        <v>47</v>
      </c>
      <c r="V78" s="9" t="s">
        <v>63</v>
      </c>
      <c r="W78" s="9" t="s">
        <v>48</v>
      </c>
      <c r="X78" s="9" t="s">
        <v>822</v>
      </c>
      <c r="Y78" s="9" t="s">
        <v>816</v>
      </c>
      <c r="Z78" s="11">
        <v>45989</v>
      </c>
      <c r="AA78" s="9" t="s">
        <v>50</v>
      </c>
      <c r="AB78" s="9" t="s">
        <v>816</v>
      </c>
      <c r="AC78" s="11">
        <v>45989</v>
      </c>
      <c r="AD78" s="9" t="s">
        <v>50</v>
      </c>
    </row>
    <row r="79" spans="1:36" ht="22.5" customHeight="1" x14ac:dyDescent="0.2">
      <c r="A79" s="8">
        <v>45953.505103090283</v>
      </c>
      <c r="B79" s="9" t="s">
        <v>823</v>
      </c>
      <c r="C79" s="9" t="s">
        <v>824</v>
      </c>
      <c r="D79" s="9" t="s">
        <v>32</v>
      </c>
      <c r="E79" s="22" t="s">
        <v>368</v>
      </c>
      <c r="F79" s="9" t="s">
        <v>55</v>
      </c>
      <c r="G79" s="9" t="s">
        <v>35</v>
      </c>
      <c r="H79" s="9" t="s">
        <v>825</v>
      </c>
      <c r="I79" s="9" t="s">
        <v>826</v>
      </c>
      <c r="J79" s="9" t="s">
        <v>827</v>
      </c>
      <c r="K79" s="9" t="s">
        <v>828</v>
      </c>
      <c r="L79" s="9" t="s">
        <v>829</v>
      </c>
      <c r="M79" s="9" t="s">
        <v>830</v>
      </c>
      <c r="N79" s="9" t="s">
        <v>62</v>
      </c>
      <c r="O79" s="9" t="s">
        <v>43</v>
      </c>
      <c r="Q79" s="9" t="s">
        <v>75</v>
      </c>
      <c r="R79" s="9" t="s">
        <v>45</v>
      </c>
      <c r="S79" s="9" t="s">
        <v>46</v>
      </c>
      <c r="T79" s="9" t="s">
        <v>47</v>
      </c>
      <c r="V79" s="9" t="s">
        <v>47</v>
      </c>
      <c r="W79" s="41" t="s">
        <v>565</v>
      </c>
      <c r="X79" s="9" t="s">
        <v>831</v>
      </c>
      <c r="Y79" s="9" t="s">
        <v>824</v>
      </c>
      <c r="Z79" s="11">
        <v>45953</v>
      </c>
      <c r="AA79" s="9" t="s">
        <v>50</v>
      </c>
      <c r="AB79" s="9" t="s">
        <v>824</v>
      </c>
      <c r="AC79" s="11">
        <v>45953</v>
      </c>
      <c r="AD79" s="9" t="s">
        <v>50</v>
      </c>
    </row>
    <row r="80" spans="1:36" ht="22.5" customHeight="1" x14ac:dyDescent="0.2">
      <c r="A80" s="8">
        <v>46006.601518530093</v>
      </c>
      <c r="B80" s="9" t="s">
        <v>832</v>
      </c>
      <c r="C80" s="9" t="s">
        <v>833</v>
      </c>
      <c r="D80" s="9" t="s">
        <v>53</v>
      </c>
      <c r="E80" s="9" t="s">
        <v>834</v>
      </c>
      <c r="F80" s="9" t="s">
        <v>55</v>
      </c>
      <c r="G80" s="9" t="s">
        <v>35</v>
      </c>
      <c r="H80" s="9" t="s">
        <v>835</v>
      </c>
      <c r="I80" s="9" t="s">
        <v>836</v>
      </c>
      <c r="J80" s="9" t="s">
        <v>837</v>
      </c>
      <c r="K80" s="9" t="s">
        <v>143</v>
      </c>
      <c r="L80" s="9" t="s">
        <v>838</v>
      </c>
      <c r="M80" s="9" t="s">
        <v>839</v>
      </c>
      <c r="N80" s="9" t="s">
        <v>62</v>
      </c>
      <c r="O80" s="9" t="s">
        <v>43</v>
      </c>
      <c r="Q80" s="9" t="s">
        <v>44</v>
      </c>
      <c r="R80" s="9" t="s">
        <v>45</v>
      </c>
      <c r="S80" s="9" t="s">
        <v>46</v>
      </c>
      <c r="T80" s="9" t="s">
        <v>47</v>
      </c>
      <c r="V80" s="9" t="s">
        <v>47</v>
      </c>
      <c r="W80" s="9" t="s">
        <v>48</v>
      </c>
      <c r="X80" s="9" t="s">
        <v>840</v>
      </c>
      <c r="Y80" s="9" t="s">
        <v>833</v>
      </c>
      <c r="Z80" s="11">
        <v>46006</v>
      </c>
      <c r="AA80" s="9" t="s">
        <v>50</v>
      </c>
      <c r="AB80" s="9" t="s">
        <v>833</v>
      </c>
      <c r="AC80" s="11">
        <v>46006</v>
      </c>
      <c r="AD80" s="9" t="s">
        <v>50</v>
      </c>
    </row>
    <row r="81" spans="1:36" ht="22.5" customHeight="1" x14ac:dyDescent="0.2">
      <c r="A81" s="8">
        <v>45982.660939374997</v>
      </c>
      <c r="B81" s="9" t="s">
        <v>841</v>
      </c>
      <c r="C81" s="9" t="s">
        <v>842</v>
      </c>
      <c r="D81" s="9" t="s">
        <v>32</v>
      </c>
      <c r="E81" s="10" t="s">
        <v>318</v>
      </c>
      <c r="F81" s="9" t="s">
        <v>55</v>
      </c>
      <c r="G81" s="9" t="s">
        <v>35</v>
      </c>
      <c r="H81" s="9" t="s">
        <v>843</v>
      </c>
      <c r="I81" s="9" t="s">
        <v>844</v>
      </c>
      <c r="J81" s="9" t="s">
        <v>845</v>
      </c>
      <c r="K81" s="9" t="s">
        <v>846</v>
      </c>
      <c r="L81" s="9" t="s">
        <v>847</v>
      </c>
      <c r="M81" s="9" t="s">
        <v>848</v>
      </c>
      <c r="N81" s="9" t="s">
        <v>42</v>
      </c>
      <c r="O81" s="9" t="s">
        <v>43</v>
      </c>
      <c r="Q81" s="9" t="s">
        <v>75</v>
      </c>
      <c r="R81" s="9" t="s">
        <v>45</v>
      </c>
      <c r="S81" s="9" t="s">
        <v>89</v>
      </c>
      <c r="T81" s="9" t="s">
        <v>47</v>
      </c>
      <c r="V81" s="9" t="s">
        <v>63</v>
      </c>
      <c r="W81" s="9" t="s">
        <v>48</v>
      </c>
      <c r="X81" s="9" t="s">
        <v>849</v>
      </c>
      <c r="Y81" s="9" t="s">
        <v>842</v>
      </c>
      <c r="Z81" s="11">
        <v>36934</v>
      </c>
      <c r="AA81" s="9" t="s">
        <v>50</v>
      </c>
      <c r="AB81" s="9" t="s">
        <v>842</v>
      </c>
      <c r="AC81" s="11">
        <v>36934</v>
      </c>
      <c r="AD81" s="9" t="s">
        <v>50</v>
      </c>
    </row>
    <row r="82" spans="1:36" ht="22.5" customHeight="1" x14ac:dyDescent="0.2">
      <c r="A82" s="8">
        <v>45967.560004189814</v>
      </c>
      <c r="B82" s="9" t="s">
        <v>850</v>
      </c>
      <c r="C82" s="9" t="s">
        <v>851</v>
      </c>
      <c r="D82" s="9" t="s">
        <v>53</v>
      </c>
      <c r="E82" s="22" t="s">
        <v>368</v>
      </c>
      <c r="F82" s="9" t="s">
        <v>55</v>
      </c>
      <c r="G82" s="9" t="s">
        <v>35</v>
      </c>
      <c r="H82" s="9" t="s">
        <v>852</v>
      </c>
      <c r="I82" s="9" t="s">
        <v>853</v>
      </c>
      <c r="J82" s="9" t="s">
        <v>854</v>
      </c>
      <c r="K82" s="9" t="s">
        <v>855</v>
      </c>
      <c r="L82" s="9" t="s">
        <v>856</v>
      </c>
      <c r="M82" s="9" t="s">
        <v>857</v>
      </c>
      <c r="N82" s="9" t="s">
        <v>42</v>
      </c>
      <c r="O82" s="9" t="s">
        <v>43</v>
      </c>
      <c r="Q82" s="9" t="s">
        <v>44</v>
      </c>
      <c r="R82" s="9" t="s">
        <v>45</v>
      </c>
      <c r="S82" s="9" t="s">
        <v>46</v>
      </c>
      <c r="T82" s="9" t="s">
        <v>63</v>
      </c>
      <c r="U82" s="9" t="s">
        <v>858</v>
      </c>
      <c r="V82" s="9" t="s">
        <v>47</v>
      </c>
      <c r="W82" s="9" t="s">
        <v>48</v>
      </c>
      <c r="X82" s="9" t="s">
        <v>859</v>
      </c>
      <c r="Y82" s="9" t="s">
        <v>851</v>
      </c>
      <c r="Z82" s="11">
        <v>45967</v>
      </c>
      <c r="AA82" s="9" t="s">
        <v>50</v>
      </c>
      <c r="AB82" s="9" t="s">
        <v>851</v>
      </c>
      <c r="AC82" s="11">
        <v>45967</v>
      </c>
      <c r="AD82" s="9" t="s">
        <v>50</v>
      </c>
    </row>
    <row r="83" spans="1:36" ht="22.5" customHeight="1" x14ac:dyDescent="0.2">
      <c r="A83" s="8">
        <v>45993.680618206017</v>
      </c>
      <c r="B83" s="9" t="s">
        <v>860</v>
      </c>
      <c r="C83" s="9" t="s">
        <v>861</v>
      </c>
      <c r="D83" s="9" t="s">
        <v>53</v>
      </c>
      <c r="E83" s="9" t="s">
        <v>139</v>
      </c>
      <c r="F83" s="9" t="s">
        <v>55</v>
      </c>
      <c r="G83" s="9" t="s">
        <v>35</v>
      </c>
      <c r="H83" s="9" t="s">
        <v>862</v>
      </c>
      <c r="I83" s="9" t="s">
        <v>863</v>
      </c>
      <c r="J83" s="9" t="s">
        <v>864</v>
      </c>
      <c r="K83" s="9" t="s">
        <v>865</v>
      </c>
      <c r="L83" s="9" t="s">
        <v>866</v>
      </c>
      <c r="M83" s="9" t="s">
        <v>867</v>
      </c>
      <c r="N83" s="9" t="s">
        <v>62</v>
      </c>
      <c r="O83" s="9" t="s">
        <v>43</v>
      </c>
      <c r="Q83" s="9" t="s">
        <v>112</v>
      </c>
      <c r="R83" s="9" t="s">
        <v>45</v>
      </c>
      <c r="S83" s="9" t="s">
        <v>89</v>
      </c>
      <c r="T83" s="9" t="s">
        <v>47</v>
      </c>
      <c r="V83" s="9" t="s">
        <v>47</v>
      </c>
      <c r="W83" s="9" t="s">
        <v>271</v>
      </c>
      <c r="X83" s="9" t="s">
        <v>868</v>
      </c>
      <c r="Y83" s="9" t="s">
        <v>861</v>
      </c>
      <c r="Z83" s="11">
        <v>45993</v>
      </c>
      <c r="AA83" s="9" t="s">
        <v>50</v>
      </c>
      <c r="AB83" s="9" t="s">
        <v>861</v>
      </c>
      <c r="AC83" s="11">
        <v>45993</v>
      </c>
      <c r="AD83" s="9" t="s">
        <v>50</v>
      </c>
    </row>
    <row r="84" spans="1:36" ht="22.5" customHeight="1" x14ac:dyDescent="0.2">
      <c r="A84" s="37">
        <v>45966.50024606481</v>
      </c>
      <c r="B84" s="38" t="s">
        <v>869</v>
      </c>
      <c r="C84" s="38" t="s">
        <v>870</v>
      </c>
      <c r="D84" s="38" t="s">
        <v>53</v>
      </c>
      <c r="E84" s="38" t="s">
        <v>54</v>
      </c>
      <c r="F84" s="38" t="s">
        <v>55</v>
      </c>
      <c r="G84" s="38" t="s">
        <v>35</v>
      </c>
      <c r="H84" s="38" t="s">
        <v>871</v>
      </c>
      <c r="I84" s="38" t="s">
        <v>872</v>
      </c>
      <c r="J84" s="38" t="s">
        <v>873</v>
      </c>
      <c r="K84" s="38" t="s">
        <v>874</v>
      </c>
      <c r="L84" s="38" t="s">
        <v>875</v>
      </c>
      <c r="M84" s="38" t="s">
        <v>876</v>
      </c>
      <c r="N84" s="38" t="s">
        <v>62</v>
      </c>
      <c r="O84" s="38" t="s">
        <v>43</v>
      </c>
      <c r="P84" s="39"/>
      <c r="Q84" s="38" t="s">
        <v>44</v>
      </c>
      <c r="R84" s="38" t="s">
        <v>45</v>
      </c>
      <c r="S84" s="38" t="s">
        <v>46</v>
      </c>
      <c r="T84" s="38" t="s">
        <v>63</v>
      </c>
      <c r="U84" s="38" t="s">
        <v>877</v>
      </c>
      <c r="V84" s="38" t="s">
        <v>47</v>
      </c>
      <c r="W84" s="38" t="s">
        <v>48</v>
      </c>
      <c r="X84" s="38" t="s">
        <v>878</v>
      </c>
      <c r="Y84" s="38" t="s">
        <v>870</v>
      </c>
      <c r="Z84" s="40">
        <v>45966</v>
      </c>
      <c r="AA84" s="38" t="s">
        <v>50</v>
      </c>
      <c r="AB84" s="38" t="s">
        <v>870</v>
      </c>
      <c r="AC84" s="40">
        <v>45966</v>
      </c>
      <c r="AD84" s="38" t="s">
        <v>50</v>
      </c>
    </row>
    <row r="85" spans="1:36" ht="22.5" customHeight="1" x14ac:dyDescent="0.2">
      <c r="A85" s="8">
        <v>45951.768124108799</v>
      </c>
      <c r="B85" s="9" t="s">
        <v>879</v>
      </c>
      <c r="C85" s="9" t="s">
        <v>880</v>
      </c>
      <c r="D85" s="9" t="s">
        <v>53</v>
      </c>
      <c r="E85" s="10" t="s">
        <v>881</v>
      </c>
      <c r="F85" s="9" t="s">
        <v>882</v>
      </c>
      <c r="G85" s="9" t="s">
        <v>35</v>
      </c>
      <c r="H85" s="9" t="s">
        <v>883</v>
      </c>
      <c r="I85" s="9" t="s">
        <v>884</v>
      </c>
      <c r="J85" s="9" t="s">
        <v>885</v>
      </c>
      <c r="K85" s="9" t="s">
        <v>886</v>
      </c>
      <c r="L85" s="9" t="s">
        <v>887</v>
      </c>
      <c r="M85" s="9" t="s">
        <v>888</v>
      </c>
      <c r="N85" s="9" t="s">
        <v>62</v>
      </c>
      <c r="O85" s="9" t="s">
        <v>43</v>
      </c>
      <c r="Q85" s="9" t="s">
        <v>44</v>
      </c>
      <c r="R85" s="9" t="s">
        <v>45</v>
      </c>
      <c r="S85" s="9" t="s">
        <v>46</v>
      </c>
      <c r="T85" s="9" t="s">
        <v>63</v>
      </c>
      <c r="U85" s="9" t="s">
        <v>889</v>
      </c>
      <c r="V85" s="9" t="s">
        <v>47</v>
      </c>
      <c r="W85" s="9" t="s">
        <v>48</v>
      </c>
      <c r="X85" s="9" t="s">
        <v>890</v>
      </c>
      <c r="Y85" s="9" t="s">
        <v>880</v>
      </c>
      <c r="Z85" s="11">
        <v>45951</v>
      </c>
      <c r="AA85" s="9" t="s">
        <v>50</v>
      </c>
      <c r="AB85" s="9" t="s">
        <v>880</v>
      </c>
      <c r="AC85" s="11">
        <v>45951</v>
      </c>
      <c r="AD85" s="9" t="s">
        <v>50</v>
      </c>
    </row>
    <row r="86" spans="1:36" ht="22.5" customHeight="1" x14ac:dyDescent="0.2">
      <c r="A86" s="8">
        <v>45973.611825104163</v>
      </c>
      <c r="B86" s="9" t="s">
        <v>891</v>
      </c>
      <c r="C86" s="9" t="s">
        <v>892</v>
      </c>
      <c r="D86" s="9" t="s">
        <v>53</v>
      </c>
      <c r="E86" s="10" t="s">
        <v>296</v>
      </c>
      <c r="F86" s="9" t="s">
        <v>55</v>
      </c>
      <c r="G86" s="9" t="s">
        <v>35</v>
      </c>
      <c r="H86" s="9" t="s">
        <v>893</v>
      </c>
      <c r="I86" s="9" t="s">
        <v>894</v>
      </c>
      <c r="J86" s="9" t="s">
        <v>895</v>
      </c>
      <c r="K86" s="9" t="s">
        <v>896</v>
      </c>
      <c r="L86" s="9" t="s">
        <v>897</v>
      </c>
      <c r="M86" s="9" t="s">
        <v>898</v>
      </c>
      <c r="N86" s="9" t="s">
        <v>42</v>
      </c>
      <c r="O86" s="9" t="s">
        <v>43</v>
      </c>
      <c r="Q86" s="9" t="s">
        <v>44</v>
      </c>
      <c r="R86" s="9" t="s">
        <v>45</v>
      </c>
      <c r="S86" s="9" t="s">
        <v>46</v>
      </c>
      <c r="T86" s="9" t="s">
        <v>47</v>
      </c>
      <c r="V86" s="9" t="s">
        <v>63</v>
      </c>
      <c r="W86" s="9" t="s">
        <v>48</v>
      </c>
      <c r="X86" s="9" t="s">
        <v>899</v>
      </c>
      <c r="Y86" s="9" t="s">
        <v>892</v>
      </c>
      <c r="Z86" s="11">
        <v>45973</v>
      </c>
      <c r="AA86" s="9" t="s">
        <v>50</v>
      </c>
      <c r="AB86" s="9" t="s">
        <v>892</v>
      </c>
      <c r="AC86" s="11">
        <v>45973</v>
      </c>
      <c r="AD86" s="9" t="s">
        <v>50</v>
      </c>
      <c r="AE86" s="42"/>
      <c r="AF86" s="42"/>
      <c r="AG86" s="42"/>
      <c r="AH86" s="42"/>
      <c r="AI86" s="42"/>
      <c r="AJ86" s="42"/>
    </row>
    <row r="87" spans="1:36" ht="22.5" customHeight="1" x14ac:dyDescent="0.2">
      <c r="A87" s="8">
        <v>45987.753061689815</v>
      </c>
      <c r="B87" s="9" t="s">
        <v>900</v>
      </c>
      <c r="C87" s="9" t="s">
        <v>901</v>
      </c>
      <c r="D87" s="9" t="s">
        <v>53</v>
      </c>
      <c r="E87" s="10" t="s">
        <v>33</v>
      </c>
      <c r="F87" s="9" t="s">
        <v>55</v>
      </c>
      <c r="G87" s="9" t="s">
        <v>35</v>
      </c>
      <c r="H87" s="9" t="s">
        <v>902</v>
      </c>
      <c r="I87" s="9" t="s">
        <v>903</v>
      </c>
      <c r="J87" s="9" t="s">
        <v>904</v>
      </c>
      <c r="K87" s="9" t="s">
        <v>905</v>
      </c>
      <c r="L87" s="9" t="s">
        <v>906</v>
      </c>
      <c r="M87" s="9" t="s">
        <v>907</v>
      </c>
      <c r="N87" s="9" t="s">
        <v>42</v>
      </c>
      <c r="O87" s="9" t="s">
        <v>43</v>
      </c>
      <c r="Q87" s="9" t="s">
        <v>44</v>
      </c>
      <c r="R87" s="9" t="s">
        <v>45</v>
      </c>
      <c r="S87" s="9" t="s">
        <v>46</v>
      </c>
      <c r="T87" s="9" t="s">
        <v>47</v>
      </c>
      <c r="V87" s="9" t="s">
        <v>47</v>
      </c>
      <c r="W87" s="9" t="s">
        <v>48</v>
      </c>
      <c r="X87" s="9" t="s">
        <v>908</v>
      </c>
      <c r="Y87" s="9" t="s">
        <v>901</v>
      </c>
      <c r="Z87" s="11">
        <v>45987</v>
      </c>
      <c r="AA87" s="9" t="s">
        <v>50</v>
      </c>
      <c r="AB87" s="9" t="s">
        <v>901</v>
      </c>
      <c r="AC87" s="11">
        <v>45987</v>
      </c>
      <c r="AD87" s="9" t="s">
        <v>50</v>
      </c>
    </row>
    <row r="88" spans="1:36" ht="22.5" customHeight="1" x14ac:dyDescent="0.2">
      <c r="A88" s="8">
        <v>45997.683432291669</v>
      </c>
      <c r="B88" s="9" t="s">
        <v>909</v>
      </c>
      <c r="C88" s="9" t="s">
        <v>910</v>
      </c>
      <c r="D88" s="9" t="s">
        <v>53</v>
      </c>
      <c r="E88" s="9" t="s">
        <v>911</v>
      </c>
      <c r="F88" s="9" t="s">
        <v>55</v>
      </c>
      <c r="G88" s="9" t="s">
        <v>35</v>
      </c>
      <c r="H88" s="9" t="s">
        <v>912</v>
      </c>
      <c r="I88" s="9" t="s">
        <v>913</v>
      </c>
      <c r="J88" s="9" t="s">
        <v>914</v>
      </c>
      <c r="K88" s="9" t="s">
        <v>915</v>
      </c>
      <c r="L88" s="9" t="s">
        <v>916</v>
      </c>
      <c r="M88" s="9" t="s">
        <v>917</v>
      </c>
      <c r="N88" s="9" t="s">
        <v>62</v>
      </c>
      <c r="O88" s="9" t="s">
        <v>43</v>
      </c>
      <c r="Q88" s="9" t="s">
        <v>75</v>
      </c>
      <c r="R88" s="9" t="s">
        <v>45</v>
      </c>
      <c r="S88" s="9" t="s">
        <v>46</v>
      </c>
      <c r="T88" s="9" t="s">
        <v>47</v>
      </c>
      <c r="V88" s="9" t="s">
        <v>47</v>
      </c>
      <c r="W88" s="9" t="s">
        <v>48</v>
      </c>
      <c r="X88" s="9" t="s">
        <v>918</v>
      </c>
      <c r="Y88" s="9" t="s">
        <v>910</v>
      </c>
      <c r="Z88" s="11">
        <v>45997</v>
      </c>
      <c r="AA88" s="9" t="s">
        <v>50</v>
      </c>
      <c r="AB88" s="9" t="s">
        <v>910</v>
      </c>
      <c r="AC88" s="11">
        <v>45997</v>
      </c>
      <c r="AD88" s="9" t="s">
        <v>50</v>
      </c>
    </row>
    <row r="89" spans="1:36" ht="22.5" customHeight="1" x14ac:dyDescent="0.2">
      <c r="A89" s="8">
        <v>46010.664742210647</v>
      </c>
      <c r="B89" s="9" t="s">
        <v>919</v>
      </c>
      <c r="C89" s="9" t="s">
        <v>920</v>
      </c>
      <c r="D89" s="9" t="s">
        <v>53</v>
      </c>
      <c r="E89" s="9">
        <v>34</v>
      </c>
      <c r="F89" s="9" t="s">
        <v>921</v>
      </c>
      <c r="G89" s="9" t="s">
        <v>105</v>
      </c>
      <c r="H89" s="9" t="s">
        <v>922</v>
      </c>
      <c r="I89" s="9" t="s">
        <v>923</v>
      </c>
      <c r="J89" s="9" t="s">
        <v>924</v>
      </c>
      <c r="K89" s="9" t="s">
        <v>925</v>
      </c>
      <c r="L89" s="9" t="s">
        <v>926</v>
      </c>
      <c r="M89" s="9" t="s">
        <v>927</v>
      </c>
      <c r="N89" s="9" t="s">
        <v>62</v>
      </c>
      <c r="O89" s="9" t="s">
        <v>63</v>
      </c>
      <c r="P89" s="9" t="s">
        <v>928</v>
      </c>
      <c r="Q89" s="9" t="s">
        <v>75</v>
      </c>
      <c r="R89" s="9" t="s">
        <v>169</v>
      </c>
      <c r="S89" s="9" t="s">
        <v>89</v>
      </c>
      <c r="T89" s="9" t="s">
        <v>63</v>
      </c>
      <c r="U89" s="9" t="s">
        <v>929</v>
      </c>
      <c r="V89" s="9" t="s">
        <v>47</v>
      </c>
      <c r="W89" s="9" t="s">
        <v>930</v>
      </c>
      <c r="X89" s="9" t="s">
        <v>931</v>
      </c>
      <c r="Y89" s="9" t="s">
        <v>920</v>
      </c>
      <c r="Z89" s="11">
        <v>46010</v>
      </c>
      <c r="AA89" s="9" t="s">
        <v>50</v>
      </c>
      <c r="AB89" s="9" t="s">
        <v>920</v>
      </c>
      <c r="AC89" s="11">
        <v>46010</v>
      </c>
      <c r="AD89" s="9" t="s">
        <v>50</v>
      </c>
      <c r="AE89" s="36"/>
      <c r="AF89" s="36"/>
      <c r="AG89" s="36"/>
      <c r="AH89" s="36"/>
      <c r="AI89" s="36"/>
      <c r="AJ89" s="36"/>
    </row>
    <row r="90" spans="1:36" ht="22.5" customHeight="1" x14ac:dyDescent="0.2">
      <c r="A90" s="8">
        <v>46007.654934467588</v>
      </c>
      <c r="B90" s="9" t="s">
        <v>932</v>
      </c>
      <c r="C90" s="9" t="s">
        <v>933</v>
      </c>
      <c r="D90" s="9" t="s">
        <v>53</v>
      </c>
      <c r="E90" s="9" t="s">
        <v>318</v>
      </c>
      <c r="F90" s="9" t="s">
        <v>696</v>
      </c>
      <c r="G90" s="9" t="s">
        <v>105</v>
      </c>
      <c r="H90" s="9" t="s">
        <v>934</v>
      </c>
      <c r="I90" s="9" t="s">
        <v>935</v>
      </c>
      <c r="J90" s="9" t="s">
        <v>936</v>
      </c>
      <c r="K90" s="9" t="s">
        <v>937</v>
      </c>
      <c r="L90" s="9" t="s">
        <v>938</v>
      </c>
      <c r="M90" s="9" t="s">
        <v>939</v>
      </c>
      <c r="N90" s="9" t="s">
        <v>42</v>
      </c>
      <c r="O90" s="9" t="s">
        <v>43</v>
      </c>
      <c r="Q90" s="9" t="s">
        <v>44</v>
      </c>
      <c r="R90" s="9" t="s">
        <v>45</v>
      </c>
      <c r="S90" s="9" t="s">
        <v>46</v>
      </c>
      <c r="T90" s="9" t="s">
        <v>47</v>
      </c>
      <c r="V90" s="9" t="s">
        <v>63</v>
      </c>
      <c r="W90" s="9" t="s">
        <v>48</v>
      </c>
      <c r="X90" s="9" t="s">
        <v>940</v>
      </c>
      <c r="Y90" s="9" t="s">
        <v>933</v>
      </c>
      <c r="Z90" s="11">
        <v>46007</v>
      </c>
      <c r="AA90" s="9" t="s">
        <v>50</v>
      </c>
      <c r="AB90" s="9" t="s">
        <v>933</v>
      </c>
      <c r="AC90" s="11">
        <v>46007</v>
      </c>
      <c r="AD90" s="9" t="s">
        <v>50</v>
      </c>
    </row>
    <row r="91" spans="1:36" ht="22.5" customHeight="1" x14ac:dyDescent="0.2">
      <c r="A91" s="8">
        <v>45954.629972731476</v>
      </c>
      <c r="B91" s="9" t="s">
        <v>941</v>
      </c>
      <c r="C91" s="9" t="s">
        <v>942</v>
      </c>
      <c r="D91" s="9" t="s">
        <v>53</v>
      </c>
      <c r="E91" s="10" t="s">
        <v>116</v>
      </c>
      <c r="F91" s="9" t="s">
        <v>55</v>
      </c>
      <c r="G91" s="9" t="s">
        <v>35</v>
      </c>
      <c r="H91" s="9" t="s">
        <v>943</v>
      </c>
      <c r="I91" s="9" t="s">
        <v>944</v>
      </c>
      <c r="J91" s="9" t="s">
        <v>945</v>
      </c>
      <c r="K91" s="41" t="s">
        <v>946</v>
      </c>
      <c r="L91" s="9" t="s">
        <v>947</v>
      </c>
      <c r="M91" s="9" t="s">
        <v>948</v>
      </c>
      <c r="N91" s="9" t="s">
        <v>42</v>
      </c>
      <c r="O91" s="9" t="s">
        <v>43</v>
      </c>
      <c r="Q91" s="9" t="s">
        <v>75</v>
      </c>
      <c r="R91" s="9" t="s">
        <v>45</v>
      </c>
      <c r="S91" s="9" t="s">
        <v>89</v>
      </c>
      <c r="T91" s="9" t="s">
        <v>47</v>
      </c>
      <c r="V91" s="9" t="s">
        <v>63</v>
      </c>
      <c r="W91" s="9" t="s">
        <v>48</v>
      </c>
      <c r="X91" s="9" t="s">
        <v>949</v>
      </c>
      <c r="Y91" s="9" t="s">
        <v>942</v>
      </c>
      <c r="Z91" s="11">
        <v>45954</v>
      </c>
      <c r="AA91" s="9" t="s">
        <v>50</v>
      </c>
      <c r="AB91" s="9" t="s">
        <v>942</v>
      </c>
      <c r="AC91" s="11">
        <v>45954</v>
      </c>
      <c r="AD91" s="9" t="s">
        <v>50</v>
      </c>
    </row>
    <row r="92" spans="1:36" ht="22.5" customHeight="1" x14ac:dyDescent="0.2">
      <c r="A92" s="8">
        <v>45974.641423819441</v>
      </c>
      <c r="B92" s="9" t="s">
        <v>950</v>
      </c>
      <c r="C92" s="9" t="s">
        <v>951</v>
      </c>
      <c r="D92" s="9" t="s">
        <v>53</v>
      </c>
      <c r="E92" s="10" t="s">
        <v>952</v>
      </c>
      <c r="F92" s="9" t="s">
        <v>953</v>
      </c>
      <c r="G92" s="9" t="s">
        <v>35</v>
      </c>
      <c r="H92" s="9" t="s">
        <v>954</v>
      </c>
      <c r="I92" s="9" t="s">
        <v>955</v>
      </c>
      <c r="J92" s="9" t="s">
        <v>956</v>
      </c>
      <c r="K92" s="9" t="s">
        <v>143</v>
      </c>
      <c r="L92" s="9" t="s">
        <v>957</v>
      </c>
      <c r="M92" s="9" t="s">
        <v>958</v>
      </c>
      <c r="N92" s="9" t="s">
        <v>42</v>
      </c>
      <c r="O92" s="9" t="s">
        <v>43</v>
      </c>
      <c r="Q92" s="9" t="s">
        <v>44</v>
      </c>
      <c r="R92" s="9" t="s">
        <v>45</v>
      </c>
      <c r="S92" s="9" t="s">
        <v>46</v>
      </c>
      <c r="T92" s="9" t="s">
        <v>47</v>
      </c>
      <c r="V92" s="9" t="s">
        <v>63</v>
      </c>
      <c r="W92" s="9" t="s">
        <v>406</v>
      </c>
      <c r="X92" s="9" t="s">
        <v>959</v>
      </c>
      <c r="Y92" s="9" t="s">
        <v>951</v>
      </c>
      <c r="Z92" s="11">
        <v>45974</v>
      </c>
      <c r="AA92" s="9" t="s">
        <v>50</v>
      </c>
      <c r="AB92" s="9" t="s">
        <v>951</v>
      </c>
      <c r="AC92" s="11">
        <v>45974</v>
      </c>
      <c r="AD92" s="9" t="s">
        <v>50</v>
      </c>
    </row>
    <row r="93" spans="1:36" ht="22.5" customHeight="1" x14ac:dyDescent="0.2">
      <c r="A93" s="8">
        <v>45992.513272395838</v>
      </c>
      <c r="B93" s="9" t="s">
        <v>960</v>
      </c>
      <c r="C93" s="9" t="s">
        <v>961</v>
      </c>
      <c r="D93" s="9" t="s">
        <v>53</v>
      </c>
      <c r="E93" s="10" t="s">
        <v>81</v>
      </c>
      <c r="F93" s="9" t="s">
        <v>68</v>
      </c>
      <c r="G93" s="9" t="s">
        <v>35</v>
      </c>
      <c r="H93" s="9" t="s">
        <v>962</v>
      </c>
      <c r="I93" s="9" t="s">
        <v>963</v>
      </c>
      <c r="J93" s="9" t="s">
        <v>964</v>
      </c>
      <c r="K93" s="9" t="s">
        <v>965</v>
      </c>
      <c r="L93" s="9" t="s">
        <v>966</v>
      </c>
      <c r="M93" s="9" t="s">
        <v>967</v>
      </c>
      <c r="N93" s="9" t="s">
        <v>42</v>
      </c>
      <c r="O93" s="9" t="s">
        <v>43</v>
      </c>
      <c r="Q93" s="9" t="s">
        <v>44</v>
      </c>
      <c r="R93" s="9" t="s">
        <v>45</v>
      </c>
      <c r="S93" s="9" t="s">
        <v>46</v>
      </c>
      <c r="T93" s="9" t="s">
        <v>47</v>
      </c>
      <c r="V93" s="9" t="s">
        <v>63</v>
      </c>
      <c r="W93" s="9" t="s">
        <v>48</v>
      </c>
      <c r="X93" s="9" t="s">
        <v>968</v>
      </c>
      <c r="Y93" s="9" t="s">
        <v>969</v>
      </c>
      <c r="Z93" s="11">
        <v>45992</v>
      </c>
      <c r="AA93" s="9" t="s">
        <v>50</v>
      </c>
      <c r="AB93" s="9" t="s">
        <v>961</v>
      </c>
      <c r="AC93" s="11">
        <v>45992</v>
      </c>
      <c r="AD93" s="9" t="s">
        <v>50</v>
      </c>
    </row>
    <row r="94" spans="1:36" ht="22.5" customHeight="1" x14ac:dyDescent="0.2">
      <c r="A94" s="8">
        <v>45991.707724513893</v>
      </c>
      <c r="B94" s="9" t="s">
        <v>970</v>
      </c>
      <c r="C94" s="9" t="s">
        <v>971</v>
      </c>
      <c r="D94" s="9" t="s">
        <v>53</v>
      </c>
      <c r="E94" s="10" t="s">
        <v>972</v>
      </c>
      <c r="F94" s="9" t="s">
        <v>68</v>
      </c>
      <c r="G94" s="9" t="s">
        <v>35</v>
      </c>
      <c r="H94" s="9" t="s">
        <v>973</v>
      </c>
      <c r="I94" s="9" t="s">
        <v>974</v>
      </c>
      <c r="J94" s="9" t="s">
        <v>975</v>
      </c>
      <c r="K94" s="9" t="s">
        <v>166</v>
      </c>
      <c r="L94" s="9" t="s">
        <v>976</v>
      </c>
      <c r="M94" s="9" t="s">
        <v>977</v>
      </c>
      <c r="N94" s="9" t="s">
        <v>62</v>
      </c>
      <c r="O94" s="9" t="s">
        <v>43</v>
      </c>
      <c r="Q94" s="9" t="s">
        <v>44</v>
      </c>
      <c r="R94" s="9" t="s">
        <v>45</v>
      </c>
      <c r="S94" s="9" t="s">
        <v>89</v>
      </c>
      <c r="T94" s="9" t="s">
        <v>63</v>
      </c>
      <c r="U94" s="9" t="s">
        <v>978</v>
      </c>
      <c r="V94" s="9" t="s">
        <v>47</v>
      </c>
      <c r="W94" s="9" t="s">
        <v>48</v>
      </c>
      <c r="X94" s="9" t="s">
        <v>979</v>
      </c>
      <c r="Y94" s="9" t="s">
        <v>971</v>
      </c>
      <c r="Z94" s="11">
        <v>45991</v>
      </c>
      <c r="AA94" s="9" t="s">
        <v>50</v>
      </c>
      <c r="AB94" s="9" t="s">
        <v>971</v>
      </c>
      <c r="AC94" s="11">
        <v>45991</v>
      </c>
      <c r="AD94" s="9" t="s">
        <v>50</v>
      </c>
    </row>
    <row r="95" spans="1:36" ht="22.5" customHeight="1" x14ac:dyDescent="0.2">
      <c r="A95" s="8">
        <v>45966.775938043982</v>
      </c>
      <c r="B95" s="9" t="s">
        <v>980</v>
      </c>
      <c r="C95" s="9" t="s">
        <v>981</v>
      </c>
      <c r="D95" s="9" t="s">
        <v>53</v>
      </c>
      <c r="E95" s="10" t="s">
        <v>222</v>
      </c>
      <c r="F95" s="9" t="s">
        <v>68</v>
      </c>
      <c r="G95" s="9" t="s">
        <v>35</v>
      </c>
      <c r="H95" s="9" t="s">
        <v>982</v>
      </c>
      <c r="I95" s="9" t="s">
        <v>983</v>
      </c>
      <c r="J95" s="9" t="s">
        <v>984</v>
      </c>
      <c r="K95" s="9" t="s">
        <v>985</v>
      </c>
      <c r="L95" s="9" t="s">
        <v>986</v>
      </c>
      <c r="M95" s="9" t="s">
        <v>987</v>
      </c>
      <c r="N95" s="9" t="s">
        <v>62</v>
      </c>
      <c r="O95" s="9" t="s">
        <v>43</v>
      </c>
      <c r="P95" s="9" t="s">
        <v>988</v>
      </c>
      <c r="Q95" s="9" t="s">
        <v>75</v>
      </c>
      <c r="R95" s="9" t="s">
        <v>45</v>
      </c>
      <c r="S95" s="9" t="s">
        <v>77</v>
      </c>
      <c r="T95" s="9" t="s">
        <v>63</v>
      </c>
      <c r="U95" s="9" t="s">
        <v>989</v>
      </c>
      <c r="V95" s="9" t="s">
        <v>63</v>
      </c>
      <c r="W95" s="9" t="s">
        <v>48</v>
      </c>
      <c r="X95" s="9" t="s">
        <v>990</v>
      </c>
      <c r="Y95" s="9" t="s">
        <v>981</v>
      </c>
      <c r="Z95" s="11">
        <v>45966</v>
      </c>
      <c r="AA95" s="9" t="s">
        <v>50</v>
      </c>
      <c r="AB95" s="9" t="s">
        <v>981</v>
      </c>
      <c r="AC95" s="11">
        <v>45966</v>
      </c>
      <c r="AD95" s="9" t="s">
        <v>50</v>
      </c>
      <c r="AE95" s="36"/>
      <c r="AF95" s="36"/>
      <c r="AG95" s="36"/>
      <c r="AH95" s="36"/>
      <c r="AI95" s="36"/>
      <c r="AJ95" s="36"/>
    </row>
    <row r="96" spans="1:36" ht="22.5" customHeight="1" x14ac:dyDescent="0.2">
      <c r="A96" s="8">
        <v>45992.541214652781</v>
      </c>
      <c r="B96" s="9" t="s">
        <v>991</v>
      </c>
      <c r="C96" s="9" t="s">
        <v>992</v>
      </c>
      <c r="D96" s="9" t="s">
        <v>53</v>
      </c>
      <c r="E96" s="10" t="s">
        <v>559</v>
      </c>
      <c r="F96" s="9" t="s">
        <v>68</v>
      </c>
      <c r="G96" s="9" t="s">
        <v>35</v>
      </c>
      <c r="H96" s="9" t="s">
        <v>993</v>
      </c>
      <c r="I96" s="9" t="s">
        <v>994</v>
      </c>
      <c r="J96" s="9" t="s">
        <v>995</v>
      </c>
      <c r="K96" s="9" t="s">
        <v>996</v>
      </c>
      <c r="L96" s="9" t="s">
        <v>997</v>
      </c>
      <c r="M96" s="9" t="s">
        <v>998</v>
      </c>
      <c r="N96" s="9" t="s">
        <v>42</v>
      </c>
      <c r="O96" s="9" t="s">
        <v>63</v>
      </c>
      <c r="P96" s="9" t="s">
        <v>999</v>
      </c>
      <c r="Q96" s="9" t="s">
        <v>75</v>
      </c>
      <c r="R96" s="9" t="s">
        <v>76</v>
      </c>
      <c r="S96" s="9" t="s">
        <v>89</v>
      </c>
      <c r="T96" s="9" t="s">
        <v>47</v>
      </c>
      <c r="V96" s="9" t="s">
        <v>47</v>
      </c>
      <c r="W96" s="9" t="s">
        <v>48</v>
      </c>
      <c r="X96" s="9" t="s">
        <v>1000</v>
      </c>
      <c r="Y96" s="9" t="s">
        <v>992</v>
      </c>
      <c r="Z96" s="11">
        <v>45992</v>
      </c>
      <c r="AA96" s="9" t="s">
        <v>50</v>
      </c>
      <c r="AB96" s="9" t="s">
        <v>992</v>
      </c>
      <c r="AC96" s="11">
        <v>45992</v>
      </c>
      <c r="AD96" s="9" t="s">
        <v>50</v>
      </c>
    </row>
    <row r="97" spans="1:36" ht="22.5" customHeight="1" x14ac:dyDescent="0.2">
      <c r="A97" s="8">
        <v>45965.654651203702</v>
      </c>
      <c r="B97" s="9" t="s">
        <v>1001</v>
      </c>
      <c r="C97" s="9" t="s">
        <v>1002</v>
      </c>
      <c r="D97" s="9" t="s">
        <v>53</v>
      </c>
      <c r="E97" s="10" t="s">
        <v>1003</v>
      </c>
      <c r="F97" s="9" t="s">
        <v>391</v>
      </c>
      <c r="G97" s="9" t="s">
        <v>35</v>
      </c>
      <c r="H97" s="9" t="s">
        <v>1004</v>
      </c>
      <c r="I97" s="9" t="s">
        <v>1005</v>
      </c>
      <c r="J97" s="9" t="s">
        <v>1006</v>
      </c>
      <c r="K97" s="9" t="s">
        <v>166</v>
      </c>
      <c r="L97" s="9" t="s">
        <v>1007</v>
      </c>
      <c r="M97" s="9" t="s">
        <v>1008</v>
      </c>
      <c r="N97" s="9" t="s">
        <v>42</v>
      </c>
      <c r="O97" s="9" t="s">
        <v>63</v>
      </c>
      <c r="P97" s="9" t="s">
        <v>1009</v>
      </c>
      <c r="Q97" s="9" t="s">
        <v>44</v>
      </c>
      <c r="R97" s="9" t="s">
        <v>76</v>
      </c>
      <c r="S97" s="9" t="s">
        <v>89</v>
      </c>
      <c r="T97" s="9" t="s">
        <v>63</v>
      </c>
      <c r="U97" s="9" t="s">
        <v>1010</v>
      </c>
      <c r="V97" s="9" t="s">
        <v>63</v>
      </c>
      <c r="W97" s="9" t="s">
        <v>48</v>
      </c>
      <c r="X97" s="9" t="s">
        <v>1011</v>
      </c>
      <c r="Y97" s="9" t="s">
        <v>1002</v>
      </c>
      <c r="Z97" s="11">
        <v>45965</v>
      </c>
      <c r="AA97" s="9" t="s">
        <v>50</v>
      </c>
      <c r="AB97" s="9" t="s">
        <v>1002</v>
      </c>
      <c r="AC97" s="11">
        <v>45965</v>
      </c>
      <c r="AD97" s="9" t="s">
        <v>50</v>
      </c>
      <c r="AE97" s="43"/>
      <c r="AF97" s="43"/>
      <c r="AG97" s="43"/>
      <c r="AH97" s="43"/>
      <c r="AI97" s="43"/>
      <c r="AJ97" s="43"/>
    </row>
    <row r="98" spans="1:36" ht="22.5" customHeight="1" x14ac:dyDescent="0.2">
      <c r="A98" s="8">
        <v>45958.499331400468</v>
      </c>
      <c r="B98" s="9" t="s">
        <v>1012</v>
      </c>
      <c r="C98" s="9" t="s">
        <v>1013</v>
      </c>
      <c r="D98" s="9" t="s">
        <v>53</v>
      </c>
      <c r="E98" s="10" t="s">
        <v>318</v>
      </c>
      <c r="F98" s="9" t="s">
        <v>68</v>
      </c>
      <c r="G98" s="9" t="s">
        <v>105</v>
      </c>
      <c r="H98" s="9" t="s">
        <v>1014</v>
      </c>
      <c r="I98" s="9" t="s">
        <v>1015</v>
      </c>
      <c r="J98" s="9" t="s">
        <v>1016</v>
      </c>
      <c r="K98" s="9" t="s">
        <v>1017</v>
      </c>
      <c r="L98" s="9" t="s">
        <v>1018</v>
      </c>
      <c r="M98" s="9" t="s">
        <v>1019</v>
      </c>
      <c r="N98" s="9" t="s">
        <v>42</v>
      </c>
      <c r="O98" s="9" t="s">
        <v>43</v>
      </c>
      <c r="Q98" s="9" t="s">
        <v>44</v>
      </c>
      <c r="R98" s="9" t="s">
        <v>45</v>
      </c>
      <c r="S98" s="9" t="s">
        <v>46</v>
      </c>
      <c r="T98" s="9" t="s">
        <v>47</v>
      </c>
      <c r="V98" s="9" t="s">
        <v>47</v>
      </c>
      <c r="W98" s="9" t="s">
        <v>48</v>
      </c>
      <c r="X98" s="9" t="s">
        <v>1020</v>
      </c>
      <c r="Y98" s="9" t="s">
        <v>1013</v>
      </c>
      <c r="Z98" s="11">
        <v>45958</v>
      </c>
      <c r="AA98" s="9" t="s">
        <v>50</v>
      </c>
      <c r="AB98" s="9" t="s">
        <v>1013</v>
      </c>
      <c r="AC98" s="11">
        <v>45958</v>
      </c>
      <c r="AD98" s="9" t="s">
        <v>50</v>
      </c>
    </row>
    <row r="99" spans="1:36" ht="22.5" customHeight="1" x14ac:dyDescent="0.2">
      <c r="A99" s="8">
        <v>45989.801120821758</v>
      </c>
      <c r="B99" s="9" t="s">
        <v>1021</v>
      </c>
      <c r="C99" s="9" t="s">
        <v>1022</v>
      </c>
      <c r="D99" s="9" t="s">
        <v>53</v>
      </c>
      <c r="E99" s="10" t="s">
        <v>33</v>
      </c>
      <c r="F99" s="9" t="s">
        <v>1023</v>
      </c>
      <c r="G99" s="9" t="s">
        <v>35</v>
      </c>
      <c r="H99" s="9" t="s">
        <v>1024</v>
      </c>
      <c r="I99" s="9" t="s">
        <v>1025</v>
      </c>
      <c r="J99" s="9" t="s">
        <v>1026</v>
      </c>
      <c r="K99" s="9" t="s">
        <v>166</v>
      </c>
      <c r="L99" s="9" t="s">
        <v>1027</v>
      </c>
      <c r="M99" s="9" t="s">
        <v>1028</v>
      </c>
      <c r="N99" s="9" t="s">
        <v>62</v>
      </c>
      <c r="O99" s="9" t="s">
        <v>43</v>
      </c>
      <c r="Q99" s="9" t="s">
        <v>75</v>
      </c>
      <c r="R99" s="9" t="s">
        <v>45</v>
      </c>
      <c r="S99" s="9" t="s">
        <v>46</v>
      </c>
      <c r="T99" s="9" t="s">
        <v>47</v>
      </c>
      <c r="V99" s="9" t="s">
        <v>47</v>
      </c>
      <c r="W99" s="9" t="s">
        <v>48</v>
      </c>
      <c r="X99" s="9" t="s">
        <v>1029</v>
      </c>
      <c r="Y99" s="9" t="s">
        <v>1022</v>
      </c>
      <c r="Z99" s="11">
        <v>45989</v>
      </c>
      <c r="AA99" s="9" t="s">
        <v>50</v>
      </c>
      <c r="AB99" s="9" t="s">
        <v>1022</v>
      </c>
      <c r="AC99" s="11">
        <v>45989</v>
      </c>
      <c r="AD99" s="9" t="s">
        <v>50</v>
      </c>
    </row>
    <row r="100" spans="1:36" ht="22.5" customHeight="1" x14ac:dyDescent="0.2">
      <c r="A100" s="8">
        <v>45982.904385810187</v>
      </c>
      <c r="B100" s="9" t="s">
        <v>1030</v>
      </c>
      <c r="C100" s="9" t="s">
        <v>1031</v>
      </c>
      <c r="D100" s="9" t="s">
        <v>32</v>
      </c>
      <c r="E100" s="10" t="s">
        <v>1032</v>
      </c>
      <c r="F100" s="9" t="s">
        <v>55</v>
      </c>
      <c r="G100" s="9" t="s">
        <v>35</v>
      </c>
      <c r="H100" s="9" t="s">
        <v>1033</v>
      </c>
      <c r="I100" s="9" t="s">
        <v>1034</v>
      </c>
      <c r="J100" s="9" t="s">
        <v>1035</v>
      </c>
      <c r="K100" s="9" t="s">
        <v>1036</v>
      </c>
      <c r="L100" s="9" t="s">
        <v>1037</v>
      </c>
      <c r="M100" s="9" t="s">
        <v>1038</v>
      </c>
      <c r="N100" s="9" t="s">
        <v>62</v>
      </c>
      <c r="O100" s="9" t="s">
        <v>43</v>
      </c>
      <c r="Q100" s="9" t="s">
        <v>44</v>
      </c>
      <c r="R100" s="9" t="s">
        <v>45</v>
      </c>
      <c r="S100" s="9" t="s">
        <v>46</v>
      </c>
      <c r="T100" s="9" t="s">
        <v>47</v>
      </c>
      <c r="V100" s="9" t="s">
        <v>47</v>
      </c>
      <c r="W100" s="9" t="s">
        <v>48</v>
      </c>
      <c r="X100" s="9" t="s">
        <v>1039</v>
      </c>
      <c r="Y100" s="9" t="s">
        <v>1031</v>
      </c>
      <c r="Z100" s="11">
        <v>45982</v>
      </c>
      <c r="AA100" s="9" t="s">
        <v>50</v>
      </c>
      <c r="AB100" s="9" t="s">
        <v>1031</v>
      </c>
      <c r="AC100" s="11">
        <v>45982</v>
      </c>
      <c r="AD100" s="9" t="s">
        <v>50</v>
      </c>
    </row>
    <row r="101" spans="1:36" ht="22.5" customHeight="1" x14ac:dyDescent="0.2">
      <c r="A101" s="8">
        <v>45972.685369537037</v>
      </c>
      <c r="B101" s="9" t="s">
        <v>1040</v>
      </c>
      <c r="C101" s="9" t="s">
        <v>1041</v>
      </c>
      <c r="D101" s="9" t="s">
        <v>53</v>
      </c>
      <c r="E101" s="10" t="s">
        <v>296</v>
      </c>
      <c r="F101" s="9" t="s">
        <v>55</v>
      </c>
      <c r="G101" s="9" t="s">
        <v>35</v>
      </c>
      <c r="H101" s="9" t="s">
        <v>1042</v>
      </c>
      <c r="I101" s="9" t="s">
        <v>1043</v>
      </c>
      <c r="J101" s="9" t="s">
        <v>1044</v>
      </c>
      <c r="K101" s="9" t="s">
        <v>1045</v>
      </c>
      <c r="L101" s="9" t="s">
        <v>1046</v>
      </c>
      <c r="M101" s="9" t="s">
        <v>1047</v>
      </c>
      <c r="N101" s="9" t="s">
        <v>42</v>
      </c>
      <c r="O101" s="9" t="s">
        <v>43</v>
      </c>
      <c r="P101" s="9" t="s">
        <v>48</v>
      </c>
      <c r="Q101" s="9" t="s">
        <v>44</v>
      </c>
      <c r="R101" s="9" t="s">
        <v>45</v>
      </c>
      <c r="S101" s="9" t="s">
        <v>46</v>
      </c>
      <c r="T101" s="9" t="s">
        <v>63</v>
      </c>
      <c r="U101" s="9" t="s">
        <v>1048</v>
      </c>
      <c r="V101" s="9" t="s">
        <v>47</v>
      </c>
      <c r="W101" s="9" t="s">
        <v>48</v>
      </c>
      <c r="X101" s="9" t="s">
        <v>1049</v>
      </c>
      <c r="Y101" s="9" t="s">
        <v>1041</v>
      </c>
      <c r="Z101" s="11">
        <v>45972</v>
      </c>
      <c r="AA101" s="9" t="s">
        <v>50</v>
      </c>
      <c r="AB101" s="9" t="s">
        <v>1041</v>
      </c>
      <c r="AC101" s="11">
        <v>45972</v>
      </c>
      <c r="AD101" s="9" t="s">
        <v>50</v>
      </c>
    </row>
    <row r="102" spans="1:36" ht="22.5" customHeight="1" x14ac:dyDescent="0.2">
      <c r="A102" s="8">
        <v>45992.78194439815</v>
      </c>
      <c r="B102" s="9" t="s">
        <v>1050</v>
      </c>
      <c r="C102" s="9" t="s">
        <v>1051</v>
      </c>
      <c r="D102" s="9" t="s">
        <v>53</v>
      </c>
      <c r="E102" s="9" t="s">
        <v>1052</v>
      </c>
      <c r="F102" s="9" t="s">
        <v>55</v>
      </c>
      <c r="G102" s="9" t="s">
        <v>35</v>
      </c>
      <c r="H102" s="9" t="s">
        <v>1053</v>
      </c>
      <c r="I102" s="9" t="s">
        <v>1054</v>
      </c>
      <c r="J102" s="9" t="s">
        <v>1055</v>
      </c>
      <c r="K102" s="9" t="s">
        <v>1056</v>
      </c>
      <c r="L102" s="9" t="s">
        <v>1057</v>
      </c>
      <c r="M102" s="9" t="s">
        <v>1058</v>
      </c>
      <c r="N102" s="9" t="s">
        <v>62</v>
      </c>
      <c r="O102" s="9" t="s">
        <v>43</v>
      </c>
      <c r="Q102" s="9" t="s">
        <v>44</v>
      </c>
      <c r="R102" s="9" t="s">
        <v>45</v>
      </c>
      <c r="S102" s="9" t="s">
        <v>46</v>
      </c>
      <c r="T102" s="9" t="s">
        <v>47</v>
      </c>
      <c r="V102" s="9" t="s">
        <v>63</v>
      </c>
      <c r="W102" s="9" t="s">
        <v>406</v>
      </c>
      <c r="X102" s="9" t="s">
        <v>1059</v>
      </c>
      <c r="Y102" s="9" t="s">
        <v>1051</v>
      </c>
      <c r="Z102" s="11">
        <v>45992</v>
      </c>
      <c r="AA102" s="9" t="s">
        <v>50</v>
      </c>
      <c r="AB102" s="9" t="s">
        <v>1051</v>
      </c>
      <c r="AC102" s="11">
        <v>45992</v>
      </c>
      <c r="AD102" s="9" t="s">
        <v>50</v>
      </c>
    </row>
    <row r="103" spans="1:36" ht="22.5" customHeight="1" x14ac:dyDescent="0.2">
      <c r="A103" s="8">
        <v>45932.79563734954</v>
      </c>
      <c r="B103" s="9" t="s">
        <v>1060</v>
      </c>
      <c r="C103" s="9" t="s">
        <v>1061</v>
      </c>
      <c r="D103" s="9" t="s">
        <v>32</v>
      </c>
      <c r="E103" s="10" t="s">
        <v>162</v>
      </c>
      <c r="F103" s="9" t="s">
        <v>55</v>
      </c>
      <c r="G103" s="9" t="s">
        <v>35</v>
      </c>
      <c r="H103" s="9" t="s">
        <v>1062</v>
      </c>
      <c r="I103" s="9" t="s">
        <v>1063</v>
      </c>
      <c r="J103" s="9" t="s">
        <v>1064</v>
      </c>
      <c r="K103" s="9" t="s">
        <v>1065</v>
      </c>
      <c r="L103" s="9" t="s">
        <v>1066</v>
      </c>
      <c r="M103" s="9" t="s">
        <v>1067</v>
      </c>
      <c r="N103" s="9" t="s">
        <v>42</v>
      </c>
      <c r="O103" s="9" t="s">
        <v>43</v>
      </c>
      <c r="Q103" s="9" t="s">
        <v>44</v>
      </c>
      <c r="R103" s="9" t="s">
        <v>45</v>
      </c>
      <c r="S103" s="9" t="s">
        <v>46</v>
      </c>
      <c r="T103" s="9" t="s">
        <v>63</v>
      </c>
      <c r="V103" s="9" t="s">
        <v>63</v>
      </c>
      <c r="W103" s="9" t="s">
        <v>48</v>
      </c>
      <c r="X103" s="9" t="s">
        <v>1068</v>
      </c>
      <c r="Y103" s="9" t="s">
        <v>1061</v>
      </c>
      <c r="Z103" s="11">
        <v>45932</v>
      </c>
      <c r="AA103" s="9" t="s">
        <v>50</v>
      </c>
      <c r="AB103" s="9" t="s">
        <v>1061</v>
      </c>
      <c r="AC103" s="11">
        <v>45932</v>
      </c>
      <c r="AD103" s="9" t="s">
        <v>50</v>
      </c>
      <c r="AE103" s="44"/>
      <c r="AF103" s="44"/>
      <c r="AG103" s="44"/>
      <c r="AH103" s="44"/>
      <c r="AI103" s="44"/>
      <c r="AJ103" s="44"/>
    </row>
    <row r="104" spans="1:36" ht="22.5" customHeight="1" x14ac:dyDescent="0.2">
      <c r="A104" s="8">
        <v>45975.532517569445</v>
      </c>
      <c r="B104" s="9" t="s">
        <v>1069</v>
      </c>
      <c r="C104" s="9" t="s">
        <v>1070</v>
      </c>
      <c r="D104" s="9" t="s">
        <v>53</v>
      </c>
      <c r="E104" s="10" t="s">
        <v>1071</v>
      </c>
      <c r="F104" s="9" t="s">
        <v>68</v>
      </c>
      <c r="G104" s="9" t="s">
        <v>35</v>
      </c>
      <c r="H104" s="9" t="s">
        <v>1072</v>
      </c>
      <c r="I104" s="9" t="s">
        <v>1073</v>
      </c>
      <c r="J104" s="9" t="s">
        <v>1074</v>
      </c>
      <c r="K104" s="9" t="s">
        <v>1075</v>
      </c>
      <c r="L104" s="9" t="s">
        <v>1076</v>
      </c>
      <c r="M104" s="9" t="s">
        <v>1077</v>
      </c>
      <c r="N104" s="9" t="s">
        <v>62</v>
      </c>
      <c r="O104" s="9" t="s">
        <v>63</v>
      </c>
      <c r="P104" s="9" t="s">
        <v>1078</v>
      </c>
      <c r="Q104" s="9" t="s">
        <v>386</v>
      </c>
      <c r="R104" s="9" t="s">
        <v>45</v>
      </c>
      <c r="S104" s="9" t="s">
        <v>46</v>
      </c>
      <c r="T104" s="9" t="s">
        <v>47</v>
      </c>
      <c r="U104" s="9" t="s">
        <v>143</v>
      </c>
      <c r="V104" s="9" t="s">
        <v>47</v>
      </c>
      <c r="W104" s="9" t="s">
        <v>1079</v>
      </c>
      <c r="X104" s="9" t="s">
        <v>1080</v>
      </c>
      <c r="Y104" s="9" t="s">
        <v>1070</v>
      </c>
      <c r="Z104" s="11">
        <v>45975</v>
      </c>
      <c r="AA104" s="9" t="s">
        <v>50</v>
      </c>
      <c r="AB104" s="9" t="s">
        <v>1070</v>
      </c>
      <c r="AC104" s="11">
        <v>45975</v>
      </c>
      <c r="AD104" s="9" t="s">
        <v>50</v>
      </c>
    </row>
    <row r="105" spans="1:36" ht="22.5" customHeight="1" x14ac:dyDescent="0.2">
      <c r="A105" s="8">
        <v>45983.689966342594</v>
      </c>
      <c r="B105" s="9" t="s">
        <v>1081</v>
      </c>
      <c r="C105" s="9" t="s">
        <v>1082</v>
      </c>
      <c r="D105" s="9" t="s">
        <v>53</v>
      </c>
      <c r="E105" s="10" t="s">
        <v>1083</v>
      </c>
      <c r="F105" s="9" t="s">
        <v>1084</v>
      </c>
      <c r="G105" s="9" t="s">
        <v>35</v>
      </c>
      <c r="H105" s="9" t="s">
        <v>1085</v>
      </c>
      <c r="I105" s="9" t="s">
        <v>1086</v>
      </c>
      <c r="J105" s="9" t="s">
        <v>1087</v>
      </c>
      <c r="K105" s="9" t="s">
        <v>48</v>
      </c>
      <c r="L105" s="9" t="s">
        <v>1088</v>
      </c>
      <c r="M105" s="9" t="s">
        <v>1089</v>
      </c>
      <c r="N105" s="9" t="s">
        <v>62</v>
      </c>
      <c r="O105" s="9" t="s">
        <v>43</v>
      </c>
      <c r="Q105" s="9" t="s">
        <v>44</v>
      </c>
      <c r="R105" s="9" t="s">
        <v>45</v>
      </c>
      <c r="S105" s="9" t="s">
        <v>77</v>
      </c>
      <c r="T105" s="9" t="s">
        <v>63</v>
      </c>
      <c r="U105" s="9" t="s">
        <v>1090</v>
      </c>
      <c r="V105" s="9" t="s">
        <v>47</v>
      </c>
      <c r="W105" s="9" t="s">
        <v>48</v>
      </c>
      <c r="X105" s="9" t="s">
        <v>1091</v>
      </c>
      <c r="Y105" s="9" t="s">
        <v>1082</v>
      </c>
      <c r="Z105" s="11">
        <v>45983</v>
      </c>
      <c r="AA105" s="9" t="s">
        <v>50</v>
      </c>
      <c r="AB105" s="9" t="s">
        <v>1082</v>
      </c>
      <c r="AC105" s="11">
        <v>45983</v>
      </c>
      <c r="AD105" s="9" t="s">
        <v>50</v>
      </c>
    </row>
    <row r="106" spans="1:36" ht="22.5" customHeight="1" x14ac:dyDescent="0.2">
      <c r="A106" s="8">
        <v>45992.669832615742</v>
      </c>
      <c r="B106" s="9" t="s">
        <v>1092</v>
      </c>
      <c r="C106" s="9" t="s">
        <v>1093</v>
      </c>
      <c r="D106" s="9" t="s">
        <v>53</v>
      </c>
      <c r="E106" s="9" t="s">
        <v>33</v>
      </c>
      <c r="F106" s="9" t="s">
        <v>55</v>
      </c>
      <c r="G106" s="9" t="s">
        <v>35</v>
      </c>
      <c r="H106" s="9" t="s">
        <v>1094</v>
      </c>
      <c r="I106" s="9" t="s">
        <v>1095</v>
      </c>
      <c r="J106" s="9" t="s">
        <v>1096</v>
      </c>
      <c r="K106" s="9" t="s">
        <v>166</v>
      </c>
      <c r="L106" s="9" t="s">
        <v>1097</v>
      </c>
      <c r="M106" s="9" t="s">
        <v>1098</v>
      </c>
      <c r="N106" s="9" t="s">
        <v>62</v>
      </c>
      <c r="O106" s="9" t="s">
        <v>43</v>
      </c>
      <c r="Q106" s="9" t="s">
        <v>44</v>
      </c>
      <c r="R106" s="9" t="s">
        <v>76</v>
      </c>
      <c r="S106" s="9" t="s">
        <v>89</v>
      </c>
      <c r="T106" s="9" t="s">
        <v>47</v>
      </c>
      <c r="V106" s="9" t="s">
        <v>63</v>
      </c>
      <c r="W106" s="9" t="s">
        <v>48</v>
      </c>
      <c r="X106" s="9" t="s">
        <v>1099</v>
      </c>
      <c r="Y106" s="9" t="s">
        <v>1093</v>
      </c>
      <c r="Z106" s="11">
        <v>45992</v>
      </c>
      <c r="AA106" s="9" t="s">
        <v>50</v>
      </c>
      <c r="AB106" s="9" t="s">
        <v>1093</v>
      </c>
      <c r="AC106" s="11">
        <v>45992</v>
      </c>
      <c r="AD106" s="9" t="s">
        <v>50</v>
      </c>
    </row>
    <row r="107" spans="1:36" ht="22.5" customHeight="1" x14ac:dyDescent="0.2">
      <c r="A107" s="8">
        <v>45952.766557858791</v>
      </c>
      <c r="B107" s="9" t="s">
        <v>1100</v>
      </c>
      <c r="C107" s="9" t="s">
        <v>1101</v>
      </c>
      <c r="D107" s="9" t="s">
        <v>32</v>
      </c>
      <c r="E107" s="10" t="s">
        <v>499</v>
      </c>
      <c r="F107" s="9" t="s">
        <v>55</v>
      </c>
      <c r="G107" s="9" t="s">
        <v>105</v>
      </c>
      <c r="H107" s="9" t="s">
        <v>1102</v>
      </c>
      <c r="I107" s="9" t="s">
        <v>1103</v>
      </c>
      <c r="J107" s="9" t="s">
        <v>1104</v>
      </c>
      <c r="K107" s="9" t="s">
        <v>1105</v>
      </c>
      <c r="L107" s="9" t="s">
        <v>1106</v>
      </c>
      <c r="M107" s="9" t="s">
        <v>1107</v>
      </c>
      <c r="N107" s="9" t="s">
        <v>62</v>
      </c>
      <c r="O107" s="9" t="s">
        <v>63</v>
      </c>
      <c r="P107" s="9" t="s">
        <v>1108</v>
      </c>
      <c r="Q107" s="9" t="s">
        <v>44</v>
      </c>
      <c r="R107" s="9" t="s">
        <v>45</v>
      </c>
      <c r="S107" s="9" t="s">
        <v>387</v>
      </c>
      <c r="T107" s="9" t="s">
        <v>47</v>
      </c>
      <c r="V107" s="9" t="s">
        <v>47</v>
      </c>
      <c r="W107" s="9" t="s">
        <v>48</v>
      </c>
      <c r="X107" s="9" t="s">
        <v>1109</v>
      </c>
      <c r="Y107" s="9" t="s">
        <v>1101</v>
      </c>
      <c r="Z107" s="11">
        <v>45952</v>
      </c>
      <c r="AA107" s="9" t="s">
        <v>50</v>
      </c>
      <c r="AB107" s="9" t="s">
        <v>1101</v>
      </c>
      <c r="AC107" s="11">
        <v>45952</v>
      </c>
      <c r="AD107" s="9" t="s">
        <v>50</v>
      </c>
    </row>
    <row r="108" spans="1:36" ht="22.5" customHeight="1" x14ac:dyDescent="0.2">
      <c r="A108" s="8">
        <v>45944.643629629631</v>
      </c>
      <c r="B108" s="9" t="s">
        <v>1110</v>
      </c>
      <c r="C108" s="9" t="s">
        <v>1111</v>
      </c>
      <c r="D108" s="9" t="s">
        <v>53</v>
      </c>
      <c r="E108" s="10" t="s">
        <v>1112</v>
      </c>
      <c r="F108" s="9" t="s">
        <v>1113</v>
      </c>
      <c r="G108" s="9" t="s">
        <v>35</v>
      </c>
      <c r="H108" s="9" t="s">
        <v>1114</v>
      </c>
      <c r="I108" s="9" t="s">
        <v>1115</v>
      </c>
      <c r="J108" s="9" t="s">
        <v>1116</v>
      </c>
      <c r="K108" s="9" t="s">
        <v>1117</v>
      </c>
      <c r="L108" s="9" t="s">
        <v>1118</v>
      </c>
      <c r="M108" s="9" t="s">
        <v>1119</v>
      </c>
      <c r="N108" s="9" t="s">
        <v>42</v>
      </c>
      <c r="O108" s="9" t="s">
        <v>43</v>
      </c>
      <c r="Q108" s="9" t="s">
        <v>44</v>
      </c>
      <c r="R108" s="9" t="s">
        <v>45</v>
      </c>
      <c r="S108" s="9" t="s">
        <v>46</v>
      </c>
      <c r="T108" s="9" t="s">
        <v>47</v>
      </c>
      <c r="V108" s="9" t="s">
        <v>47</v>
      </c>
      <c r="W108" s="9" t="s">
        <v>48</v>
      </c>
      <c r="X108" s="9" t="s">
        <v>1120</v>
      </c>
      <c r="Y108" s="9" t="s">
        <v>1111</v>
      </c>
      <c r="Z108" s="11">
        <v>45944</v>
      </c>
      <c r="AA108" s="9" t="s">
        <v>50</v>
      </c>
      <c r="AB108" s="9" t="s">
        <v>1111</v>
      </c>
      <c r="AC108" s="11">
        <v>45944</v>
      </c>
      <c r="AD108" s="9" t="s">
        <v>50</v>
      </c>
    </row>
    <row r="109" spans="1:36" ht="22.5" customHeight="1" x14ac:dyDescent="0.2">
      <c r="A109" s="4">
        <v>45953.55497081019</v>
      </c>
      <c r="B109" s="5" t="s">
        <v>1121</v>
      </c>
      <c r="C109" s="5" t="s">
        <v>1122</v>
      </c>
      <c r="D109" s="5" t="s">
        <v>53</v>
      </c>
      <c r="E109" s="6" t="s">
        <v>139</v>
      </c>
      <c r="F109" s="5" t="s">
        <v>55</v>
      </c>
      <c r="G109" s="5" t="s">
        <v>35</v>
      </c>
      <c r="H109" s="5" t="s">
        <v>1123</v>
      </c>
      <c r="I109" s="5" t="s">
        <v>1124</v>
      </c>
      <c r="J109" s="5" t="s">
        <v>1125</v>
      </c>
      <c r="K109" s="5" t="s">
        <v>166</v>
      </c>
      <c r="L109" s="5" t="s">
        <v>1126</v>
      </c>
      <c r="M109" s="5" t="s">
        <v>1127</v>
      </c>
      <c r="N109" s="5" t="s">
        <v>42</v>
      </c>
      <c r="O109" s="5" t="s">
        <v>43</v>
      </c>
      <c r="P109" s="5"/>
      <c r="Q109" s="5" t="s">
        <v>75</v>
      </c>
      <c r="R109" s="5" t="s">
        <v>45</v>
      </c>
      <c r="S109" s="5" t="s">
        <v>77</v>
      </c>
      <c r="T109" s="5" t="s">
        <v>63</v>
      </c>
      <c r="U109" s="5" t="s">
        <v>1128</v>
      </c>
      <c r="V109" s="5" t="s">
        <v>47</v>
      </c>
      <c r="W109" s="5" t="s">
        <v>48</v>
      </c>
      <c r="X109" s="5" t="s">
        <v>1129</v>
      </c>
      <c r="Y109" s="5" t="s">
        <v>1122</v>
      </c>
      <c r="Z109" s="7">
        <v>45953</v>
      </c>
      <c r="AA109" s="5" t="s">
        <v>50</v>
      </c>
      <c r="AB109" s="5" t="s">
        <v>1122</v>
      </c>
      <c r="AC109" s="7">
        <v>45953</v>
      </c>
      <c r="AD109" s="5" t="s">
        <v>50</v>
      </c>
    </row>
    <row r="110" spans="1:36" ht="22.5" customHeight="1" x14ac:dyDescent="0.2">
      <c r="A110" s="8">
        <v>45996.47362153935</v>
      </c>
      <c r="B110" s="9" t="s">
        <v>1130</v>
      </c>
      <c r="C110" s="9" t="s">
        <v>1131</v>
      </c>
      <c r="D110" s="9" t="s">
        <v>53</v>
      </c>
      <c r="E110" s="9" t="s">
        <v>139</v>
      </c>
      <c r="F110" s="9" t="s">
        <v>55</v>
      </c>
      <c r="G110" s="9" t="s">
        <v>35</v>
      </c>
      <c r="H110" s="9" t="s">
        <v>1132</v>
      </c>
      <c r="I110" s="9" t="s">
        <v>1133</v>
      </c>
      <c r="J110" s="9" t="s">
        <v>1134</v>
      </c>
      <c r="K110" s="9" t="s">
        <v>1135</v>
      </c>
      <c r="L110" s="45" t="s">
        <v>1136</v>
      </c>
      <c r="M110" s="9" t="s">
        <v>1137</v>
      </c>
      <c r="N110" s="9" t="s">
        <v>42</v>
      </c>
      <c r="O110" s="9" t="s">
        <v>63</v>
      </c>
      <c r="P110" s="9" t="s">
        <v>1138</v>
      </c>
      <c r="Q110" s="9" t="s">
        <v>44</v>
      </c>
      <c r="R110" s="9" t="s">
        <v>45</v>
      </c>
      <c r="S110" s="9" t="s">
        <v>46</v>
      </c>
      <c r="T110" s="9" t="s">
        <v>47</v>
      </c>
      <c r="U110" s="9" t="s">
        <v>166</v>
      </c>
      <c r="V110" s="9" t="s">
        <v>47</v>
      </c>
      <c r="W110" s="9" t="s">
        <v>48</v>
      </c>
      <c r="X110" s="9" t="s">
        <v>1139</v>
      </c>
      <c r="Y110" s="9" t="s">
        <v>1131</v>
      </c>
      <c r="Z110" s="11">
        <v>36040</v>
      </c>
      <c r="AA110" s="9" t="s">
        <v>50</v>
      </c>
      <c r="AB110" s="9" t="s">
        <v>1131</v>
      </c>
      <c r="AC110" s="11">
        <v>36040</v>
      </c>
      <c r="AD110" s="9" t="s">
        <v>50</v>
      </c>
    </row>
    <row r="111" spans="1:36" ht="22.5" customHeight="1" x14ac:dyDescent="0.2">
      <c r="A111" s="8">
        <v>46008.583928321765</v>
      </c>
      <c r="B111" s="9" t="s">
        <v>1140</v>
      </c>
      <c r="C111" s="9" t="s">
        <v>1141</v>
      </c>
      <c r="D111" s="9" t="s">
        <v>32</v>
      </c>
      <c r="E111" s="9" t="s">
        <v>1142</v>
      </c>
      <c r="F111" s="9" t="s">
        <v>68</v>
      </c>
      <c r="G111" s="9" t="s">
        <v>35</v>
      </c>
      <c r="H111" s="9" t="s">
        <v>1143</v>
      </c>
      <c r="I111" s="9" t="s">
        <v>1144</v>
      </c>
      <c r="J111" s="9" t="s">
        <v>1145</v>
      </c>
      <c r="K111" s="9" t="s">
        <v>1146</v>
      </c>
      <c r="L111" s="9" t="s">
        <v>1147</v>
      </c>
      <c r="M111" s="9" t="s">
        <v>1148</v>
      </c>
      <c r="N111" s="9" t="s">
        <v>62</v>
      </c>
      <c r="O111" s="9" t="s">
        <v>43</v>
      </c>
      <c r="Q111" s="9" t="s">
        <v>44</v>
      </c>
      <c r="R111" s="9" t="s">
        <v>45</v>
      </c>
      <c r="S111" s="9" t="s">
        <v>46</v>
      </c>
      <c r="T111" s="9" t="s">
        <v>47</v>
      </c>
      <c r="V111" s="9" t="s">
        <v>47</v>
      </c>
      <c r="W111" s="9" t="s">
        <v>48</v>
      </c>
      <c r="X111" s="9" t="s">
        <v>1149</v>
      </c>
      <c r="Y111" s="9" t="s">
        <v>1141</v>
      </c>
      <c r="Z111" s="11">
        <v>37319</v>
      </c>
      <c r="AA111" s="9" t="s">
        <v>50</v>
      </c>
      <c r="AB111" s="9" t="s">
        <v>1141</v>
      </c>
      <c r="AC111" s="11">
        <v>37319</v>
      </c>
      <c r="AD111" s="9" t="s">
        <v>50</v>
      </c>
    </row>
    <row r="112" spans="1:36" ht="22.5" customHeight="1" x14ac:dyDescent="0.2">
      <c r="A112" s="8">
        <v>45958.530180949077</v>
      </c>
      <c r="B112" s="9" t="s">
        <v>1150</v>
      </c>
      <c r="C112" s="9" t="s">
        <v>1151</v>
      </c>
      <c r="D112" s="9" t="s">
        <v>53</v>
      </c>
      <c r="E112" s="10" t="s">
        <v>139</v>
      </c>
      <c r="F112" s="9" t="s">
        <v>68</v>
      </c>
      <c r="G112" s="9" t="s">
        <v>35</v>
      </c>
      <c r="H112" s="9" t="s">
        <v>1152</v>
      </c>
      <c r="I112" s="9" t="s">
        <v>1153</v>
      </c>
      <c r="J112" s="9" t="s">
        <v>1154</v>
      </c>
      <c r="K112" s="9" t="s">
        <v>143</v>
      </c>
      <c r="L112" s="9" t="s">
        <v>1155</v>
      </c>
      <c r="M112" s="9" t="s">
        <v>1156</v>
      </c>
      <c r="N112" s="9" t="s">
        <v>62</v>
      </c>
      <c r="O112" s="9" t="s">
        <v>43</v>
      </c>
      <c r="Q112" s="9" t="s">
        <v>44</v>
      </c>
      <c r="R112" s="9" t="s">
        <v>45</v>
      </c>
      <c r="S112" s="9" t="s">
        <v>89</v>
      </c>
      <c r="T112" s="9" t="s">
        <v>47</v>
      </c>
      <c r="V112" s="9" t="s">
        <v>63</v>
      </c>
      <c r="W112" s="9" t="s">
        <v>48</v>
      </c>
      <c r="X112" s="9" t="s">
        <v>1157</v>
      </c>
      <c r="Y112" s="9" t="s">
        <v>1151</v>
      </c>
      <c r="Z112" s="11">
        <v>45958</v>
      </c>
      <c r="AA112" s="9" t="s">
        <v>50</v>
      </c>
      <c r="AB112" s="9" t="s">
        <v>1151</v>
      </c>
      <c r="AC112" s="11">
        <v>45958</v>
      </c>
      <c r="AD112" s="9" t="s">
        <v>50</v>
      </c>
    </row>
    <row r="113" spans="1:30" ht="22.5" customHeight="1" x14ac:dyDescent="0.2">
      <c r="A113" s="8">
        <v>45988.713927638892</v>
      </c>
      <c r="B113" s="9" t="s">
        <v>1158</v>
      </c>
      <c r="C113" s="9" t="s">
        <v>1159</v>
      </c>
      <c r="D113" s="9" t="s">
        <v>53</v>
      </c>
      <c r="E113" s="10" t="s">
        <v>1160</v>
      </c>
      <c r="F113" s="9" t="s">
        <v>55</v>
      </c>
      <c r="G113" s="9" t="s">
        <v>35</v>
      </c>
      <c r="H113" s="9" t="s">
        <v>1161</v>
      </c>
      <c r="I113" s="9" t="s">
        <v>1162</v>
      </c>
      <c r="J113" s="9" t="s">
        <v>1163</v>
      </c>
      <c r="K113" s="9" t="s">
        <v>1164</v>
      </c>
      <c r="L113" s="9" t="s">
        <v>1165</v>
      </c>
      <c r="M113" s="9" t="s">
        <v>1166</v>
      </c>
      <c r="N113" s="9" t="s">
        <v>62</v>
      </c>
      <c r="O113" s="9" t="s">
        <v>43</v>
      </c>
      <c r="Q113" s="9" t="s">
        <v>112</v>
      </c>
      <c r="R113" s="9" t="s">
        <v>45</v>
      </c>
      <c r="S113" s="9" t="s">
        <v>46</v>
      </c>
      <c r="T113" s="9" t="s">
        <v>47</v>
      </c>
      <c r="V113" s="9" t="s">
        <v>47</v>
      </c>
      <c r="W113" s="9" t="s">
        <v>48</v>
      </c>
      <c r="X113" s="9" t="s">
        <v>1167</v>
      </c>
      <c r="Y113" s="9" t="s">
        <v>1159</v>
      </c>
      <c r="Z113" s="11">
        <v>45988</v>
      </c>
      <c r="AA113" s="9" t="s">
        <v>50</v>
      </c>
      <c r="AB113" s="9" t="s">
        <v>1159</v>
      </c>
      <c r="AC113" s="11">
        <v>45988</v>
      </c>
      <c r="AD113" s="9" t="s">
        <v>50</v>
      </c>
    </row>
    <row r="114" spans="1:30" ht="22.5" customHeight="1" x14ac:dyDescent="0.2">
      <c r="A114" s="8">
        <v>45993.602035208329</v>
      </c>
      <c r="B114" s="9" t="s">
        <v>1168</v>
      </c>
      <c r="C114" s="9" t="s">
        <v>1169</v>
      </c>
      <c r="D114" s="9" t="s">
        <v>53</v>
      </c>
      <c r="E114" s="9" t="s">
        <v>139</v>
      </c>
      <c r="F114" s="9" t="s">
        <v>55</v>
      </c>
      <c r="G114" s="9" t="s">
        <v>105</v>
      </c>
      <c r="H114" s="9" t="s">
        <v>1170</v>
      </c>
      <c r="I114" s="9" t="s">
        <v>1171</v>
      </c>
      <c r="J114" s="9" t="s">
        <v>1172</v>
      </c>
      <c r="K114" s="9" t="s">
        <v>1173</v>
      </c>
      <c r="L114" s="9" t="s">
        <v>1174</v>
      </c>
      <c r="M114" s="9" t="s">
        <v>1175</v>
      </c>
      <c r="N114" s="9" t="s">
        <v>42</v>
      </c>
      <c r="O114" s="9" t="s">
        <v>63</v>
      </c>
      <c r="P114" s="9" t="s">
        <v>1176</v>
      </c>
      <c r="Q114" s="9" t="s">
        <v>112</v>
      </c>
      <c r="R114" s="9" t="s">
        <v>76</v>
      </c>
      <c r="S114" s="9" t="s">
        <v>89</v>
      </c>
      <c r="T114" s="9" t="s">
        <v>47</v>
      </c>
      <c r="V114" s="9" t="s">
        <v>63</v>
      </c>
      <c r="W114" s="9" t="s">
        <v>48</v>
      </c>
      <c r="X114" s="9" t="s">
        <v>1177</v>
      </c>
      <c r="Y114" s="9" t="s">
        <v>1169</v>
      </c>
      <c r="Z114" s="11">
        <v>45993</v>
      </c>
      <c r="AA114" s="9" t="s">
        <v>50</v>
      </c>
      <c r="AB114" s="9" t="s">
        <v>1169</v>
      </c>
      <c r="AC114" s="11">
        <v>45993</v>
      </c>
      <c r="AD114" s="9" t="s">
        <v>50</v>
      </c>
    </row>
    <row r="115" spans="1:30" ht="22.5" customHeight="1" x14ac:dyDescent="0.2">
      <c r="A115" s="8">
        <v>45940.567955509257</v>
      </c>
      <c r="B115" s="9" t="s">
        <v>1178</v>
      </c>
      <c r="C115" s="9" t="s">
        <v>1179</v>
      </c>
      <c r="D115" s="9" t="s">
        <v>53</v>
      </c>
      <c r="E115" s="10" t="s">
        <v>104</v>
      </c>
      <c r="F115" s="9" t="s">
        <v>55</v>
      </c>
      <c r="G115" s="9" t="s">
        <v>35</v>
      </c>
      <c r="H115" s="9" t="s">
        <v>1180</v>
      </c>
      <c r="I115" s="9" t="s">
        <v>1181</v>
      </c>
      <c r="J115" s="9" t="s">
        <v>1182</v>
      </c>
      <c r="K115" s="9" t="s">
        <v>1183</v>
      </c>
      <c r="L115" s="9" t="s">
        <v>1184</v>
      </c>
      <c r="M115" s="9" t="s">
        <v>1185</v>
      </c>
      <c r="N115" s="9" t="s">
        <v>42</v>
      </c>
      <c r="O115" s="9" t="s">
        <v>43</v>
      </c>
      <c r="P115" s="9" t="s">
        <v>1186</v>
      </c>
      <c r="Q115" s="9" t="s">
        <v>44</v>
      </c>
      <c r="R115" s="9" t="s">
        <v>45</v>
      </c>
      <c r="S115" s="9" t="s">
        <v>46</v>
      </c>
      <c r="T115" s="9" t="s">
        <v>47</v>
      </c>
      <c r="U115" s="9" t="s">
        <v>1186</v>
      </c>
      <c r="V115" s="9" t="s">
        <v>63</v>
      </c>
      <c r="W115" s="9" t="s">
        <v>48</v>
      </c>
      <c r="X115" s="9" t="s">
        <v>1187</v>
      </c>
      <c r="Y115" s="9" t="s">
        <v>1179</v>
      </c>
      <c r="Z115" s="11">
        <v>45940</v>
      </c>
      <c r="AA115" s="9" t="s">
        <v>50</v>
      </c>
      <c r="AB115" s="9" t="s">
        <v>1179</v>
      </c>
      <c r="AC115" s="11">
        <v>45940</v>
      </c>
      <c r="AD115" s="9" t="s">
        <v>50</v>
      </c>
    </row>
    <row r="116" spans="1:30" ht="22.5" customHeight="1" x14ac:dyDescent="0.2">
      <c r="A116" s="8">
        <v>45985.543817986108</v>
      </c>
      <c r="B116" s="9" t="s">
        <v>1188</v>
      </c>
      <c r="C116" s="9" t="s">
        <v>1189</v>
      </c>
      <c r="D116" s="9" t="s">
        <v>53</v>
      </c>
      <c r="E116" s="10" t="s">
        <v>1190</v>
      </c>
      <c r="F116" s="9" t="s">
        <v>1191</v>
      </c>
      <c r="G116" s="9" t="s">
        <v>35</v>
      </c>
      <c r="H116" s="9" t="s">
        <v>1192</v>
      </c>
      <c r="I116" s="9" t="s">
        <v>1193</v>
      </c>
      <c r="J116" s="9" t="s">
        <v>1194</v>
      </c>
      <c r="K116" s="9" t="s">
        <v>1195</v>
      </c>
      <c r="L116" s="9" t="s">
        <v>1196</v>
      </c>
      <c r="M116" s="9" t="s">
        <v>1197</v>
      </c>
      <c r="N116" s="9" t="s">
        <v>42</v>
      </c>
      <c r="O116" s="9" t="s">
        <v>43</v>
      </c>
      <c r="Q116" s="9" t="s">
        <v>75</v>
      </c>
      <c r="R116" s="9" t="s">
        <v>45</v>
      </c>
      <c r="S116" s="9" t="s">
        <v>46</v>
      </c>
      <c r="T116" s="9" t="s">
        <v>47</v>
      </c>
      <c r="V116" s="9" t="s">
        <v>63</v>
      </c>
      <c r="W116" s="9" t="s">
        <v>48</v>
      </c>
      <c r="X116" s="9" t="s">
        <v>1198</v>
      </c>
      <c r="Y116" s="9" t="s">
        <v>1189</v>
      </c>
      <c r="Z116" s="11">
        <v>45985</v>
      </c>
      <c r="AA116" s="9" t="s">
        <v>50</v>
      </c>
      <c r="AB116" s="9" t="s">
        <v>1189</v>
      </c>
      <c r="AC116" s="11">
        <v>45985</v>
      </c>
      <c r="AD116" s="9" t="s">
        <v>50</v>
      </c>
    </row>
    <row r="117" spans="1:30" ht="22.5" customHeight="1" x14ac:dyDescent="0.2">
      <c r="A117" s="8">
        <v>45951.069673182872</v>
      </c>
      <c r="B117" s="9" t="s">
        <v>1199</v>
      </c>
      <c r="C117" s="9" t="s">
        <v>1200</v>
      </c>
      <c r="D117" s="9" t="s">
        <v>32</v>
      </c>
      <c r="E117" s="10" t="s">
        <v>104</v>
      </c>
      <c r="F117" s="9" t="s">
        <v>55</v>
      </c>
      <c r="G117" s="9" t="s">
        <v>35</v>
      </c>
      <c r="H117" s="9" t="s">
        <v>1201</v>
      </c>
      <c r="I117" s="9" t="s">
        <v>1202</v>
      </c>
      <c r="J117" s="9" t="s">
        <v>1203</v>
      </c>
      <c r="K117" s="9" t="s">
        <v>1204</v>
      </c>
      <c r="L117" s="9" t="s">
        <v>1205</v>
      </c>
      <c r="M117" s="9" t="s">
        <v>1206</v>
      </c>
      <c r="N117" s="9" t="s">
        <v>42</v>
      </c>
      <c r="O117" s="9" t="s">
        <v>43</v>
      </c>
      <c r="Q117" s="9" t="s">
        <v>44</v>
      </c>
      <c r="R117" s="9" t="s">
        <v>45</v>
      </c>
      <c r="S117" s="9" t="s">
        <v>46</v>
      </c>
      <c r="T117" s="9" t="s">
        <v>47</v>
      </c>
      <c r="V117" s="9" t="s">
        <v>63</v>
      </c>
      <c r="W117" s="9" t="s">
        <v>48</v>
      </c>
      <c r="X117" s="9" t="s">
        <v>1207</v>
      </c>
      <c r="Y117" s="9" t="s">
        <v>1200</v>
      </c>
      <c r="Z117" s="11">
        <v>45951</v>
      </c>
      <c r="AA117" s="9" t="s">
        <v>50</v>
      </c>
      <c r="AB117" s="9" t="s">
        <v>1200</v>
      </c>
      <c r="AC117" s="11">
        <v>45951</v>
      </c>
      <c r="AD117" s="9" t="s">
        <v>50</v>
      </c>
    </row>
    <row r="118" spans="1:30" ht="22.5" customHeight="1" x14ac:dyDescent="0.2">
      <c r="A118" s="8">
        <v>45999.52321486111</v>
      </c>
      <c r="B118" s="9" t="s">
        <v>1208</v>
      </c>
      <c r="C118" s="9" t="s">
        <v>1209</v>
      </c>
      <c r="D118" s="9" t="s">
        <v>53</v>
      </c>
      <c r="E118" s="9" t="s">
        <v>116</v>
      </c>
      <c r="F118" s="9" t="s">
        <v>55</v>
      </c>
      <c r="G118" s="9" t="s">
        <v>35</v>
      </c>
      <c r="H118" s="9" t="s">
        <v>1210</v>
      </c>
      <c r="I118" s="9" t="s">
        <v>1211</v>
      </c>
      <c r="J118" s="9" t="s">
        <v>1212</v>
      </c>
      <c r="K118" s="9" t="s">
        <v>1213</v>
      </c>
      <c r="L118" s="9" t="s">
        <v>1214</v>
      </c>
      <c r="M118" s="9" t="s">
        <v>1215</v>
      </c>
      <c r="N118" s="9" t="s">
        <v>42</v>
      </c>
      <c r="O118" s="9" t="s">
        <v>63</v>
      </c>
      <c r="P118" s="9" t="s">
        <v>1216</v>
      </c>
      <c r="Q118" s="9" t="s">
        <v>112</v>
      </c>
      <c r="R118" s="9" t="s">
        <v>76</v>
      </c>
      <c r="S118" s="9" t="s">
        <v>46</v>
      </c>
      <c r="T118" s="9" t="s">
        <v>47</v>
      </c>
      <c r="V118" s="9" t="s">
        <v>63</v>
      </c>
      <c r="W118" s="9" t="s">
        <v>406</v>
      </c>
      <c r="X118" s="9" t="s">
        <v>1217</v>
      </c>
      <c r="Y118" s="9" t="s">
        <v>1209</v>
      </c>
      <c r="Z118" s="11">
        <v>45999</v>
      </c>
      <c r="AA118" s="9" t="s">
        <v>50</v>
      </c>
      <c r="AB118" s="9" t="s">
        <v>1209</v>
      </c>
      <c r="AC118" s="11">
        <v>45999</v>
      </c>
      <c r="AD118" s="9" t="s">
        <v>50</v>
      </c>
    </row>
    <row r="119" spans="1:30" ht="22.5" customHeight="1" x14ac:dyDescent="0.2">
      <c r="A119" s="8">
        <v>46009.50351657407</v>
      </c>
      <c r="B119" s="9" t="s">
        <v>1218</v>
      </c>
      <c r="C119" s="9" t="s">
        <v>1219</v>
      </c>
      <c r="D119" s="9" t="s">
        <v>53</v>
      </c>
      <c r="E119" s="9" t="s">
        <v>1220</v>
      </c>
      <c r="F119" s="9" t="s">
        <v>369</v>
      </c>
      <c r="G119" s="9" t="s">
        <v>35</v>
      </c>
      <c r="H119" s="9" t="s">
        <v>1221</v>
      </c>
      <c r="I119" s="9" t="s">
        <v>1222</v>
      </c>
      <c r="J119" s="9" t="s">
        <v>1223</v>
      </c>
      <c r="K119" s="9" t="s">
        <v>1224</v>
      </c>
      <c r="L119" s="9" t="s">
        <v>1225</v>
      </c>
      <c r="M119" s="9" t="s">
        <v>1226</v>
      </c>
      <c r="N119" s="9" t="s">
        <v>62</v>
      </c>
      <c r="O119" s="9" t="s">
        <v>43</v>
      </c>
      <c r="Q119" s="9" t="s">
        <v>75</v>
      </c>
      <c r="R119" s="9" t="s">
        <v>45</v>
      </c>
      <c r="S119" s="9" t="s">
        <v>89</v>
      </c>
      <c r="T119" s="9" t="s">
        <v>47</v>
      </c>
      <c r="V119" s="9" t="s">
        <v>47</v>
      </c>
      <c r="W119" s="9" t="s">
        <v>48</v>
      </c>
      <c r="X119" s="9" t="s">
        <v>1227</v>
      </c>
      <c r="Y119" s="9" t="s">
        <v>1219</v>
      </c>
      <c r="Z119" s="11">
        <v>46009</v>
      </c>
      <c r="AA119" s="9" t="s">
        <v>50</v>
      </c>
      <c r="AB119" s="9" t="s">
        <v>1219</v>
      </c>
      <c r="AC119" s="11">
        <v>46009</v>
      </c>
      <c r="AD119" s="9" t="s">
        <v>50</v>
      </c>
    </row>
    <row r="120" spans="1:30" ht="22.5" customHeight="1" x14ac:dyDescent="0.2">
      <c r="A120" s="8">
        <v>45991.23263731481</v>
      </c>
      <c r="B120" s="9" t="s">
        <v>1228</v>
      </c>
      <c r="C120" s="9" t="s">
        <v>1229</v>
      </c>
      <c r="D120" s="9" t="s">
        <v>53</v>
      </c>
      <c r="E120" s="10" t="s">
        <v>162</v>
      </c>
      <c r="F120" s="9" t="s">
        <v>55</v>
      </c>
      <c r="G120" s="9" t="s">
        <v>35</v>
      </c>
      <c r="H120" s="9" t="s">
        <v>1230</v>
      </c>
      <c r="I120" s="9" t="s">
        <v>1231</v>
      </c>
      <c r="J120" s="9" t="s">
        <v>1232</v>
      </c>
      <c r="K120" s="9" t="s">
        <v>166</v>
      </c>
      <c r="L120" s="9" t="s">
        <v>1233</v>
      </c>
      <c r="M120" s="9" t="s">
        <v>1234</v>
      </c>
      <c r="N120" s="9" t="s">
        <v>62</v>
      </c>
      <c r="O120" s="9" t="s">
        <v>43</v>
      </c>
      <c r="Q120" s="9" t="s">
        <v>75</v>
      </c>
      <c r="R120" s="9" t="s">
        <v>45</v>
      </c>
      <c r="S120" s="9" t="s">
        <v>46</v>
      </c>
      <c r="T120" s="9" t="s">
        <v>47</v>
      </c>
      <c r="V120" s="9" t="s">
        <v>47</v>
      </c>
      <c r="W120" s="9" t="s">
        <v>406</v>
      </c>
      <c r="X120" s="9" t="s">
        <v>1235</v>
      </c>
      <c r="Y120" s="9" t="s">
        <v>1229</v>
      </c>
      <c r="Z120" s="11">
        <v>45991</v>
      </c>
      <c r="AA120" s="9" t="s">
        <v>50</v>
      </c>
      <c r="AB120" s="9" t="s">
        <v>1229</v>
      </c>
      <c r="AC120" s="11">
        <v>45991</v>
      </c>
      <c r="AD120" s="9" t="s">
        <v>50</v>
      </c>
    </row>
    <row r="121" spans="1:30" ht="22.5" customHeight="1" x14ac:dyDescent="0.2">
      <c r="A121" s="8">
        <v>45995.654529224536</v>
      </c>
      <c r="B121" s="9" t="s">
        <v>1236</v>
      </c>
      <c r="C121" s="9" t="s">
        <v>1237</v>
      </c>
      <c r="D121" s="9" t="s">
        <v>53</v>
      </c>
      <c r="E121" s="9" t="s">
        <v>222</v>
      </c>
      <c r="F121" s="9" t="s">
        <v>55</v>
      </c>
      <c r="G121" s="9" t="s">
        <v>105</v>
      </c>
      <c r="H121" s="9" t="s">
        <v>1238</v>
      </c>
      <c r="I121" s="9" t="s">
        <v>1239</v>
      </c>
      <c r="J121" s="9" t="s">
        <v>1240</v>
      </c>
      <c r="K121" s="9" t="s">
        <v>1241</v>
      </c>
      <c r="L121" s="9" t="s">
        <v>1242</v>
      </c>
      <c r="M121" s="9" t="s">
        <v>1243</v>
      </c>
      <c r="N121" s="9" t="s">
        <v>42</v>
      </c>
      <c r="O121" s="9" t="s">
        <v>43</v>
      </c>
      <c r="Q121" s="9" t="s">
        <v>44</v>
      </c>
      <c r="R121" s="9" t="s">
        <v>45</v>
      </c>
      <c r="S121" s="9" t="s">
        <v>46</v>
      </c>
      <c r="T121" s="9" t="s">
        <v>47</v>
      </c>
      <c r="V121" s="9" t="s">
        <v>63</v>
      </c>
      <c r="W121" s="9" t="s">
        <v>48</v>
      </c>
      <c r="X121" s="9" t="s">
        <v>1244</v>
      </c>
      <c r="Y121" s="9" t="s">
        <v>1237</v>
      </c>
      <c r="Z121" s="11">
        <v>45995</v>
      </c>
      <c r="AA121" s="9" t="s">
        <v>50</v>
      </c>
      <c r="AB121" s="9" t="s">
        <v>1237</v>
      </c>
      <c r="AC121" s="11">
        <v>45995</v>
      </c>
      <c r="AD121" s="9" t="s">
        <v>50</v>
      </c>
    </row>
    <row r="122" spans="1:30" ht="22.5" customHeight="1" x14ac:dyDescent="0.2">
      <c r="A122" s="8">
        <v>45995.841133101851</v>
      </c>
      <c r="B122" s="9" t="s">
        <v>1245</v>
      </c>
      <c r="C122" s="9" t="s">
        <v>1246</v>
      </c>
      <c r="D122" s="9" t="s">
        <v>32</v>
      </c>
      <c r="E122" s="9" t="s">
        <v>139</v>
      </c>
      <c r="F122" s="9" t="s">
        <v>55</v>
      </c>
      <c r="G122" s="9" t="s">
        <v>35</v>
      </c>
      <c r="H122" s="9" t="s">
        <v>1247</v>
      </c>
      <c r="I122" s="9" t="s">
        <v>1248</v>
      </c>
      <c r="J122" s="9" t="s">
        <v>1249</v>
      </c>
      <c r="K122" s="9" t="s">
        <v>1250</v>
      </c>
      <c r="L122" s="9" t="s">
        <v>1251</v>
      </c>
      <c r="M122" s="9" t="s">
        <v>1252</v>
      </c>
      <c r="N122" s="9" t="s">
        <v>62</v>
      </c>
      <c r="O122" s="9" t="s">
        <v>43</v>
      </c>
      <c r="Q122" s="9" t="s">
        <v>44</v>
      </c>
      <c r="R122" s="9" t="s">
        <v>45</v>
      </c>
      <c r="S122" s="9" t="s">
        <v>387</v>
      </c>
      <c r="T122" s="9" t="s">
        <v>63</v>
      </c>
      <c r="U122" s="9" t="s">
        <v>1253</v>
      </c>
      <c r="V122" s="9" t="s">
        <v>47</v>
      </c>
      <c r="W122" s="9" t="s">
        <v>48</v>
      </c>
      <c r="X122" s="9" t="s">
        <v>1254</v>
      </c>
      <c r="Y122" s="9" t="s">
        <v>1246</v>
      </c>
      <c r="Z122" s="11">
        <v>45995</v>
      </c>
      <c r="AA122" s="9" t="s">
        <v>50</v>
      </c>
      <c r="AB122" s="9" t="s">
        <v>1246</v>
      </c>
      <c r="AC122" s="11">
        <v>45995</v>
      </c>
      <c r="AD122" s="9" t="s">
        <v>50</v>
      </c>
    </row>
    <row r="123" spans="1:30" ht="22.5" customHeight="1" x14ac:dyDescent="0.2">
      <c r="A123" s="8">
        <v>45994.541687743054</v>
      </c>
      <c r="B123" s="9" t="s">
        <v>1255</v>
      </c>
      <c r="C123" s="9" t="s">
        <v>1256</v>
      </c>
      <c r="D123" s="9" t="s">
        <v>53</v>
      </c>
      <c r="E123" s="9" t="s">
        <v>116</v>
      </c>
      <c r="F123" s="9" t="s">
        <v>55</v>
      </c>
      <c r="G123" s="9" t="s">
        <v>35</v>
      </c>
      <c r="H123" s="9" t="s">
        <v>1257</v>
      </c>
      <c r="I123" s="9" t="s">
        <v>1258</v>
      </c>
      <c r="J123" s="9" t="s">
        <v>1259</v>
      </c>
      <c r="K123" s="9" t="s">
        <v>166</v>
      </c>
      <c r="L123" s="9" t="s">
        <v>1260</v>
      </c>
      <c r="M123" s="9" t="s">
        <v>1261</v>
      </c>
      <c r="N123" s="9" t="s">
        <v>42</v>
      </c>
      <c r="O123" s="9" t="s">
        <v>43</v>
      </c>
      <c r="Q123" s="9" t="s">
        <v>44</v>
      </c>
      <c r="R123" s="9" t="s">
        <v>303</v>
      </c>
      <c r="S123" s="9" t="s">
        <v>46</v>
      </c>
      <c r="T123" s="9" t="s">
        <v>47</v>
      </c>
      <c r="V123" s="9" t="s">
        <v>47</v>
      </c>
      <c r="W123" s="9" t="s">
        <v>406</v>
      </c>
      <c r="X123" s="9" t="s">
        <v>1262</v>
      </c>
      <c r="Y123" s="9" t="s">
        <v>1256</v>
      </c>
      <c r="Z123" s="11">
        <v>45994</v>
      </c>
      <c r="AA123" s="9" t="s">
        <v>50</v>
      </c>
      <c r="AB123" s="9" t="s">
        <v>1256</v>
      </c>
      <c r="AC123" s="11">
        <v>45994</v>
      </c>
      <c r="AD123" s="9" t="s">
        <v>50</v>
      </c>
    </row>
    <row r="124" spans="1:30" ht="22.5" customHeight="1" x14ac:dyDescent="0.2">
      <c r="A124" s="8">
        <v>45999.561672766205</v>
      </c>
      <c r="B124" s="9" t="s">
        <v>1263</v>
      </c>
      <c r="C124" s="9" t="s">
        <v>1264</v>
      </c>
      <c r="D124" s="9" t="s">
        <v>53</v>
      </c>
      <c r="E124" s="9" t="s">
        <v>104</v>
      </c>
      <c r="F124" s="9" t="s">
        <v>68</v>
      </c>
      <c r="G124" s="9" t="s">
        <v>35</v>
      </c>
      <c r="H124" s="9" t="s">
        <v>1265</v>
      </c>
      <c r="I124" s="9" t="s">
        <v>1266</v>
      </c>
      <c r="J124" s="9" t="s">
        <v>1267</v>
      </c>
      <c r="K124" s="9" t="s">
        <v>1268</v>
      </c>
      <c r="L124" s="9" t="s">
        <v>1269</v>
      </c>
      <c r="M124" s="9" t="s">
        <v>1270</v>
      </c>
      <c r="N124" s="9" t="s">
        <v>62</v>
      </c>
      <c r="O124" s="9" t="s">
        <v>43</v>
      </c>
      <c r="Q124" s="9" t="s">
        <v>44</v>
      </c>
      <c r="R124" s="9" t="s">
        <v>76</v>
      </c>
      <c r="S124" s="9" t="s">
        <v>89</v>
      </c>
      <c r="T124" s="9" t="s">
        <v>47</v>
      </c>
      <c r="V124" s="9" t="s">
        <v>47</v>
      </c>
      <c r="W124" s="9" t="s">
        <v>48</v>
      </c>
      <c r="X124" s="9" t="s">
        <v>1271</v>
      </c>
      <c r="Y124" s="9" t="s">
        <v>1264</v>
      </c>
      <c r="Z124" s="11">
        <v>45999</v>
      </c>
      <c r="AA124" s="9" t="s">
        <v>50</v>
      </c>
      <c r="AB124" s="9" t="s">
        <v>1264</v>
      </c>
      <c r="AC124" s="11">
        <v>45999</v>
      </c>
      <c r="AD124" s="9" t="s">
        <v>50</v>
      </c>
    </row>
    <row r="125" spans="1:30" ht="22.5" customHeight="1" x14ac:dyDescent="0.2">
      <c r="A125" s="46">
        <v>45992.605327731479</v>
      </c>
      <c r="B125" s="47" t="s">
        <v>1272</v>
      </c>
      <c r="C125" s="47" t="s">
        <v>1273</v>
      </c>
      <c r="D125" s="47" t="s">
        <v>53</v>
      </c>
      <c r="E125" s="48" t="s">
        <v>104</v>
      </c>
      <c r="F125" s="47" t="s">
        <v>55</v>
      </c>
      <c r="G125" s="47" t="s">
        <v>35</v>
      </c>
      <c r="H125" s="47" t="s">
        <v>1274</v>
      </c>
      <c r="I125" s="47" t="s">
        <v>1275</v>
      </c>
      <c r="J125" s="47" t="s">
        <v>1276</v>
      </c>
      <c r="K125" s="47" t="s">
        <v>1277</v>
      </c>
      <c r="L125" s="47" t="s">
        <v>1278</v>
      </c>
      <c r="M125" s="47" t="s">
        <v>1279</v>
      </c>
      <c r="N125" s="47" t="s">
        <v>42</v>
      </c>
      <c r="O125" s="47" t="s">
        <v>43</v>
      </c>
      <c r="P125" s="47"/>
      <c r="Q125" s="47" t="s">
        <v>44</v>
      </c>
      <c r="R125" s="47" t="s">
        <v>45</v>
      </c>
      <c r="S125" s="47" t="s">
        <v>46</v>
      </c>
      <c r="T125" s="47" t="s">
        <v>47</v>
      </c>
      <c r="U125" s="47"/>
      <c r="V125" s="47" t="s">
        <v>63</v>
      </c>
      <c r="W125" s="47" t="s">
        <v>1280</v>
      </c>
      <c r="X125" s="47" t="s">
        <v>1281</v>
      </c>
      <c r="Y125" s="47" t="s">
        <v>1273</v>
      </c>
      <c r="Z125" s="49">
        <v>45992</v>
      </c>
      <c r="AA125" s="47" t="s">
        <v>50</v>
      </c>
      <c r="AB125" s="47" t="s">
        <v>1273</v>
      </c>
      <c r="AC125" s="49">
        <v>45992</v>
      </c>
      <c r="AD125" s="47" t="s">
        <v>50</v>
      </c>
    </row>
    <row r="126" spans="1:30" ht="22.5" customHeight="1" x14ac:dyDescent="0.2">
      <c r="A126" s="8">
        <v>45959.641659849542</v>
      </c>
      <c r="B126" s="9" t="s">
        <v>1282</v>
      </c>
      <c r="C126" s="9" t="s">
        <v>1283</v>
      </c>
      <c r="D126" s="9" t="s">
        <v>53</v>
      </c>
      <c r="E126" s="10" t="s">
        <v>151</v>
      </c>
      <c r="F126" s="9" t="s">
        <v>68</v>
      </c>
      <c r="G126" s="9" t="s">
        <v>105</v>
      </c>
      <c r="H126" s="9" t="s">
        <v>1284</v>
      </c>
      <c r="I126" s="9" t="s">
        <v>1285</v>
      </c>
      <c r="J126" s="9" t="s">
        <v>1286</v>
      </c>
      <c r="K126" s="9" t="s">
        <v>1287</v>
      </c>
      <c r="L126" s="9" t="s">
        <v>1288</v>
      </c>
      <c r="M126" s="9" t="s">
        <v>1289</v>
      </c>
      <c r="N126" s="9" t="s">
        <v>42</v>
      </c>
      <c r="O126" s="9" t="s">
        <v>63</v>
      </c>
      <c r="P126" s="9" t="s">
        <v>1290</v>
      </c>
      <c r="Q126" s="9" t="s">
        <v>112</v>
      </c>
      <c r="R126" s="9" t="s">
        <v>303</v>
      </c>
      <c r="S126" s="9" t="s">
        <v>46</v>
      </c>
      <c r="T126" s="9" t="s">
        <v>47</v>
      </c>
      <c r="V126" s="9" t="s">
        <v>63</v>
      </c>
      <c r="W126" s="9" t="s">
        <v>48</v>
      </c>
      <c r="X126" s="9" t="s">
        <v>1291</v>
      </c>
      <c r="Y126" s="9" t="s">
        <v>1283</v>
      </c>
      <c r="Z126" s="11">
        <v>45959</v>
      </c>
      <c r="AA126" s="9" t="s">
        <v>50</v>
      </c>
      <c r="AB126" s="9" t="s">
        <v>1283</v>
      </c>
      <c r="AC126" s="11">
        <v>45959</v>
      </c>
      <c r="AD126" s="9" t="s">
        <v>50</v>
      </c>
    </row>
    <row r="127" spans="1:30" ht="22.5" customHeight="1" x14ac:dyDescent="0.2">
      <c r="A127" s="8">
        <v>45950.678543043978</v>
      </c>
      <c r="B127" s="9" t="s">
        <v>1292</v>
      </c>
      <c r="C127" s="9" t="s">
        <v>1293</v>
      </c>
      <c r="D127" s="9" t="s">
        <v>53</v>
      </c>
      <c r="E127" s="10" t="s">
        <v>234</v>
      </c>
      <c r="F127" s="9" t="s">
        <v>55</v>
      </c>
      <c r="G127" s="9" t="s">
        <v>35</v>
      </c>
      <c r="H127" s="9" t="s">
        <v>1294</v>
      </c>
      <c r="I127" s="9" t="s">
        <v>1295</v>
      </c>
      <c r="J127" s="9" t="s">
        <v>1296</v>
      </c>
      <c r="K127" s="9" t="s">
        <v>1297</v>
      </c>
      <c r="L127" s="9" t="s">
        <v>1298</v>
      </c>
      <c r="M127" s="9" t="s">
        <v>1299</v>
      </c>
      <c r="N127" s="9" t="s">
        <v>42</v>
      </c>
      <c r="O127" s="9" t="s">
        <v>43</v>
      </c>
      <c r="Q127" s="9" t="s">
        <v>44</v>
      </c>
      <c r="R127" s="9" t="s">
        <v>45</v>
      </c>
      <c r="S127" s="9" t="s">
        <v>46</v>
      </c>
      <c r="T127" s="9" t="s">
        <v>47</v>
      </c>
      <c r="V127" s="9" t="s">
        <v>47</v>
      </c>
      <c r="W127" s="41" t="s">
        <v>406</v>
      </c>
      <c r="X127" s="9" t="s">
        <v>1300</v>
      </c>
      <c r="Y127" s="9" t="s">
        <v>1293</v>
      </c>
      <c r="Z127" s="11">
        <v>45950</v>
      </c>
      <c r="AA127" s="9" t="s">
        <v>50</v>
      </c>
      <c r="AB127" s="9" t="s">
        <v>1293</v>
      </c>
      <c r="AC127" s="11">
        <v>45950</v>
      </c>
      <c r="AD127" s="9" t="s">
        <v>50</v>
      </c>
    </row>
    <row r="128" spans="1:30" ht="22.5" customHeight="1" x14ac:dyDescent="0.2">
      <c r="A128" s="8">
        <v>46003.489485486112</v>
      </c>
      <c r="B128" s="9" t="s">
        <v>1301</v>
      </c>
      <c r="C128" s="9" t="s">
        <v>1302</v>
      </c>
      <c r="D128" s="9" t="s">
        <v>32</v>
      </c>
      <c r="E128" s="9" t="s">
        <v>437</v>
      </c>
      <c r="F128" s="9" t="s">
        <v>55</v>
      </c>
      <c r="G128" s="9" t="s">
        <v>35</v>
      </c>
      <c r="H128" s="9" t="s">
        <v>1303</v>
      </c>
      <c r="I128" s="9" t="s">
        <v>1304</v>
      </c>
      <c r="J128" s="9" t="s">
        <v>1305</v>
      </c>
      <c r="K128" s="9" t="s">
        <v>143</v>
      </c>
      <c r="L128" s="9" t="s">
        <v>1306</v>
      </c>
      <c r="M128" s="9" t="s">
        <v>1307</v>
      </c>
      <c r="N128" s="9" t="s">
        <v>42</v>
      </c>
      <c r="O128" s="9" t="s">
        <v>43</v>
      </c>
      <c r="Q128" s="9" t="s">
        <v>44</v>
      </c>
      <c r="R128" s="9" t="s">
        <v>303</v>
      </c>
      <c r="S128" s="9" t="s">
        <v>89</v>
      </c>
      <c r="T128" s="9" t="s">
        <v>47</v>
      </c>
      <c r="V128" s="9" t="s">
        <v>47</v>
      </c>
      <c r="W128" s="9" t="s">
        <v>48</v>
      </c>
      <c r="X128" s="9" t="s">
        <v>1308</v>
      </c>
      <c r="Y128" s="9" t="s">
        <v>1302</v>
      </c>
      <c r="Z128" s="11">
        <v>46003</v>
      </c>
      <c r="AA128" s="9" t="s">
        <v>50</v>
      </c>
      <c r="AB128" s="9" t="s">
        <v>1302</v>
      </c>
      <c r="AC128" s="11">
        <v>46003</v>
      </c>
      <c r="AD128" s="9" t="s">
        <v>50</v>
      </c>
    </row>
    <row r="129" spans="1:36" ht="22.5" customHeight="1" x14ac:dyDescent="0.2">
      <c r="A129" s="8">
        <v>45951.595049004631</v>
      </c>
      <c r="B129" s="9" t="s">
        <v>1309</v>
      </c>
      <c r="C129" s="9" t="s">
        <v>1310</v>
      </c>
      <c r="D129" s="9" t="s">
        <v>53</v>
      </c>
      <c r="E129" s="10" t="s">
        <v>881</v>
      </c>
      <c r="F129" s="9" t="s">
        <v>55</v>
      </c>
      <c r="G129" s="9" t="s">
        <v>35</v>
      </c>
      <c r="H129" s="9" t="s">
        <v>1311</v>
      </c>
      <c r="I129" s="9" t="s">
        <v>1312</v>
      </c>
      <c r="J129" s="9" t="s">
        <v>1313</v>
      </c>
      <c r="K129" s="9" t="s">
        <v>1314</v>
      </c>
      <c r="L129" s="9" t="s">
        <v>1315</v>
      </c>
      <c r="M129" s="9" t="s">
        <v>1316</v>
      </c>
      <c r="N129" s="9" t="s">
        <v>42</v>
      </c>
      <c r="O129" s="9" t="s">
        <v>43</v>
      </c>
      <c r="Q129" s="9" t="s">
        <v>44</v>
      </c>
      <c r="R129" s="9" t="s">
        <v>45</v>
      </c>
      <c r="S129" s="9" t="s">
        <v>387</v>
      </c>
      <c r="T129" s="9" t="s">
        <v>47</v>
      </c>
      <c r="V129" s="9" t="s">
        <v>47</v>
      </c>
      <c r="W129" s="9" t="s">
        <v>48</v>
      </c>
      <c r="X129" s="9" t="s">
        <v>113</v>
      </c>
      <c r="Y129" s="9" t="s">
        <v>1310</v>
      </c>
      <c r="Z129" s="11">
        <v>35382</v>
      </c>
      <c r="AA129" s="9" t="s">
        <v>50</v>
      </c>
      <c r="AB129" s="9" t="s">
        <v>1310</v>
      </c>
      <c r="AC129" s="11">
        <v>35382</v>
      </c>
      <c r="AD129" s="9" t="s">
        <v>50</v>
      </c>
    </row>
    <row r="130" spans="1:36" ht="22.5" customHeight="1" x14ac:dyDescent="0.2">
      <c r="A130" s="8">
        <v>45946.459952523146</v>
      </c>
      <c r="B130" s="9" t="s">
        <v>1317</v>
      </c>
      <c r="C130" s="9" t="s">
        <v>1318</v>
      </c>
      <c r="D130" s="9" t="s">
        <v>53</v>
      </c>
      <c r="E130" s="10" t="s">
        <v>139</v>
      </c>
      <c r="F130" s="9" t="s">
        <v>696</v>
      </c>
      <c r="G130" s="9" t="s">
        <v>105</v>
      </c>
      <c r="H130" s="9" t="s">
        <v>1319</v>
      </c>
      <c r="I130" s="9" t="s">
        <v>1320</v>
      </c>
      <c r="J130" s="9" t="s">
        <v>1321</v>
      </c>
      <c r="K130" s="9" t="s">
        <v>1322</v>
      </c>
      <c r="L130" s="9" t="s">
        <v>1323</v>
      </c>
      <c r="M130" s="9" t="s">
        <v>1324</v>
      </c>
      <c r="N130" s="9" t="s">
        <v>62</v>
      </c>
      <c r="O130" s="9" t="s">
        <v>43</v>
      </c>
      <c r="Q130" s="9" t="s">
        <v>75</v>
      </c>
      <c r="R130" s="9" t="s">
        <v>45</v>
      </c>
      <c r="S130" s="9" t="s">
        <v>46</v>
      </c>
      <c r="T130" s="9" t="s">
        <v>47</v>
      </c>
      <c r="V130" s="9" t="s">
        <v>63</v>
      </c>
      <c r="W130" s="9" t="s">
        <v>48</v>
      </c>
      <c r="X130" s="9" t="s">
        <v>1325</v>
      </c>
      <c r="Y130" s="9" t="s">
        <v>1318</v>
      </c>
      <c r="Z130" s="11">
        <v>45946</v>
      </c>
      <c r="AA130" s="9" t="s">
        <v>50</v>
      </c>
      <c r="AB130" s="9" t="s">
        <v>1318</v>
      </c>
      <c r="AC130" s="11">
        <v>45946</v>
      </c>
      <c r="AD130" s="9" t="s">
        <v>50</v>
      </c>
    </row>
    <row r="131" spans="1:36" ht="22.5" customHeight="1" x14ac:dyDescent="0.2">
      <c r="A131" s="8">
        <v>45972.891849293985</v>
      </c>
      <c r="B131" s="9" t="s">
        <v>1326</v>
      </c>
      <c r="C131" s="9" t="s">
        <v>1327</v>
      </c>
      <c r="D131" s="9" t="s">
        <v>53</v>
      </c>
      <c r="E131" s="10" t="s">
        <v>234</v>
      </c>
      <c r="F131" s="9" t="s">
        <v>1328</v>
      </c>
      <c r="G131" s="9" t="s">
        <v>35</v>
      </c>
      <c r="H131" s="9" t="s">
        <v>1329</v>
      </c>
      <c r="I131" s="9" t="s">
        <v>1330</v>
      </c>
      <c r="J131" s="9" t="s">
        <v>1331</v>
      </c>
      <c r="K131" s="9" t="s">
        <v>1332</v>
      </c>
      <c r="L131" s="9" t="s">
        <v>1333</v>
      </c>
      <c r="M131" s="9" t="s">
        <v>1334</v>
      </c>
      <c r="N131" s="9" t="s">
        <v>42</v>
      </c>
      <c r="O131" s="9" t="s">
        <v>43</v>
      </c>
      <c r="Q131" s="9" t="s">
        <v>44</v>
      </c>
      <c r="R131" s="9" t="s">
        <v>45</v>
      </c>
      <c r="S131" s="9" t="s">
        <v>46</v>
      </c>
      <c r="T131" s="9" t="s">
        <v>47</v>
      </c>
      <c r="V131" s="9" t="s">
        <v>47</v>
      </c>
      <c r="W131" s="9" t="s">
        <v>48</v>
      </c>
      <c r="X131" s="9" t="s">
        <v>1335</v>
      </c>
      <c r="Y131" s="9" t="s">
        <v>1327</v>
      </c>
      <c r="Z131" s="11">
        <v>45972</v>
      </c>
      <c r="AA131" s="9" t="s">
        <v>50</v>
      </c>
      <c r="AB131" s="9" t="s">
        <v>1327</v>
      </c>
      <c r="AC131" s="11">
        <v>45972</v>
      </c>
      <c r="AD131" s="9" t="s">
        <v>50</v>
      </c>
    </row>
    <row r="132" spans="1:36" ht="22.5" customHeight="1" x14ac:dyDescent="0.2">
      <c r="A132" s="8">
        <v>45981.939351435183</v>
      </c>
      <c r="B132" s="9" t="s">
        <v>1336</v>
      </c>
      <c r="C132" s="9" t="s">
        <v>1337</v>
      </c>
      <c r="D132" s="9" t="s">
        <v>53</v>
      </c>
      <c r="E132" s="10" t="s">
        <v>139</v>
      </c>
      <c r="F132" s="9" t="s">
        <v>1338</v>
      </c>
      <c r="G132" s="9" t="s">
        <v>35</v>
      </c>
      <c r="H132" s="9" t="s">
        <v>1339</v>
      </c>
      <c r="I132" s="9" t="s">
        <v>1340</v>
      </c>
      <c r="J132" s="9" t="s">
        <v>1341</v>
      </c>
      <c r="K132" s="9" t="s">
        <v>1342</v>
      </c>
      <c r="L132" s="9" t="s">
        <v>1343</v>
      </c>
      <c r="M132" s="9" t="s">
        <v>1344</v>
      </c>
      <c r="N132" s="9" t="s">
        <v>42</v>
      </c>
      <c r="O132" s="9" t="s">
        <v>43</v>
      </c>
      <c r="Q132" s="9" t="s">
        <v>44</v>
      </c>
      <c r="R132" s="9" t="s">
        <v>45</v>
      </c>
      <c r="S132" s="9" t="s">
        <v>46</v>
      </c>
      <c r="T132" s="9" t="s">
        <v>47</v>
      </c>
      <c r="V132" s="9" t="s">
        <v>47</v>
      </c>
      <c r="W132" s="9" t="s">
        <v>48</v>
      </c>
      <c r="X132" s="9" t="s">
        <v>1345</v>
      </c>
      <c r="Y132" s="9" t="s">
        <v>1337</v>
      </c>
      <c r="Z132" s="11">
        <v>45981</v>
      </c>
      <c r="AA132" s="9" t="s">
        <v>50</v>
      </c>
      <c r="AB132" s="9" t="s">
        <v>1337</v>
      </c>
      <c r="AC132" s="11">
        <v>45981</v>
      </c>
      <c r="AD132" s="9" t="s">
        <v>50</v>
      </c>
    </row>
    <row r="133" spans="1:36" ht="22.5" customHeight="1" x14ac:dyDescent="0.2">
      <c r="A133" s="8">
        <v>45932.962979837961</v>
      </c>
      <c r="B133" s="9" t="s">
        <v>1346</v>
      </c>
      <c r="C133" s="9" t="s">
        <v>1347</v>
      </c>
      <c r="D133" s="9" t="s">
        <v>53</v>
      </c>
      <c r="E133" s="10" t="s">
        <v>139</v>
      </c>
      <c r="F133" s="9" t="s">
        <v>1348</v>
      </c>
      <c r="G133" s="9" t="s">
        <v>35</v>
      </c>
      <c r="H133" s="9" t="s">
        <v>1349</v>
      </c>
      <c r="I133" s="9" t="s">
        <v>1350</v>
      </c>
      <c r="J133" s="9" t="s">
        <v>1351</v>
      </c>
      <c r="K133" s="9" t="s">
        <v>1352</v>
      </c>
      <c r="L133" s="9" t="s">
        <v>1353</v>
      </c>
      <c r="M133" s="9" t="s">
        <v>1354</v>
      </c>
      <c r="N133" s="9" t="s">
        <v>62</v>
      </c>
      <c r="O133" s="9" t="s">
        <v>43</v>
      </c>
      <c r="Q133" s="9" t="s">
        <v>75</v>
      </c>
      <c r="R133" s="9" t="s">
        <v>45</v>
      </c>
      <c r="S133" s="9" t="s">
        <v>46</v>
      </c>
      <c r="T133" s="9" t="s">
        <v>63</v>
      </c>
      <c r="U133" s="9" t="s">
        <v>1355</v>
      </c>
      <c r="V133" s="9" t="s">
        <v>47</v>
      </c>
      <c r="W133" s="9" t="s">
        <v>48</v>
      </c>
      <c r="X133" s="9" t="s">
        <v>1356</v>
      </c>
      <c r="Y133" s="9" t="s">
        <v>1347</v>
      </c>
      <c r="Z133" s="11">
        <v>45932</v>
      </c>
      <c r="AA133" s="9" t="s">
        <v>50</v>
      </c>
      <c r="AB133" s="9" t="s">
        <v>1347</v>
      </c>
      <c r="AC133" s="11">
        <v>45932</v>
      </c>
      <c r="AD133" s="9" t="s">
        <v>50</v>
      </c>
    </row>
    <row r="134" spans="1:36" ht="22.5" customHeight="1" x14ac:dyDescent="0.2">
      <c r="A134" s="8">
        <v>45955.688571874998</v>
      </c>
      <c r="B134" s="9" t="s">
        <v>1357</v>
      </c>
      <c r="C134" s="9" t="s">
        <v>1358</v>
      </c>
      <c r="D134" s="9" t="s">
        <v>53</v>
      </c>
      <c r="E134" s="10" t="s">
        <v>1359</v>
      </c>
      <c r="F134" s="9" t="s">
        <v>68</v>
      </c>
      <c r="G134" s="9" t="s">
        <v>35</v>
      </c>
      <c r="H134" s="9" t="s">
        <v>1360</v>
      </c>
      <c r="I134" s="9" t="s">
        <v>1361</v>
      </c>
      <c r="J134" s="9" t="s">
        <v>1362</v>
      </c>
      <c r="K134" s="9" t="s">
        <v>1363</v>
      </c>
      <c r="L134" s="9" t="s">
        <v>1364</v>
      </c>
      <c r="M134" s="9" t="s">
        <v>1365</v>
      </c>
      <c r="N134" s="9" t="s">
        <v>42</v>
      </c>
      <c r="O134" s="9" t="s">
        <v>43</v>
      </c>
      <c r="Q134" s="9" t="s">
        <v>44</v>
      </c>
      <c r="R134" s="9" t="s">
        <v>45</v>
      </c>
      <c r="S134" s="9" t="s">
        <v>46</v>
      </c>
      <c r="T134" s="9" t="s">
        <v>47</v>
      </c>
      <c r="V134" s="9" t="s">
        <v>47</v>
      </c>
      <c r="W134" s="9" t="s">
        <v>48</v>
      </c>
      <c r="X134" s="9" t="s">
        <v>1366</v>
      </c>
      <c r="Y134" s="9" t="s">
        <v>1358</v>
      </c>
      <c r="Z134" s="11">
        <v>34454</v>
      </c>
      <c r="AA134" s="9" t="s">
        <v>50</v>
      </c>
      <c r="AB134" s="9" t="s">
        <v>1358</v>
      </c>
      <c r="AC134" s="11">
        <v>34454</v>
      </c>
      <c r="AD134" s="9" t="s">
        <v>50</v>
      </c>
    </row>
    <row r="135" spans="1:36" ht="22.5" customHeight="1" x14ac:dyDescent="0.2">
      <c r="A135" s="8">
        <v>45986.903124074073</v>
      </c>
      <c r="B135" s="9" t="s">
        <v>1367</v>
      </c>
      <c r="C135" s="9" t="s">
        <v>1368</v>
      </c>
      <c r="D135" s="9" t="s">
        <v>53</v>
      </c>
      <c r="E135" s="10" t="s">
        <v>1369</v>
      </c>
      <c r="F135" s="9" t="s">
        <v>55</v>
      </c>
      <c r="G135" s="9" t="s">
        <v>35</v>
      </c>
      <c r="H135" s="9" t="s">
        <v>1370</v>
      </c>
      <c r="I135" s="9" t="s">
        <v>1371</v>
      </c>
      <c r="J135" s="9" t="s">
        <v>1372</v>
      </c>
      <c r="K135" s="9" t="s">
        <v>1373</v>
      </c>
      <c r="L135" s="9" t="s">
        <v>1374</v>
      </c>
      <c r="M135" s="9" t="s">
        <v>1375</v>
      </c>
      <c r="N135" s="9" t="s">
        <v>42</v>
      </c>
      <c r="O135" s="9" t="s">
        <v>43</v>
      </c>
      <c r="Q135" s="9" t="s">
        <v>44</v>
      </c>
      <c r="R135" s="9" t="s">
        <v>45</v>
      </c>
      <c r="S135" s="9" t="s">
        <v>89</v>
      </c>
      <c r="T135" s="9" t="s">
        <v>63</v>
      </c>
      <c r="U135" s="9" t="s">
        <v>1376</v>
      </c>
      <c r="V135" s="9" t="s">
        <v>47</v>
      </c>
      <c r="W135" s="9" t="s">
        <v>48</v>
      </c>
      <c r="X135" s="9" t="s">
        <v>1377</v>
      </c>
      <c r="Y135" s="9" t="s">
        <v>1368</v>
      </c>
      <c r="Z135" s="11">
        <v>45986</v>
      </c>
      <c r="AA135" s="9" t="s">
        <v>50</v>
      </c>
      <c r="AB135" s="9" t="s">
        <v>1368</v>
      </c>
      <c r="AC135" s="11">
        <v>45986</v>
      </c>
      <c r="AD135" s="9" t="s">
        <v>50</v>
      </c>
    </row>
    <row r="136" spans="1:36" ht="22.5" customHeight="1" x14ac:dyDescent="0.2">
      <c r="A136" s="50">
        <v>45992.974507083331</v>
      </c>
      <c r="B136" s="51" t="s">
        <v>1378</v>
      </c>
      <c r="C136" s="51" t="s">
        <v>1379</v>
      </c>
      <c r="D136" s="51" t="s">
        <v>53</v>
      </c>
      <c r="E136" s="51" t="s">
        <v>318</v>
      </c>
      <c r="F136" s="51" t="s">
        <v>1380</v>
      </c>
      <c r="G136" s="51" t="s">
        <v>35</v>
      </c>
      <c r="H136" s="51" t="s">
        <v>1381</v>
      </c>
      <c r="I136" s="51" t="s">
        <v>1382</v>
      </c>
      <c r="J136" s="51" t="s">
        <v>1383</v>
      </c>
      <c r="K136" s="51" t="s">
        <v>1384</v>
      </c>
      <c r="L136" s="51" t="s">
        <v>1385</v>
      </c>
      <c r="M136" s="51" t="s">
        <v>1386</v>
      </c>
      <c r="N136" s="51" t="s">
        <v>42</v>
      </c>
      <c r="O136" s="51" t="s">
        <v>43</v>
      </c>
      <c r="P136" s="51"/>
      <c r="Q136" s="51" t="s">
        <v>44</v>
      </c>
      <c r="R136" s="51" t="s">
        <v>45</v>
      </c>
      <c r="S136" s="51" t="s">
        <v>46</v>
      </c>
      <c r="T136" s="51" t="s">
        <v>47</v>
      </c>
      <c r="U136" s="51"/>
      <c r="V136" s="51" t="s">
        <v>63</v>
      </c>
      <c r="W136" s="51" t="s">
        <v>1387</v>
      </c>
      <c r="X136" s="51" t="s">
        <v>1388</v>
      </c>
      <c r="Y136" s="51" t="s">
        <v>1379</v>
      </c>
      <c r="Z136" s="52">
        <v>45992</v>
      </c>
      <c r="AA136" s="51" t="s">
        <v>50</v>
      </c>
      <c r="AB136" s="51" t="s">
        <v>1379</v>
      </c>
      <c r="AC136" s="52">
        <v>45992</v>
      </c>
      <c r="AD136" s="53" t="s">
        <v>50</v>
      </c>
      <c r="AE136" s="54"/>
      <c r="AF136" s="54"/>
      <c r="AG136" s="54"/>
      <c r="AH136" s="54"/>
      <c r="AI136" s="54"/>
      <c r="AJ136" s="54"/>
    </row>
    <row r="137" spans="1:36" ht="22.5" customHeight="1" x14ac:dyDescent="0.2">
      <c r="A137" s="13">
        <v>45951.650146608794</v>
      </c>
      <c r="B137" s="14" t="s">
        <v>1389</v>
      </c>
      <c r="C137" s="14" t="s">
        <v>1390</v>
      </c>
      <c r="D137" s="14" t="s">
        <v>32</v>
      </c>
      <c r="E137" s="15" t="s">
        <v>368</v>
      </c>
      <c r="F137" s="14" t="s">
        <v>68</v>
      </c>
      <c r="G137" s="14" t="s">
        <v>35</v>
      </c>
      <c r="H137" s="14" t="s">
        <v>1391</v>
      </c>
      <c r="I137" s="14" t="s">
        <v>1392</v>
      </c>
      <c r="J137" s="14" t="s">
        <v>1393</v>
      </c>
      <c r="K137" s="14" t="s">
        <v>1391</v>
      </c>
      <c r="L137" s="14" t="s">
        <v>1394</v>
      </c>
      <c r="M137" s="14" t="s">
        <v>1395</v>
      </c>
      <c r="N137" s="14" t="s">
        <v>42</v>
      </c>
      <c r="O137" s="14" t="s">
        <v>63</v>
      </c>
      <c r="P137" s="14" t="s">
        <v>1396</v>
      </c>
      <c r="Q137" s="14" t="s">
        <v>44</v>
      </c>
      <c r="R137" s="14" t="s">
        <v>45</v>
      </c>
      <c r="S137" s="14" t="s">
        <v>89</v>
      </c>
      <c r="T137" s="14" t="s">
        <v>63</v>
      </c>
      <c r="U137" s="14" t="s">
        <v>1397</v>
      </c>
      <c r="V137" s="14" t="s">
        <v>47</v>
      </c>
      <c r="W137" s="14" t="s">
        <v>48</v>
      </c>
      <c r="X137" s="14" t="s">
        <v>1398</v>
      </c>
      <c r="Y137" s="14" t="s">
        <v>1390</v>
      </c>
      <c r="Z137" s="16">
        <v>45951</v>
      </c>
      <c r="AA137" s="14" t="s">
        <v>50</v>
      </c>
      <c r="AB137" s="14" t="s">
        <v>1390</v>
      </c>
      <c r="AC137" s="16">
        <v>45951</v>
      </c>
      <c r="AD137" s="14" t="s">
        <v>50</v>
      </c>
    </row>
    <row r="138" spans="1:36" ht="22.5" customHeight="1" x14ac:dyDescent="0.2">
      <c r="A138" s="8">
        <v>45978.662557881944</v>
      </c>
      <c r="B138" s="9" t="s">
        <v>1399</v>
      </c>
      <c r="C138" s="9" t="s">
        <v>1400</v>
      </c>
      <c r="D138" s="9" t="s">
        <v>53</v>
      </c>
      <c r="E138" s="10" t="s">
        <v>139</v>
      </c>
      <c r="F138" s="9" t="s">
        <v>55</v>
      </c>
      <c r="G138" s="9" t="s">
        <v>35</v>
      </c>
      <c r="H138" s="9" t="s">
        <v>1401</v>
      </c>
      <c r="I138" s="9" t="s">
        <v>1402</v>
      </c>
      <c r="J138" s="9" t="s">
        <v>1403</v>
      </c>
      <c r="K138" s="9" t="s">
        <v>1404</v>
      </c>
      <c r="L138" s="9" t="s">
        <v>1405</v>
      </c>
      <c r="M138" s="9" t="s">
        <v>1406</v>
      </c>
      <c r="N138" s="9" t="s">
        <v>62</v>
      </c>
      <c r="O138" s="9" t="s">
        <v>43</v>
      </c>
      <c r="P138" s="9" t="s">
        <v>1407</v>
      </c>
      <c r="Q138" s="9" t="s">
        <v>386</v>
      </c>
      <c r="R138" s="9" t="s">
        <v>45</v>
      </c>
      <c r="S138" s="9" t="s">
        <v>46</v>
      </c>
      <c r="T138" s="9" t="s">
        <v>63</v>
      </c>
      <c r="U138" s="9" t="s">
        <v>1408</v>
      </c>
      <c r="V138" s="9" t="s">
        <v>47</v>
      </c>
      <c r="W138" s="9" t="s">
        <v>555</v>
      </c>
      <c r="X138" s="9" t="s">
        <v>1409</v>
      </c>
      <c r="Y138" s="9" t="s">
        <v>1400</v>
      </c>
      <c r="Z138" s="11">
        <v>45978</v>
      </c>
      <c r="AA138" s="9" t="s">
        <v>50</v>
      </c>
      <c r="AB138" s="9" t="s">
        <v>1400</v>
      </c>
      <c r="AC138" s="11">
        <v>45978</v>
      </c>
      <c r="AD138" s="9" t="s">
        <v>50</v>
      </c>
    </row>
    <row r="139" spans="1:36" ht="22.5" customHeight="1" x14ac:dyDescent="0.2">
      <c r="A139" s="8">
        <v>45990.735455092596</v>
      </c>
      <c r="B139" s="9" t="s">
        <v>1410</v>
      </c>
      <c r="C139" s="9" t="s">
        <v>1411</v>
      </c>
      <c r="D139" s="9" t="s">
        <v>53</v>
      </c>
      <c r="E139" s="10" t="s">
        <v>358</v>
      </c>
      <c r="F139" s="9" t="s">
        <v>68</v>
      </c>
      <c r="G139" s="9" t="s">
        <v>35</v>
      </c>
      <c r="H139" s="9" t="s">
        <v>1412</v>
      </c>
      <c r="I139" s="9" t="s">
        <v>1413</v>
      </c>
      <c r="J139" s="9" t="s">
        <v>1414</v>
      </c>
      <c r="K139" s="9" t="s">
        <v>1415</v>
      </c>
      <c r="L139" s="9" t="s">
        <v>1416</v>
      </c>
      <c r="M139" s="9" t="s">
        <v>1417</v>
      </c>
      <c r="N139" s="9" t="s">
        <v>62</v>
      </c>
      <c r="O139" s="9" t="s">
        <v>63</v>
      </c>
      <c r="P139" s="9" t="s">
        <v>1418</v>
      </c>
      <c r="Q139" s="9" t="s">
        <v>386</v>
      </c>
      <c r="R139" s="9" t="s">
        <v>169</v>
      </c>
      <c r="S139" s="9" t="s">
        <v>387</v>
      </c>
      <c r="T139" s="9" t="s">
        <v>63</v>
      </c>
      <c r="U139" s="9" t="s">
        <v>1419</v>
      </c>
      <c r="V139" s="9" t="s">
        <v>47</v>
      </c>
      <c r="W139" s="9" t="s">
        <v>1420</v>
      </c>
      <c r="X139" s="9" t="s">
        <v>1421</v>
      </c>
      <c r="Y139" s="9" t="s">
        <v>1411</v>
      </c>
      <c r="Z139" s="11">
        <v>45990</v>
      </c>
      <c r="AA139" s="9" t="s">
        <v>50</v>
      </c>
      <c r="AB139" s="9" t="s">
        <v>1411</v>
      </c>
      <c r="AC139" s="11">
        <v>45990</v>
      </c>
      <c r="AD139" s="9" t="s">
        <v>50</v>
      </c>
    </row>
    <row r="140" spans="1:36" ht="22.5" customHeight="1" x14ac:dyDescent="0.2">
      <c r="A140" s="8">
        <v>45960.783159699073</v>
      </c>
      <c r="B140" s="9" t="s">
        <v>1422</v>
      </c>
      <c r="C140" s="9" t="s">
        <v>1423</v>
      </c>
      <c r="D140" s="9" t="s">
        <v>53</v>
      </c>
      <c r="E140" s="10" t="s">
        <v>1424</v>
      </c>
      <c r="F140" s="9" t="s">
        <v>68</v>
      </c>
      <c r="G140" s="9" t="s">
        <v>35</v>
      </c>
      <c r="H140" s="9" t="s">
        <v>1425</v>
      </c>
      <c r="I140" s="9" t="s">
        <v>1426</v>
      </c>
      <c r="J140" s="9" t="s">
        <v>1427</v>
      </c>
      <c r="K140" s="9" t="s">
        <v>1428</v>
      </c>
      <c r="L140" s="9" t="s">
        <v>1429</v>
      </c>
      <c r="M140" s="9" t="s">
        <v>1430</v>
      </c>
      <c r="N140" s="9" t="s">
        <v>62</v>
      </c>
      <c r="O140" s="9" t="s">
        <v>43</v>
      </c>
      <c r="Q140" s="9" t="s">
        <v>386</v>
      </c>
      <c r="R140" s="9" t="s">
        <v>45</v>
      </c>
      <c r="S140" s="9" t="s">
        <v>77</v>
      </c>
      <c r="T140" s="9" t="s">
        <v>47</v>
      </c>
      <c r="V140" s="9" t="s">
        <v>47</v>
      </c>
      <c r="W140" s="9" t="s">
        <v>48</v>
      </c>
      <c r="X140" s="9" t="s">
        <v>1431</v>
      </c>
      <c r="Y140" s="9" t="s">
        <v>1423</v>
      </c>
      <c r="Z140" s="11">
        <v>45960</v>
      </c>
      <c r="AA140" s="9" t="s">
        <v>50</v>
      </c>
      <c r="AB140" s="9" t="s">
        <v>1423</v>
      </c>
      <c r="AC140" s="11">
        <v>45960</v>
      </c>
      <c r="AD140" s="9" t="s">
        <v>50</v>
      </c>
    </row>
    <row r="141" spans="1:36" ht="22.5" customHeight="1" x14ac:dyDescent="0.2">
      <c r="A141" s="8">
        <v>45986.408530208333</v>
      </c>
      <c r="B141" s="9" t="s">
        <v>1432</v>
      </c>
      <c r="C141" s="9" t="s">
        <v>1433</v>
      </c>
      <c r="D141" s="9" t="s">
        <v>53</v>
      </c>
      <c r="E141" s="10" t="s">
        <v>1434</v>
      </c>
      <c r="F141" s="9" t="s">
        <v>55</v>
      </c>
      <c r="G141" s="9" t="s">
        <v>35</v>
      </c>
      <c r="H141" s="9" t="s">
        <v>1435</v>
      </c>
      <c r="I141" s="9" t="s">
        <v>1436</v>
      </c>
      <c r="J141" s="9" t="s">
        <v>1437</v>
      </c>
      <c r="K141" s="9" t="s">
        <v>1438</v>
      </c>
      <c r="L141" s="9" t="s">
        <v>1439</v>
      </c>
      <c r="M141" s="9" t="s">
        <v>1440</v>
      </c>
      <c r="N141" s="9" t="s">
        <v>42</v>
      </c>
      <c r="O141" s="9" t="s">
        <v>43</v>
      </c>
      <c r="Q141" s="9" t="s">
        <v>44</v>
      </c>
      <c r="R141" s="9" t="s">
        <v>45</v>
      </c>
      <c r="S141" s="9" t="s">
        <v>89</v>
      </c>
      <c r="T141" s="9" t="s">
        <v>63</v>
      </c>
      <c r="U141" s="9" t="s">
        <v>1441</v>
      </c>
      <c r="V141" s="9" t="s">
        <v>47</v>
      </c>
      <c r="W141" s="9" t="s">
        <v>48</v>
      </c>
      <c r="X141" s="9" t="s">
        <v>1442</v>
      </c>
      <c r="Y141" s="9" t="s">
        <v>1433</v>
      </c>
      <c r="Z141" s="11">
        <v>45986</v>
      </c>
      <c r="AA141" s="9" t="s">
        <v>50</v>
      </c>
      <c r="AB141" s="9" t="s">
        <v>1433</v>
      </c>
      <c r="AC141" s="11">
        <v>45986</v>
      </c>
      <c r="AD141" s="9" t="s">
        <v>50</v>
      </c>
    </row>
    <row r="142" spans="1:36" ht="22.5" customHeight="1" x14ac:dyDescent="0.2">
      <c r="A142" s="8">
        <v>46000.016593263892</v>
      </c>
      <c r="B142" s="9" t="s">
        <v>1443</v>
      </c>
      <c r="C142" s="9" t="s">
        <v>1444</v>
      </c>
      <c r="D142" s="9" t="s">
        <v>32</v>
      </c>
      <c r="E142" s="9" t="s">
        <v>559</v>
      </c>
      <c r="F142" s="9" t="s">
        <v>55</v>
      </c>
      <c r="G142" s="9" t="s">
        <v>35</v>
      </c>
      <c r="H142" s="9" t="s">
        <v>1445</v>
      </c>
      <c r="I142" s="9" t="s">
        <v>1446</v>
      </c>
      <c r="J142" s="9" t="s">
        <v>1447</v>
      </c>
      <c r="K142" s="9" t="s">
        <v>1448</v>
      </c>
      <c r="L142" s="9" t="s">
        <v>1449</v>
      </c>
      <c r="M142" s="9" t="s">
        <v>1450</v>
      </c>
      <c r="N142" s="9" t="s">
        <v>62</v>
      </c>
      <c r="O142" s="9" t="s">
        <v>43</v>
      </c>
      <c r="Q142" s="9" t="s">
        <v>75</v>
      </c>
      <c r="R142" s="9" t="s">
        <v>45</v>
      </c>
      <c r="S142" s="9" t="s">
        <v>89</v>
      </c>
      <c r="T142" s="9" t="s">
        <v>47</v>
      </c>
      <c r="V142" s="9" t="s">
        <v>63</v>
      </c>
      <c r="W142" s="9" t="s">
        <v>406</v>
      </c>
      <c r="X142" s="9" t="s">
        <v>1451</v>
      </c>
      <c r="Y142" s="9" t="s">
        <v>1444</v>
      </c>
      <c r="Z142" s="11">
        <v>46000</v>
      </c>
      <c r="AA142" s="9" t="s">
        <v>50</v>
      </c>
      <c r="AB142" s="9" t="s">
        <v>1444</v>
      </c>
      <c r="AC142" s="11">
        <v>46000</v>
      </c>
      <c r="AD142" s="9" t="s">
        <v>50</v>
      </c>
    </row>
    <row r="143" spans="1:36" ht="22.5" customHeight="1" x14ac:dyDescent="0.2">
      <c r="A143" s="8">
        <v>45951.866126064815</v>
      </c>
      <c r="B143" s="9" t="s">
        <v>1452</v>
      </c>
      <c r="C143" s="9" t="s">
        <v>1453</v>
      </c>
      <c r="D143" s="9" t="s">
        <v>53</v>
      </c>
      <c r="E143" s="10" t="s">
        <v>33</v>
      </c>
      <c r="F143" s="9" t="s">
        <v>55</v>
      </c>
      <c r="G143" s="9" t="s">
        <v>35</v>
      </c>
      <c r="H143" s="9" t="s">
        <v>1454</v>
      </c>
      <c r="I143" s="9" t="s">
        <v>1455</v>
      </c>
      <c r="J143" s="9" t="s">
        <v>1456</v>
      </c>
      <c r="K143" s="9" t="s">
        <v>1457</v>
      </c>
      <c r="L143" s="9" t="s">
        <v>1458</v>
      </c>
      <c r="M143" s="9" t="s">
        <v>1459</v>
      </c>
      <c r="N143" s="9" t="s">
        <v>42</v>
      </c>
      <c r="O143" s="9" t="s">
        <v>43</v>
      </c>
      <c r="Q143" s="14" t="s">
        <v>386</v>
      </c>
      <c r="R143" s="14" t="s">
        <v>76</v>
      </c>
      <c r="S143" s="9" t="s">
        <v>89</v>
      </c>
      <c r="T143" s="9" t="s">
        <v>47</v>
      </c>
      <c r="V143" s="9" t="s">
        <v>47</v>
      </c>
      <c r="W143" s="9" t="s">
        <v>48</v>
      </c>
      <c r="X143" s="9" t="s">
        <v>1460</v>
      </c>
      <c r="Y143" s="9" t="s">
        <v>1453</v>
      </c>
      <c r="Z143" s="11">
        <v>45951</v>
      </c>
      <c r="AA143" s="9" t="s">
        <v>50</v>
      </c>
      <c r="AB143" s="9" t="s">
        <v>1453</v>
      </c>
      <c r="AC143" s="11">
        <v>45951</v>
      </c>
      <c r="AD143" s="9" t="s">
        <v>50</v>
      </c>
    </row>
    <row r="144" spans="1:36" ht="22.5" customHeight="1" x14ac:dyDescent="0.2">
      <c r="A144" s="37"/>
      <c r="B144" s="38"/>
      <c r="C144" s="38"/>
      <c r="D144" s="38"/>
      <c r="E144" s="38"/>
      <c r="F144" s="38"/>
      <c r="G144" s="38"/>
      <c r="H144" s="38"/>
      <c r="I144" s="38"/>
      <c r="J144" s="38"/>
      <c r="K144" s="38"/>
      <c r="L144" s="38"/>
      <c r="M144" s="38"/>
      <c r="N144" s="38"/>
      <c r="O144" s="38"/>
      <c r="P144" s="39"/>
      <c r="Q144" s="38"/>
      <c r="R144" s="38"/>
      <c r="S144" s="38"/>
      <c r="T144" s="38"/>
      <c r="U144" s="38"/>
      <c r="V144" s="38"/>
      <c r="W144" s="38"/>
      <c r="X144" s="38"/>
      <c r="Y144" s="38"/>
      <c r="Z144" s="40"/>
      <c r="AA144" s="38"/>
      <c r="AB144" s="38"/>
      <c r="AC144" s="40"/>
      <c r="AD144" s="38"/>
    </row>
    <row r="145" spans="5:5" ht="12.75" x14ac:dyDescent="0.2">
      <c r="E145" s="55"/>
    </row>
    <row r="146" spans="5:5" ht="12.75" x14ac:dyDescent="0.2">
      <c r="E146" s="55"/>
    </row>
    <row r="147" spans="5:5" ht="12.75" x14ac:dyDescent="0.2">
      <c r="E147" s="55"/>
    </row>
    <row r="148" spans="5:5" ht="12.75" x14ac:dyDescent="0.2">
      <c r="E148" s="55"/>
    </row>
    <row r="149" spans="5:5" ht="12.75" x14ac:dyDescent="0.2">
      <c r="E149" s="55"/>
    </row>
    <row r="150" spans="5:5" ht="12.75" x14ac:dyDescent="0.2">
      <c r="E150" s="55"/>
    </row>
    <row r="151" spans="5:5" ht="12.75" x14ac:dyDescent="0.2">
      <c r="E151" s="55"/>
    </row>
    <row r="152" spans="5:5" ht="12.75" x14ac:dyDescent="0.2">
      <c r="E152" s="55"/>
    </row>
    <row r="153" spans="5:5" ht="12.75" x14ac:dyDescent="0.2">
      <c r="E153" s="55"/>
    </row>
    <row r="154" spans="5:5" ht="12.75" x14ac:dyDescent="0.2">
      <c r="E154" s="55"/>
    </row>
    <row r="155" spans="5:5" ht="12.75" x14ac:dyDescent="0.2">
      <c r="E155" s="55"/>
    </row>
    <row r="156" spans="5:5" ht="12.75" x14ac:dyDescent="0.2">
      <c r="E156" s="55"/>
    </row>
    <row r="157" spans="5:5" ht="12.75" x14ac:dyDescent="0.2">
      <c r="E157" s="55"/>
    </row>
    <row r="158" spans="5:5" ht="12.75" x14ac:dyDescent="0.2">
      <c r="E158" s="55"/>
    </row>
    <row r="159" spans="5:5" ht="12.75" x14ac:dyDescent="0.2">
      <c r="E159" s="55"/>
    </row>
    <row r="160" spans="5:5" ht="12.75" x14ac:dyDescent="0.2">
      <c r="E160" s="55"/>
    </row>
    <row r="161" spans="5:5" ht="12.75" x14ac:dyDescent="0.2">
      <c r="E161" s="55"/>
    </row>
    <row r="162" spans="5:5" ht="12.75" x14ac:dyDescent="0.2">
      <c r="E162" s="55"/>
    </row>
    <row r="163" spans="5:5" ht="12.75" x14ac:dyDescent="0.2">
      <c r="E163" s="55"/>
    </row>
    <row r="164" spans="5:5" ht="12.75" x14ac:dyDescent="0.2">
      <c r="E164" s="55"/>
    </row>
    <row r="165" spans="5:5" ht="12.75" x14ac:dyDescent="0.2">
      <c r="E165" s="55"/>
    </row>
    <row r="166" spans="5:5" ht="12.75" x14ac:dyDescent="0.2">
      <c r="E166" s="55"/>
    </row>
    <row r="167" spans="5:5" ht="12.75" x14ac:dyDescent="0.2">
      <c r="E167" s="55"/>
    </row>
    <row r="168" spans="5:5" ht="12.75" x14ac:dyDescent="0.2">
      <c r="E168" s="55"/>
    </row>
    <row r="169" spans="5:5" ht="12.75" x14ac:dyDescent="0.2">
      <c r="E169" s="55"/>
    </row>
    <row r="170" spans="5:5" ht="12.75" x14ac:dyDescent="0.2">
      <c r="E170" s="55"/>
    </row>
    <row r="171" spans="5:5" ht="12.75" x14ac:dyDescent="0.2">
      <c r="E171" s="55"/>
    </row>
    <row r="172" spans="5:5" ht="12.75" x14ac:dyDescent="0.2">
      <c r="E172" s="55"/>
    </row>
    <row r="173" spans="5:5" ht="12.75" x14ac:dyDescent="0.2">
      <c r="E173" s="55"/>
    </row>
    <row r="174" spans="5:5" ht="12.75" x14ac:dyDescent="0.2">
      <c r="E174" s="55"/>
    </row>
    <row r="175" spans="5:5" ht="12.75" x14ac:dyDescent="0.2">
      <c r="E175" s="55"/>
    </row>
    <row r="176" spans="5:5" ht="12.75" x14ac:dyDescent="0.2">
      <c r="E176" s="55"/>
    </row>
    <row r="177" spans="5:5" ht="12.75" x14ac:dyDescent="0.2">
      <c r="E177" s="55"/>
    </row>
    <row r="178" spans="5:5" ht="12.75" x14ac:dyDescent="0.2">
      <c r="E178" s="55"/>
    </row>
    <row r="179" spans="5:5" ht="12.75" x14ac:dyDescent="0.2">
      <c r="E179" s="55"/>
    </row>
    <row r="180" spans="5:5" ht="12.75" x14ac:dyDescent="0.2">
      <c r="E180" s="55"/>
    </row>
    <row r="181" spans="5:5" ht="12.75" x14ac:dyDescent="0.2">
      <c r="E181" s="55"/>
    </row>
    <row r="182" spans="5:5" ht="12.75" x14ac:dyDescent="0.2">
      <c r="E182" s="55"/>
    </row>
    <row r="183" spans="5:5" ht="12.75" x14ac:dyDescent="0.2">
      <c r="E183" s="55"/>
    </row>
    <row r="184" spans="5:5" ht="12.75" x14ac:dyDescent="0.2">
      <c r="E184" s="55"/>
    </row>
    <row r="185" spans="5:5" ht="12.75" x14ac:dyDescent="0.2">
      <c r="E185" s="55"/>
    </row>
    <row r="186" spans="5:5" ht="12.75" x14ac:dyDescent="0.2">
      <c r="E186" s="55"/>
    </row>
    <row r="187" spans="5:5" ht="12.75" x14ac:dyDescent="0.2">
      <c r="E187" s="55"/>
    </row>
    <row r="188" spans="5:5" ht="12.75" x14ac:dyDescent="0.2">
      <c r="E188" s="55"/>
    </row>
    <row r="189" spans="5:5" ht="12.75" x14ac:dyDescent="0.2">
      <c r="E189" s="55"/>
    </row>
    <row r="190" spans="5:5" ht="12.75" x14ac:dyDescent="0.2">
      <c r="E190" s="55"/>
    </row>
    <row r="191" spans="5:5" ht="12.75" x14ac:dyDescent="0.2">
      <c r="E191" s="55"/>
    </row>
    <row r="192" spans="5:5" ht="12.75" x14ac:dyDescent="0.2">
      <c r="E192" s="55"/>
    </row>
    <row r="193" spans="5:5" ht="12.75" x14ac:dyDescent="0.2">
      <c r="E193" s="55"/>
    </row>
    <row r="194" spans="5:5" ht="12.75" x14ac:dyDescent="0.2">
      <c r="E194" s="55"/>
    </row>
    <row r="195" spans="5:5" ht="12.75" x14ac:dyDescent="0.2">
      <c r="E195" s="55"/>
    </row>
    <row r="196" spans="5:5" ht="12.75" x14ac:dyDescent="0.2">
      <c r="E196" s="55"/>
    </row>
    <row r="197" spans="5:5" ht="12.75" x14ac:dyDescent="0.2">
      <c r="E197" s="55"/>
    </row>
    <row r="198" spans="5:5" ht="12.75" x14ac:dyDescent="0.2">
      <c r="E198" s="55"/>
    </row>
    <row r="199" spans="5:5" ht="12.75" x14ac:dyDescent="0.2">
      <c r="E199" s="55"/>
    </row>
    <row r="200" spans="5:5" ht="12.75" x14ac:dyDescent="0.2">
      <c r="E200" s="55"/>
    </row>
    <row r="201" spans="5:5" ht="12.75" x14ac:dyDescent="0.2">
      <c r="E201" s="55"/>
    </row>
    <row r="202" spans="5:5" ht="12.75" x14ac:dyDescent="0.2">
      <c r="E202" s="55"/>
    </row>
    <row r="203" spans="5:5" ht="12.75" x14ac:dyDescent="0.2">
      <c r="E203" s="55"/>
    </row>
    <row r="204" spans="5:5" ht="12.75" x14ac:dyDescent="0.2">
      <c r="E204" s="55"/>
    </row>
    <row r="205" spans="5:5" ht="12.75" x14ac:dyDescent="0.2">
      <c r="E205" s="55"/>
    </row>
    <row r="206" spans="5:5" ht="12.75" x14ac:dyDescent="0.2">
      <c r="E206" s="55"/>
    </row>
    <row r="207" spans="5:5" ht="12.75" x14ac:dyDescent="0.2">
      <c r="E207" s="55"/>
    </row>
    <row r="208" spans="5:5" ht="12.75" x14ac:dyDescent="0.2">
      <c r="E208" s="55"/>
    </row>
    <row r="209" spans="5:5" ht="12.75" x14ac:dyDescent="0.2">
      <c r="E209" s="55"/>
    </row>
    <row r="210" spans="5:5" ht="12.75" x14ac:dyDescent="0.2">
      <c r="E210" s="55"/>
    </row>
    <row r="211" spans="5:5" ht="12.75" x14ac:dyDescent="0.2">
      <c r="E211" s="55"/>
    </row>
    <row r="212" spans="5:5" ht="12.75" x14ac:dyDescent="0.2">
      <c r="E212" s="55"/>
    </row>
    <row r="213" spans="5:5" ht="12.75" x14ac:dyDescent="0.2">
      <c r="E213" s="55"/>
    </row>
    <row r="214" spans="5:5" ht="12.75" x14ac:dyDescent="0.2">
      <c r="E214" s="55"/>
    </row>
    <row r="215" spans="5:5" ht="12.75" x14ac:dyDescent="0.2">
      <c r="E215" s="55"/>
    </row>
    <row r="216" spans="5:5" ht="12.75" x14ac:dyDescent="0.2">
      <c r="E216" s="55"/>
    </row>
    <row r="217" spans="5:5" ht="12.75" x14ac:dyDescent="0.2">
      <c r="E217" s="55"/>
    </row>
    <row r="218" spans="5:5" ht="12.75" x14ac:dyDescent="0.2">
      <c r="E218" s="55"/>
    </row>
    <row r="219" spans="5:5" ht="12.75" x14ac:dyDescent="0.2">
      <c r="E219" s="55"/>
    </row>
    <row r="220" spans="5:5" ht="12.75" x14ac:dyDescent="0.2">
      <c r="E220" s="55"/>
    </row>
    <row r="221" spans="5:5" ht="12.75" x14ac:dyDescent="0.2">
      <c r="E221" s="55"/>
    </row>
    <row r="222" spans="5:5" ht="12.75" x14ac:dyDescent="0.2">
      <c r="E222" s="55"/>
    </row>
    <row r="223" spans="5:5" ht="12.75" x14ac:dyDescent="0.2">
      <c r="E223" s="55"/>
    </row>
    <row r="224" spans="5:5" ht="12.75" x14ac:dyDescent="0.2">
      <c r="E224" s="55"/>
    </row>
    <row r="225" spans="5:5" ht="12.75" x14ac:dyDescent="0.2">
      <c r="E225" s="55"/>
    </row>
    <row r="226" spans="5:5" ht="12.75" x14ac:dyDescent="0.2">
      <c r="E226" s="55"/>
    </row>
    <row r="227" spans="5:5" ht="12.75" x14ac:dyDescent="0.2">
      <c r="E227" s="55"/>
    </row>
    <row r="228" spans="5:5" ht="12.75" x14ac:dyDescent="0.2">
      <c r="E228" s="55"/>
    </row>
    <row r="229" spans="5:5" ht="12.75" x14ac:dyDescent="0.2">
      <c r="E229" s="55"/>
    </row>
    <row r="230" spans="5:5" ht="12.75" x14ac:dyDescent="0.2">
      <c r="E230" s="55"/>
    </row>
    <row r="231" spans="5:5" ht="12.75" x14ac:dyDescent="0.2">
      <c r="E231" s="55"/>
    </row>
    <row r="232" spans="5:5" ht="12.75" x14ac:dyDescent="0.2">
      <c r="E232" s="55"/>
    </row>
    <row r="233" spans="5:5" ht="12.75" x14ac:dyDescent="0.2">
      <c r="E233" s="55"/>
    </row>
    <row r="234" spans="5:5" ht="12.75" x14ac:dyDescent="0.2">
      <c r="E234" s="55"/>
    </row>
    <row r="235" spans="5:5" ht="12.75" x14ac:dyDescent="0.2">
      <c r="E235" s="55"/>
    </row>
    <row r="236" spans="5:5" ht="12.75" x14ac:dyDescent="0.2">
      <c r="E236" s="55"/>
    </row>
    <row r="237" spans="5:5" ht="12.75" x14ac:dyDescent="0.2">
      <c r="E237" s="55"/>
    </row>
    <row r="238" spans="5:5" ht="12.75" x14ac:dyDescent="0.2">
      <c r="E238" s="55"/>
    </row>
    <row r="239" spans="5:5" ht="12.75" x14ac:dyDescent="0.2">
      <c r="E239" s="55"/>
    </row>
    <row r="240" spans="5:5" ht="12.75" x14ac:dyDescent="0.2">
      <c r="E240" s="55"/>
    </row>
    <row r="241" spans="5:5" ht="12.75" x14ac:dyDescent="0.2">
      <c r="E241" s="55"/>
    </row>
  </sheetData>
  <phoneticPr fontId="26" type="noConversion"/>
  <hyperlinks>
    <hyperlink ref="L110" r:id="rId1" xr:uid="{00000000-0004-0000-0000-000000000000}"/>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T68"/>
  <sheetViews>
    <sheetView showGridLines="0" workbookViewId="0"/>
  </sheetViews>
  <sheetFormatPr defaultColWidth="12.5703125" defaultRowHeight="15.75" customHeight="1" x14ac:dyDescent="0.2"/>
  <cols>
    <col min="1" max="1" width="1.28515625" customWidth="1"/>
    <col min="2" max="8" width="13.7109375" customWidth="1"/>
    <col min="9" max="9" width="1.28515625" customWidth="1"/>
    <col min="10" max="19" width="11.7109375" customWidth="1"/>
    <col min="20" max="20" width="1.28515625" customWidth="1"/>
  </cols>
  <sheetData>
    <row r="1" spans="1:20" ht="9" customHeight="1" x14ac:dyDescent="0.2">
      <c r="A1" s="56"/>
      <c r="B1" s="56"/>
      <c r="C1" s="56"/>
      <c r="D1" s="56"/>
      <c r="E1" s="56"/>
      <c r="F1" s="56"/>
      <c r="G1" s="56"/>
      <c r="H1" s="56"/>
      <c r="I1" s="56"/>
      <c r="J1" s="56"/>
      <c r="K1" s="56"/>
      <c r="L1" s="56"/>
      <c r="M1" s="56"/>
      <c r="N1" s="56"/>
      <c r="O1" s="56"/>
      <c r="P1" s="56"/>
      <c r="Q1" s="56"/>
      <c r="R1" s="56"/>
      <c r="S1" s="56"/>
      <c r="T1" s="56"/>
    </row>
    <row r="2" spans="1:20" ht="15.75" customHeight="1" x14ac:dyDescent="0.2">
      <c r="A2" s="56"/>
      <c r="B2" s="151" t="s">
        <v>1461</v>
      </c>
      <c r="C2" s="121"/>
      <c r="D2" s="121"/>
      <c r="E2" s="121"/>
      <c r="F2" s="121"/>
      <c r="G2" s="121"/>
      <c r="H2" s="122"/>
      <c r="I2" s="56"/>
      <c r="J2" s="152" t="s">
        <v>1462</v>
      </c>
      <c r="K2" s="121"/>
      <c r="L2" s="121"/>
      <c r="M2" s="121"/>
      <c r="N2" s="121"/>
      <c r="O2" s="121"/>
      <c r="P2" s="121"/>
      <c r="Q2" s="121"/>
      <c r="R2" s="121"/>
      <c r="S2" s="122"/>
      <c r="T2" s="56"/>
    </row>
    <row r="3" spans="1:20" ht="15.75" customHeight="1" x14ac:dyDescent="0.2">
      <c r="A3" s="56"/>
      <c r="B3" s="127"/>
      <c r="C3" s="128"/>
      <c r="D3" s="128"/>
      <c r="E3" s="128"/>
      <c r="F3" s="128"/>
      <c r="G3" s="128"/>
      <c r="H3" s="129"/>
      <c r="I3" s="56"/>
      <c r="J3" s="127"/>
      <c r="K3" s="128"/>
      <c r="L3" s="128"/>
      <c r="M3" s="128"/>
      <c r="N3" s="128"/>
      <c r="O3" s="128"/>
      <c r="P3" s="128"/>
      <c r="Q3" s="128"/>
      <c r="R3" s="128"/>
      <c r="S3" s="129"/>
      <c r="T3" s="56"/>
    </row>
    <row r="4" spans="1:20" ht="15.75" customHeight="1" x14ac:dyDescent="0.2">
      <c r="A4" s="56"/>
      <c r="B4" s="153" t="s">
        <v>1463</v>
      </c>
      <c r="C4" s="124"/>
      <c r="D4" s="124"/>
      <c r="E4" s="124"/>
      <c r="F4" s="124"/>
      <c r="G4" s="124"/>
      <c r="H4" s="125"/>
      <c r="I4" s="56"/>
      <c r="J4" s="154" t="s">
        <v>1464</v>
      </c>
      <c r="K4" s="155"/>
      <c r="L4" s="121"/>
      <c r="M4" s="143" t="s">
        <v>1465</v>
      </c>
      <c r="N4" s="121"/>
      <c r="O4" s="121"/>
      <c r="P4" s="121"/>
      <c r="Q4" s="121"/>
      <c r="R4" s="121"/>
      <c r="S4" s="122"/>
      <c r="T4" s="56"/>
    </row>
    <row r="5" spans="1:20" ht="15.75" customHeight="1" x14ac:dyDescent="0.2">
      <c r="A5" s="56"/>
      <c r="B5" s="156" t="s">
        <v>24</v>
      </c>
      <c r="C5" s="158" t="e">
        <f t="array" aca="1" ref="C5" ca="1">XLOOKUP($F$5,'설문지 응답 시트1'!$B:$B,'설문지 응답 시트1'!$C:$C,,0,-1)</f>
        <v>#NAME?</v>
      </c>
      <c r="D5" s="122"/>
      <c r="E5" s="156" t="s">
        <v>1466</v>
      </c>
      <c r="F5" s="157"/>
      <c r="G5" s="121"/>
      <c r="H5" s="122"/>
      <c r="I5" s="56"/>
      <c r="J5" s="146"/>
      <c r="K5" s="133"/>
      <c r="L5" s="133"/>
      <c r="M5" s="127"/>
      <c r="N5" s="128"/>
      <c r="O5" s="128"/>
      <c r="P5" s="128"/>
      <c r="Q5" s="128"/>
      <c r="R5" s="128"/>
      <c r="S5" s="129"/>
      <c r="T5" s="56"/>
    </row>
    <row r="6" spans="1:20" ht="15.75" customHeight="1" x14ac:dyDescent="0.2">
      <c r="A6" s="56"/>
      <c r="B6" s="147"/>
      <c r="C6" s="127"/>
      <c r="D6" s="129"/>
      <c r="E6" s="147"/>
      <c r="F6" s="127"/>
      <c r="G6" s="128"/>
      <c r="H6" s="129"/>
      <c r="I6" s="56"/>
      <c r="J6" s="147"/>
      <c r="K6" s="128"/>
      <c r="L6" s="128"/>
      <c r="M6" s="57" t="s">
        <v>1467</v>
      </c>
      <c r="N6" s="144" t="s">
        <v>1468</v>
      </c>
      <c r="O6" s="124"/>
      <c r="P6" s="125"/>
      <c r="Q6" s="57" t="s">
        <v>1469</v>
      </c>
      <c r="R6" s="144" t="s">
        <v>1470</v>
      </c>
      <c r="S6" s="125"/>
      <c r="T6" s="56"/>
    </row>
    <row r="7" spans="1:20" ht="15.75" customHeight="1" x14ac:dyDescent="0.2">
      <c r="A7" s="56"/>
      <c r="B7" s="156" t="s">
        <v>1471</v>
      </c>
      <c r="C7" s="159" t="e">
        <f t="array" aca="1" ref="C7" ca="1">XLOOKUP($F$5,'설문지 응답 시트1'!$B:$B,'설문지 응답 시트1'!$F:$F,,0,-1)
&amp; CHAR(10) &amp; XLOOKUP($F$5,'설문지 응답 시트1'!$B:$B,'설문지 응답 시트1'!$H:$H,,0,-1)</f>
        <v>#NAME?</v>
      </c>
      <c r="D7" s="122"/>
      <c r="E7" s="156" t="s">
        <v>1472</v>
      </c>
      <c r="F7" s="145" t="e">
        <f t="array" aca="1" ref="F7" ca="1">XLOOKUP($F$5,'설문지 응답 시트1'!$B:$B,'설문지 응답 시트1'!$D:$D,,0,-1)</f>
        <v>#NAME?</v>
      </c>
      <c r="G7" s="156" t="s">
        <v>1473</v>
      </c>
      <c r="H7" s="145" t="e">
        <f t="array" aca="1" ref="H7" ca="1">XLOOKUP($F$5,'설문지 응답 시트1'!$B:$B,'설문지 응답 시트1'!$E:$E,,0,-1)</f>
        <v>#NAME?</v>
      </c>
      <c r="I7" s="56"/>
      <c r="J7" s="176" t="s">
        <v>1474</v>
      </c>
      <c r="K7" s="124"/>
      <c r="L7" s="124"/>
      <c r="M7" s="124"/>
      <c r="N7" s="124"/>
      <c r="O7" s="124"/>
      <c r="P7" s="124"/>
      <c r="Q7" s="124"/>
      <c r="R7" s="124"/>
      <c r="S7" s="125"/>
      <c r="T7" s="56"/>
    </row>
    <row r="8" spans="1:20" ht="15.75" customHeight="1" x14ac:dyDescent="0.2">
      <c r="A8" s="56"/>
      <c r="B8" s="146"/>
      <c r="C8" s="132"/>
      <c r="D8" s="137"/>
      <c r="E8" s="146"/>
      <c r="F8" s="146"/>
      <c r="G8" s="146"/>
      <c r="H8" s="146"/>
      <c r="I8" s="56"/>
      <c r="J8" s="148" t="s">
        <v>1475</v>
      </c>
      <c r="K8" s="177" t="s">
        <v>1476</v>
      </c>
      <c r="L8" s="141"/>
      <c r="M8" s="141"/>
      <c r="N8" s="141"/>
      <c r="O8" s="141"/>
      <c r="P8" s="141"/>
      <c r="Q8" s="141"/>
      <c r="R8" s="141"/>
      <c r="S8" s="178"/>
      <c r="T8" s="56"/>
    </row>
    <row r="9" spans="1:20" ht="15.75" customHeight="1" x14ac:dyDescent="0.2">
      <c r="A9" s="56"/>
      <c r="B9" s="147"/>
      <c r="C9" s="127"/>
      <c r="D9" s="129"/>
      <c r="E9" s="147"/>
      <c r="F9" s="147"/>
      <c r="G9" s="147"/>
      <c r="H9" s="147"/>
      <c r="I9" s="56"/>
      <c r="J9" s="132"/>
      <c r="K9" s="179" t="s">
        <v>1477</v>
      </c>
      <c r="L9" s="115"/>
      <c r="M9" s="115"/>
      <c r="N9" s="115"/>
      <c r="O9" s="115"/>
      <c r="P9" s="115"/>
      <c r="Q9" s="115"/>
      <c r="R9" s="115"/>
      <c r="S9" s="180"/>
      <c r="T9" s="56"/>
    </row>
    <row r="10" spans="1:20" ht="15.75" customHeight="1" x14ac:dyDescent="0.2">
      <c r="A10" s="56"/>
      <c r="B10" s="58" t="s">
        <v>1478</v>
      </c>
      <c r="C10" s="59" t="e">
        <f t="array" aca="1" ref="C10" ca="1">XLOOKUP($F$5,'설문지 응답 시트1'!$B:$B,'설문지 응답 시트1'!$N:$N,,0,-1)</f>
        <v>#NAME?</v>
      </c>
      <c r="D10" s="169" t="s">
        <v>1479</v>
      </c>
      <c r="E10" s="125"/>
      <c r="F10" s="60" t="e">
        <f t="array" aca="1" ref="F10" ca="1">XLOOKUP($F$5,'설문지 응답 시트1'!$B:$B,'설문지 응답 시트1'!$V:$V,,0,-1)</f>
        <v>#NAME?</v>
      </c>
      <c r="G10" s="58" t="s">
        <v>1480</v>
      </c>
      <c r="H10" s="61" t="e">
        <f t="array" aca="1" ref="H10" ca="1">XLOOKUP($F$5,'설문지 응답 시트1'!$B:$B,'설문지 응답 시트1'!$W:$W,,0,-1)</f>
        <v>#NAME?</v>
      </c>
      <c r="I10" s="56"/>
      <c r="J10" s="149" t="s">
        <v>1481</v>
      </c>
      <c r="K10" s="179" t="s">
        <v>1482</v>
      </c>
      <c r="L10" s="115"/>
      <c r="M10" s="115"/>
      <c r="N10" s="115"/>
      <c r="O10" s="115"/>
      <c r="P10" s="115"/>
      <c r="Q10" s="115"/>
      <c r="R10" s="115"/>
      <c r="S10" s="180"/>
      <c r="T10" s="56"/>
    </row>
    <row r="11" spans="1:20" ht="15.75" customHeight="1" x14ac:dyDescent="0.2">
      <c r="A11" s="56"/>
      <c r="B11" s="170" t="s">
        <v>1483</v>
      </c>
      <c r="C11" s="124"/>
      <c r="D11" s="124"/>
      <c r="E11" s="124"/>
      <c r="F11" s="124"/>
      <c r="G11" s="124"/>
      <c r="H11" s="125"/>
      <c r="I11" s="56"/>
      <c r="J11" s="132"/>
      <c r="K11" s="179" t="s">
        <v>1484</v>
      </c>
      <c r="L11" s="115"/>
      <c r="M11" s="115"/>
      <c r="N11" s="115"/>
      <c r="O11" s="115"/>
      <c r="P11" s="115"/>
      <c r="Q11" s="115"/>
      <c r="R11" s="115"/>
      <c r="S11" s="180"/>
      <c r="T11" s="56"/>
    </row>
    <row r="12" spans="1:20" ht="15.75" customHeight="1" x14ac:dyDescent="0.2">
      <c r="A12" s="56"/>
      <c r="B12" s="171" t="s">
        <v>1485</v>
      </c>
      <c r="C12" s="122"/>
      <c r="D12" s="172" t="e">
        <f t="array" aca="1" ref="D12" ca="1">XLOOKUP($F$5,'설문지 응답 시트1'!$B:$B,'설문지 응답 시트1'!$O:$O,,0,-1)</f>
        <v>#NAME?</v>
      </c>
      <c r="E12" s="173" t="e">
        <f t="array" aca="1" ref="E12" ca="1">XLOOKUP($F$5,'설문지 응답 시트1'!$B:$B,'설문지 응답 시트1'!$P:$P,,0,-1)</f>
        <v>#NAME?</v>
      </c>
      <c r="F12" s="121"/>
      <c r="G12" s="121"/>
      <c r="H12" s="122"/>
      <c r="I12" s="56"/>
      <c r="J12" s="150"/>
      <c r="K12" s="179" t="s">
        <v>1486</v>
      </c>
      <c r="L12" s="115"/>
      <c r="M12" s="115"/>
      <c r="N12" s="115"/>
      <c r="O12" s="115"/>
      <c r="P12" s="115"/>
      <c r="Q12" s="115"/>
      <c r="R12" s="115"/>
      <c r="S12" s="180"/>
      <c r="T12" s="56"/>
    </row>
    <row r="13" spans="1:20" ht="15.75" customHeight="1" x14ac:dyDescent="0.2">
      <c r="A13" s="56"/>
      <c r="B13" s="127"/>
      <c r="C13" s="129"/>
      <c r="D13" s="147"/>
      <c r="E13" s="127"/>
      <c r="F13" s="128"/>
      <c r="G13" s="128"/>
      <c r="H13" s="129"/>
      <c r="I13" s="56"/>
      <c r="J13" s="149" t="s">
        <v>1487</v>
      </c>
      <c r="K13" s="179" t="s">
        <v>1488</v>
      </c>
      <c r="L13" s="115"/>
      <c r="M13" s="115"/>
      <c r="N13" s="115"/>
      <c r="O13" s="115"/>
      <c r="P13" s="115"/>
      <c r="Q13" s="115"/>
      <c r="R13" s="115"/>
      <c r="S13" s="180"/>
      <c r="T13" s="56"/>
    </row>
    <row r="14" spans="1:20" ht="15.75" customHeight="1" x14ac:dyDescent="0.2">
      <c r="A14" s="56"/>
      <c r="B14" s="171" t="s">
        <v>1489</v>
      </c>
      <c r="C14" s="122"/>
      <c r="D14" s="172" t="e">
        <f t="array" aca="1" ref="D14" ca="1">XLOOKUP($F$5,'설문지 응답 시트1'!$B:$B,'설문지 응답 시트1'!$T:$T,,0,-1)</f>
        <v>#NAME?</v>
      </c>
      <c r="E14" s="173" t="e">
        <f t="array" aca="1" ref="E14" ca="1">XLOOKUP($F$5,'설문지 응답 시트1'!$B:$B,'설문지 응답 시트1'!$U:$U,,0,-1)</f>
        <v>#NAME?</v>
      </c>
      <c r="F14" s="121"/>
      <c r="G14" s="121"/>
      <c r="H14" s="122"/>
      <c r="I14" s="56"/>
      <c r="J14" s="132"/>
      <c r="K14" s="179" t="s">
        <v>1490</v>
      </c>
      <c r="L14" s="115"/>
      <c r="M14" s="115"/>
      <c r="N14" s="115"/>
      <c r="O14" s="115"/>
      <c r="P14" s="115"/>
      <c r="Q14" s="115"/>
      <c r="R14" s="115"/>
      <c r="S14" s="180"/>
      <c r="T14" s="56"/>
    </row>
    <row r="15" spans="1:20" ht="15.75" customHeight="1" x14ac:dyDescent="0.2">
      <c r="A15" s="56"/>
      <c r="B15" s="127"/>
      <c r="C15" s="129"/>
      <c r="D15" s="147"/>
      <c r="E15" s="127"/>
      <c r="F15" s="128"/>
      <c r="G15" s="128"/>
      <c r="H15" s="129"/>
      <c r="I15" s="56"/>
      <c r="J15" s="150"/>
      <c r="K15" s="179" t="s">
        <v>1491</v>
      </c>
      <c r="L15" s="115"/>
      <c r="M15" s="115"/>
      <c r="N15" s="115"/>
      <c r="O15" s="115"/>
      <c r="P15" s="115"/>
      <c r="Q15" s="115"/>
      <c r="R15" s="115"/>
      <c r="S15" s="180"/>
      <c r="T15" s="56"/>
    </row>
    <row r="16" spans="1:20" ht="15.75" customHeight="1" x14ac:dyDescent="0.2">
      <c r="A16" s="56"/>
      <c r="B16" s="171" t="s">
        <v>1492</v>
      </c>
      <c r="C16" s="121"/>
      <c r="D16" s="121"/>
      <c r="E16" s="121"/>
      <c r="F16" s="121"/>
      <c r="G16" s="121"/>
      <c r="H16" s="122"/>
      <c r="I16" s="56"/>
      <c r="J16" s="174" t="s">
        <v>1493</v>
      </c>
      <c r="K16" s="133"/>
      <c r="L16" s="133"/>
      <c r="M16" s="133"/>
      <c r="N16" s="133"/>
      <c r="O16" s="133"/>
      <c r="P16" s="133"/>
      <c r="Q16" s="133"/>
      <c r="R16" s="133"/>
      <c r="S16" s="137"/>
      <c r="T16" s="56"/>
    </row>
    <row r="17" spans="1:20" ht="15.75" customHeight="1" x14ac:dyDescent="0.2">
      <c r="A17" s="56"/>
      <c r="B17" s="160" t="e">
        <f t="array" aca="1" ref="B17" ca="1">XLOOKUP($F$5,'설문지 응답 시트1'!$B:$B,'설문지 응답 시트1'!$K:$K,,0,-1)</f>
        <v>#NAME?</v>
      </c>
      <c r="C17" s="121"/>
      <c r="D17" s="121"/>
      <c r="E17" s="121"/>
      <c r="F17" s="121"/>
      <c r="G17" s="121"/>
      <c r="H17" s="122"/>
      <c r="I17" s="56"/>
      <c r="J17" s="123" t="s">
        <v>1494</v>
      </c>
      <c r="K17" s="124"/>
      <c r="L17" s="124"/>
      <c r="M17" s="124"/>
      <c r="N17" s="125"/>
      <c r="O17" s="123" t="s">
        <v>1495</v>
      </c>
      <c r="P17" s="124"/>
      <c r="Q17" s="124"/>
      <c r="R17" s="124"/>
      <c r="S17" s="125"/>
      <c r="T17" s="56"/>
    </row>
    <row r="18" spans="1:20" ht="15.75" customHeight="1" x14ac:dyDescent="0.2">
      <c r="A18" s="56"/>
      <c r="B18" s="132"/>
      <c r="C18" s="133"/>
      <c r="D18" s="133"/>
      <c r="E18" s="133"/>
      <c r="F18" s="133"/>
      <c r="G18" s="133"/>
      <c r="H18" s="137"/>
      <c r="I18" s="56"/>
      <c r="J18" s="175" t="s">
        <v>1496</v>
      </c>
      <c r="K18" s="121"/>
      <c r="L18" s="121"/>
      <c r="M18" s="121"/>
      <c r="N18" s="122"/>
      <c r="O18" s="175" t="s">
        <v>1497</v>
      </c>
      <c r="P18" s="121"/>
      <c r="Q18" s="121"/>
      <c r="R18" s="121"/>
      <c r="S18" s="122"/>
      <c r="T18" s="56"/>
    </row>
    <row r="19" spans="1:20" ht="15.75" customHeight="1" x14ac:dyDescent="0.2">
      <c r="A19" s="56"/>
      <c r="B19" s="132"/>
      <c r="C19" s="133"/>
      <c r="D19" s="133"/>
      <c r="E19" s="133"/>
      <c r="F19" s="133"/>
      <c r="G19" s="133"/>
      <c r="H19" s="137"/>
      <c r="I19" s="56"/>
      <c r="J19" s="127"/>
      <c r="K19" s="128"/>
      <c r="L19" s="128"/>
      <c r="M19" s="128"/>
      <c r="N19" s="129"/>
      <c r="O19" s="127"/>
      <c r="P19" s="128"/>
      <c r="Q19" s="128"/>
      <c r="R19" s="128"/>
      <c r="S19" s="129"/>
      <c r="T19" s="56"/>
    </row>
    <row r="20" spans="1:20" ht="15.75" customHeight="1" x14ac:dyDescent="0.2">
      <c r="A20" s="56"/>
      <c r="B20" s="132"/>
      <c r="C20" s="133"/>
      <c r="D20" s="133"/>
      <c r="E20" s="133"/>
      <c r="F20" s="133"/>
      <c r="G20" s="133"/>
      <c r="H20" s="137"/>
      <c r="I20" s="56"/>
      <c r="J20" s="62" t="s">
        <v>1498</v>
      </c>
      <c r="K20" s="140" t="s">
        <v>1499</v>
      </c>
      <c r="L20" s="141"/>
      <c r="M20" s="142"/>
      <c r="N20" s="63" t="b">
        <v>0</v>
      </c>
      <c r="O20" s="62" t="s">
        <v>1498</v>
      </c>
      <c r="P20" s="140" t="s">
        <v>1500</v>
      </c>
      <c r="Q20" s="141"/>
      <c r="R20" s="142"/>
      <c r="S20" s="64" t="b">
        <v>0</v>
      </c>
      <c r="T20" s="56"/>
    </row>
    <row r="21" spans="1:20" ht="15.75" customHeight="1" x14ac:dyDescent="0.2">
      <c r="A21" s="56"/>
      <c r="B21" s="127"/>
      <c r="C21" s="128"/>
      <c r="D21" s="128"/>
      <c r="E21" s="128"/>
      <c r="F21" s="128"/>
      <c r="G21" s="128"/>
      <c r="H21" s="129"/>
      <c r="I21" s="56"/>
      <c r="J21" s="65" t="s">
        <v>1501</v>
      </c>
      <c r="K21" s="114" t="s">
        <v>1502</v>
      </c>
      <c r="L21" s="115"/>
      <c r="M21" s="116"/>
      <c r="N21" s="63" t="b">
        <v>0</v>
      </c>
      <c r="O21" s="65" t="s">
        <v>1501</v>
      </c>
      <c r="P21" s="114" t="s">
        <v>1503</v>
      </c>
      <c r="Q21" s="115"/>
      <c r="R21" s="116"/>
      <c r="S21" s="63" t="b">
        <v>0</v>
      </c>
      <c r="T21" s="56"/>
    </row>
    <row r="22" spans="1:20" ht="15.75" customHeight="1" x14ac:dyDescent="0.2">
      <c r="A22" s="56"/>
      <c r="B22" s="161" t="s">
        <v>1504</v>
      </c>
      <c r="C22" s="124"/>
      <c r="D22" s="124"/>
      <c r="E22" s="124"/>
      <c r="F22" s="124"/>
      <c r="G22" s="124"/>
      <c r="H22" s="125"/>
      <c r="I22" s="56"/>
      <c r="J22" s="65" t="s">
        <v>1505</v>
      </c>
      <c r="K22" s="114" t="s">
        <v>1506</v>
      </c>
      <c r="L22" s="115"/>
      <c r="M22" s="116"/>
      <c r="N22" s="63" t="b">
        <v>0</v>
      </c>
      <c r="O22" s="65" t="s">
        <v>1505</v>
      </c>
      <c r="P22" s="114" t="s">
        <v>1507</v>
      </c>
      <c r="Q22" s="115"/>
      <c r="R22" s="116"/>
      <c r="S22" s="63" t="b">
        <v>0</v>
      </c>
      <c r="T22" s="56"/>
    </row>
    <row r="23" spans="1:20" ht="15.75" customHeight="1" x14ac:dyDescent="0.2">
      <c r="A23" s="56"/>
      <c r="B23" s="162" t="s">
        <v>1508</v>
      </c>
      <c r="C23" s="121"/>
      <c r="D23" s="122"/>
      <c r="E23" s="163" t="e">
        <f t="array" aca="1" ref="E23" ca="1">XLOOKUP($F$5,'설문지 응답 시트1'!$B:$B,'설문지 응답 시트1'!$Q:$Q,,0,-1)</f>
        <v>#NAME?</v>
      </c>
      <c r="F23" s="121"/>
      <c r="G23" s="121"/>
      <c r="H23" s="122"/>
      <c r="I23" s="56"/>
      <c r="J23" s="65" t="s">
        <v>1509</v>
      </c>
      <c r="K23" s="114" t="s">
        <v>1510</v>
      </c>
      <c r="L23" s="115"/>
      <c r="M23" s="116"/>
      <c r="N23" s="63" t="b">
        <v>0</v>
      </c>
      <c r="O23" s="65" t="s">
        <v>1509</v>
      </c>
      <c r="P23" s="114" t="s">
        <v>1511</v>
      </c>
      <c r="Q23" s="115"/>
      <c r="R23" s="116"/>
      <c r="S23" s="63" t="b">
        <v>0</v>
      </c>
      <c r="T23" s="56"/>
    </row>
    <row r="24" spans="1:20" ht="15.75" customHeight="1" x14ac:dyDescent="0.2">
      <c r="A24" s="56"/>
      <c r="B24" s="127"/>
      <c r="C24" s="128"/>
      <c r="D24" s="129"/>
      <c r="E24" s="127"/>
      <c r="F24" s="128"/>
      <c r="G24" s="128"/>
      <c r="H24" s="129"/>
      <c r="I24" s="56"/>
      <c r="J24" s="66" t="s">
        <v>1512</v>
      </c>
      <c r="K24" s="117" t="s">
        <v>1513</v>
      </c>
      <c r="L24" s="118"/>
      <c r="M24" s="119"/>
      <c r="N24" s="67" t="b">
        <v>0</v>
      </c>
      <c r="O24" s="66" t="s">
        <v>1512</v>
      </c>
      <c r="P24" s="117" t="s">
        <v>1514</v>
      </c>
      <c r="Q24" s="118"/>
      <c r="R24" s="119"/>
      <c r="S24" s="63" t="b">
        <v>0</v>
      </c>
      <c r="T24" s="56"/>
    </row>
    <row r="25" spans="1:20" ht="15.75" customHeight="1" x14ac:dyDescent="0.2">
      <c r="A25" s="56"/>
      <c r="B25" s="162" t="s">
        <v>1515</v>
      </c>
      <c r="C25" s="121"/>
      <c r="D25" s="122"/>
      <c r="E25" s="163" t="e">
        <f t="array" aca="1" ref="E25" ca="1">XLOOKUP($F$5,'설문지 응답 시트1'!$B:$B,'설문지 응답 시트1'!$R:$R,,0,-1)</f>
        <v>#NAME?</v>
      </c>
      <c r="F25" s="121"/>
      <c r="G25" s="121"/>
      <c r="H25" s="122"/>
      <c r="I25" s="56"/>
      <c r="J25" s="120" t="s">
        <v>1516</v>
      </c>
      <c r="K25" s="121"/>
      <c r="L25" s="121"/>
      <c r="M25" s="121"/>
      <c r="N25" s="121"/>
      <c r="O25" s="121"/>
      <c r="P25" s="121"/>
      <c r="Q25" s="121"/>
      <c r="R25" s="121"/>
      <c r="S25" s="122"/>
      <c r="T25" s="56"/>
    </row>
    <row r="26" spans="1:20" ht="15.75" customHeight="1" x14ac:dyDescent="0.2">
      <c r="A26" s="56"/>
      <c r="B26" s="127"/>
      <c r="C26" s="128"/>
      <c r="D26" s="129"/>
      <c r="E26" s="127"/>
      <c r="F26" s="128"/>
      <c r="G26" s="128"/>
      <c r="H26" s="129"/>
      <c r="I26" s="56"/>
      <c r="J26" s="123" t="s">
        <v>1517</v>
      </c>
      <c r="K26" s="124"/>
      <c r="L26" s="124"/>
      <c r="M26" s="124"/>
      <c r="N26" s="125"/>
      <c r="O26" s="123" t="s">
        <v>1518</v>
      </c>
      <c r="P26" s="124"/>
      <c r="Q26" s="124"/>
      <c r="R26" s="124"/>
      <c r="S26" s="125"/>
      <c r="T26" s="56"/>
    </row>
    <row r="27" spans="1:20" ht="15.75" customHeight="1" x14ac:dyDescent="0.2">
      <c r="A27" s="56"/>
      <c r="B27" s="162" t="s">
        <v>1519</v>
      </c>
      <c r="C27" s="121"/>
      <c r="D27" s="122"/>
      <c r="E27" s="163" t="e">
        <f t="array" aca="1" ref="E27" ca="1">XLOOKUP($F$5,'설문지 응답 시트1'!$B:$B,'설문지 응답 시트1'!$S:$S,,0,-1)</f>
        <v>#NAME?</v>
      </c>
      <c r="F27" s="121"/>
      <c r="G27" s="121"/>
      <c r="H27" s="122"/>
      <c r="I27" s="56"/>
      <c r="J27" s="126" t="s">
        <v>1520</v>
      </c>
      <c r="K27" s="121"/>
      <c r="L27" s="121"/>
      <c r="M27" s="121"/>
      <c r="N27" s="122"/>
      <c r="O27" s="126" t="s">
        <v>1521</v>
      </c>
      <c r="P27" s="121"/>
      <c r="Q27" s="121"/>
      <c r="R27" s="121"/>
      <c r="S27" s="122"/>
      <c r="T27" s="56"/>
    </row>
    <row r="28" spans="1:20" ht="15.75" customHeight="1" x14ac:dyDescent="0.2">
      <c r="A28" s="56"/>
      <c r="B28" s="127"/>
      <c r="C28" s="128"/>
      <c r="D28" s="129"/>
      <c r="E28" s="127"/>
      <c r="F28" s="128"/>
      <c r="G28" s="128"/>
      <c r="H28" s="129"/>
      <c r="I28" s="56"/>
      <c r="J28" s="127"/>
      <c r="K28" s="128"/>
      <c r="L28" s="128"/>
      <c r="M28" s="128"/>
      <c r="N28" s="129"/>
      <c r="O28" s="127"/>
      <c r="P28" s="128"/>
      <c r="Q28" s="128"/>
      <c r="R28" s="128"/>
      <c r="S28" s="129"/>
      <c r="T28" s="56"/>
    </row>
    <row r="29" spans="1:20" ht="15.75" customHeight="1" x14ac:dyDescent="0.2">
      <c r="A29" s="56"/>
      <c r="B29" s="168" t="s">
        <v>1522</v>
      </c>
      <c r="C29" s="124"/>
      <c r="D29" s="124"/>
      <c r="E29" s="124"/>
      <c r="F29" s="124"/>
      <c r="G29" s="124"/>
      <c r="H29" s="125"/>
      <c r="I29" s="56"/>
      <c r="J29" s="62" t="s">
        <v>1498</v>
      </c>
      <c r="K29" s="140" t="s">
        <v>1523</v>
      </c>
      <c r="L29" s="141"/>
      <c r="M29" s="142"/>
      <c r="N29" s="64" t="b">
        <v>0</v>
      </c>
      <c r="O29" s="62" t="s">
        <v>1498</v>
      </c>
      <c r="P29" s="140" t="s">
        <v>1524</v>
      </c>
      <c r="Q29" s="141"/>
      <c r="R29" s="142"/>
      <c r="S29" s="64" t="b">
        <v>0</v>
      </c>
      <c r="T29" s="56"/>
    </row>
    <row r="30" spans="1:20" ht="15.75" customHeight="1" x14ac:dyDescent="0.2">
      <c r="A30" s="56"/>
      <c r="B30" s="160" t="e">
        <f t="array" aca="1" ref="B30" ca="1">XLOOKUP($F$5,'설문지 응답 시트1'!$B:$B,'설문지 응답 시트1'!$L:$L,,0,-1)</f>
        <v>#NAME?</v>
      </c>
      <c r="C30" s="121"/>
      <c r="D30" s="121"/>
      <c r="E30" s="121"/>
      <c r="F30" s="121"/>
      <c r="G30" s="121"/>
      <c r="H30" s="122"/>
      <c r="I30" s="56"/>
      <c r="J30" s="65" t="s">
        <v>1501</v>
      </c>
      <c r="K30" s="114" t="s">
        <v>1525</v>
      </c>
      <c r="L30" s="115"/>
      <c r="M30" s="116"/>
      <c r="N30" s="63" t="b">
        <v>0</v>
      </c>
      <c r="O30" s="65" t="s">
        <v>1501</v>
      </c>
      <c r="P30" s="114" t="s">
        <v>1526</v>
      </c>
      <c r="Q30" s="115"/>
      <c r="R30" s="116"/>
      <c r="S30" s="63" t="b">
        <v>0</v>
      </c>
      <c r="T30" s="56"/>
    </row>
    <row r="31" spans="1:20" ht="15.75" customHeight="1" x14ac:dyDescent="0.2">
      <c r="A31" s="56"/>
      <c r="B31" s="132"/>
      <c r="C31" s="133"/>
      <c r="D31" s="133"/>
      <c r="E31" s="133"/>
      <c r="F31" s="133"/>
      <c r="G31" s="133"/>
      <c r="H31" s="137"/>
      <c r="I31" s="56"/>
      <c r="J31" s="65" t="s">
        <v>1505</v>
      </c>
      <c r="K31" s="114" t="s">
        <v>1527</v>
      </c>
      <c r="L31" s="115"/>
      <c r="M31" s="116"/>
      <c r="N31" s="63" t="b">
        <v>0</v>
      </c>
      <c r="O31" s="65" t="s">
        <v>1505</v>
      </c>
      <c r="P31" s="114" t="s">
        <v>1528</v>
      </c>
      <c r="Q31" s="115"/>
      <c r="R31" s="116"/>
      <c r="S31" s="63" t="b">
        <v>0</v>
      </c>
      <c r="T31" s="56"/>
    </row>
    <row r="32" spans="1:20" ht="15.75" customHeight="1" x14ac:dyDescent="0.2">
      <c r="A32" s="56"/>
      <c r="B32" s="127"/>
      <c r="C32" s="128"/>
      <c r="D32" s="128"/>
      <c r="E32" s="128"/>
      <c r="F32" s="128"/>
      <c r="G32" s="128"/>
      <c r="H32" s="129"/>
      <c r="I32" s="56"/>
      <c r="J32" s="65" t="s">
        <v>1509</v>
      </c>
      <c r="K32" s="114" t="s">
        <v>1529</v>
      </c>
      <c r="L32" s="115"/>
      <c r="M32" s="116"/>
      <c r="N32" s="63" t="b">
        <v>0</v>
      </c>
      <c r="O32" s="65" t="s">
        <v>1509</v>
      </c>
      <c r="P32" s="114" t="s">
        <v>1530</v>
      </c>
      <c r="Q32" s="115"/>
      <c r="R32" s="116"/>
      <c r="S32" s="63" t="b">
        <v>0</v>
      </c>
      <c r="T32" s="56"/>
    </row>
    <row r="33" spans="1:20" ht="15.75" customHeight="1" x14ac:dyDescent="0.2">
      <c r="A33" s="56"/>
      <c r="B33" s="165" t="s">
        <v>1531</v>
      </c>
      <c r="C33" s="124"/>
      <c r="D33" s="124"/>
      <c r="E33" s="124"/>
      <c r="F33" s="124"/>
      <c r="G33" s="124"/>
      <c r="H33" s="125"/>
      <c r="I33" s="56"/>
      <c r="J33" s="66" t="s">
        <v>1512</v>
      </c>
      <c r="K33" s="117" t="s">
        <v>1532</v>
      </c>
      <c r="L33" s="118"/>
      <c r="M33" s="119"/>
      <c r="N33" s="67" t="b">
        <v>0</v>
      </c>
      <c r="O33" s="66" t="s">
        <v>1512</v>
      </c>
      <c r="P33" s="117" t="s">
        <v>1533</v>
      </c>
      <c r="Q33" s="118"/>
      <c r="R33" s="119"/>
      <c r="S33" s="67" t="b">
        <v>0</v>
      </c>
      <c r="T33" s="56"/>
    </row>
    <row r="34" spans="1:20" ht="15.75" customHeight="1" x14ac:dyDescent="0.2">
      <c r="A34" s="56"/>
      <c r="B34" s="167" t="s">
        <v>1517</v>
      </c>
      <c r="C34" s="124"/>
      <c r="D34" s="124"/>
      <c r="E34" s="124"/>
      <c r="F34" s="124"/>
      <c r="G34" s="124"/>
      <c r="H34" s="125"/>
      <c r="I34" s="56"/>
      <c r="J34" s="123" t="s">
        <v>1534</v>
      </c>
      <c r="K34" s="124"/>
      <c r="L34" s="124"/>
      <c r="M34" s="124"/>
      <c r="N34" s="125"/>
      <c r="O34" s="123" t="s">
        <v>1535</v>
      </c>
      <c r="P34" s="124"/>
      <c r="Q34" s="124"/>
      <c r="R34" s="124"/>
      <c r="S34" s="125"/>
      <c r="T34" s="56"/>
    </row>
    <row r="35" spans="1:20" ht="15.75" customHeight="1" x14ac:dyDescent="0.2">
      <c r="A35" s="56"/>
      <c r="B35" s="166" t="e">
        <f t="array" aca="1" ref="B35" ca="1">XLOOKUP($F$5,'설문지 응답 시트1'!$B:$B,'설문지 응답 시트1'!$I:$I,,0,-1)</f>
        <v>#NAME?</v>
      </c>
      <c r="C35" s="121"/>
      <c r="D35" s="121"/>
      <c r="E35" s="121"/>
      <c r="F35" s="121"/>
      <c r="G35" s="121"/>
      <c r="H35" s="122"/>
      <c r="I35" s="56"/>
      <c r="J35" s="126" t="s">
        <v>1536</v>
      </c>
      <c r="K35" s="121"/>
      <c r="L35" s="121"/>
      <c r="M35" s="121"/>
      <c r="N35" s="122"/>
      <c r="O35" s="126" t="s">
        <v>1537</v>
      </c>
      <c r="P35" s="121"/>
      <c r="Q35" s="121"/>
      <c r="R35" s="121"/>
      <c r="S35" s="122"/>
      <c r="T35" s="56"/>
    </row>
    <row r="36" spans="1:20" ht="15.75" customHeight="1" x14ac:dyDescent="0.2">
      <c r="A36" s="56"/>
      <c r="B36" s="132"/>
      <c r="C36" s="133"/>
      <c r="D36" s="133"/>
      <c r="E36" s="133"/>
      <c r="F36" s="133"/>
      <c r="G36" s="133"/>
      <c r="H36" s="137"/>
      <c r="I36" s="56"/>
      <c r="J36" s="127"/>
      <c r="K36" s="128"/>
      <c r="L36" s="128"/>
      <c r="M36" s="128"/>
      <c r="N36" s="129"/>
      <c r="O36" s="127"/>
      <c r="P36" s="128"/>
      <c r="Q36" s="128"/>
      <c r="R36" s="128"/>
      <c r="S36" s="129"/>
      <c r="T36" s="56"/>
    </row>
    <row r="37" spans="1:20" ht="15.75" customHeight="1" x14ac:dyDescent="0.2">
      <c r="A37" s="56"/>
      <c r="B37" s="132"/>
      <c r="C37" s="133"/>
      <c r="D37" s="133"/>
      <c r="E37" s="133"/>
      <c r="F37" s="133"/>
      <c r="G37" s="133"/>
      <c r="H37" s="137"/>
      <c r="I37" s="56"/>
      <c r="J37" s="62" t="s">
        <v>1498</v>
      </c>
      <c r="K37" s="140" t="s">
        <v>1538</v>
      </c>
      <c r="L37" s="141"/>
      <c r="M37" s="142"/>
      <c r="N37" s="64" t="b">
        <v>0</v>
      </c>
      <c r="O37" s="62" t="s">
        <v>1498</v>
      </c>
      <c r="P37" s="140" t="s">
        <v>1539</v>
      </c>
      <c r="Q37" s="141"/>
      <c r="R37" s="142"/>
      <c r="S37" s="64" t="b">
        <v>0</v>
      </c>
      <c r="T37" s="56"/>
    </row>
    <row r="38" spans="1:20" ht="15.75" customHeight="1" x14ac:dyDescent="0.2">
      <c r="A38" s="56"/>
      <c r="B38" s="132"/>
      <c r="C38" s="133"/>
      <c r="D38" s="133"/>
      <c r="E38" s="133"/>
      <c r="F38" s="133"/>
      <c r="G38" s="133"/>
      <c r="H38" s="137"/>
      <c r="I38" s="56"/>
      <c r="J38" s="65" t="s">
        <v>1501</v>
      </c>
      <c r="K38" s="114" t="s">
        <v>1540</v>
      </c>
      <c r="L38" s="115"/>
      <c r="M38" s="116"/>
      <c r="N38" s="63" t="b">
        <v>0</v>
      </c>
      <c r="O38" s="65" t="s">
        <v>1501</v>
      </c>
      <c r="P38" s="114" t="s">
        <v>1541</v>
      </c>
      <c r="Q38" s="115"/>
      <c r="R38" s="116"/>
      <c r="S38" s="63" t="b">
        <v>0</v>
      </c>
      <c r="T38" s="56"/>
    </row>
    <row r="39" spans="1:20" ht="15.75" customHeight="1" x14ac:dyDescent="0.2">
      <c r="A39" s="56"/>
      <c r="B39" s="132"/>
      <c r="C39" s="133"/>
      <c r="D39" s="133"/>
      <c r="E39" s="133"/>
      <c r="F39" s="133"/>
      <c r="G39" s="133"/>
      <c r="H39" s="137"/>
      <c r="I39" s="56"/>
      <c r="J39" s="65" t="s">
        <v>1505</v>
      </c>
      <c r="K39" s="114" t="s">
        <v>1542</v>
      </c>
      <c r="L39" s="115"/>
      <c r="M39" s="116"/>
      <c r="N39" s="63" t="b">
        <v>0</v>
      </c>
      <c r="O39" s="65" t="s">
        <v>1505</v>
      </c>
      <c r="P39" s="114" t="s">
        <v>1543</v>
      </c>
      <c r="Q39" s="115"/>
      <c r="R39" s="116"/>
      <c r="S39" s="63" t="b">
        <v>0</v>
      </c>
      <c r="T39" s="56"/>
    </row>
    <row r="40" spans="1:20" ht="15.75" customHeight="1" x14ac:dyDescent="0.2">
      <c r="A40" s="56"/>
      <c r="B40" s="132"/>
      <c r="C40" s="133"/>
      <c r="D40" s="133"/>
      <c r="E40" s="133"/>
      <c r="F40" s="133"/>
      <c r="G40" s="133"/>
      <c r="H40" s="137"/>
      <c r="I40" s="56"/>
      <c r="J40" s="65" t="s">
        <v>1509</v>
      </c>
      <c r="K40" s="114" t="s">
        <v>1544</v>
      </c>
      <c r="L40" s="115"/>
      <c r="M40" s="116"/>
      <c r="N40" s="63" t="b">
        <v>0</v>
      </c>
      <c r="O40" s="65" t="s">
        <v>1509</v>
      </c>
      <c r="P40" s="114" t="s">
        <v>1545</v>
      </c>
      <c r="Q40" s="115"/>
      <c r="R40" s="116"/>
      <c r="S40" s="63" t="b">
        <v>0</v>
      </c>
      <c r="T40" s="56"/>
    </row>
    <row r="41" spans="1:20" ht="15.75" customHeight="1" x14ac:dyDescent="0.2">
      <c r="A41" s="56"/>
      <c r="B41" s="132"/>
      <c r="C41" s="133"/>
      <c r="D41" s="133"/>
      <c r="E41" s="133"/>
      <c r="F41" s="133"/>
      <c r="G41" s="133"/>
      <c r="H41" s="137"/>
      <c r="I41" s="56"/>
      <c r="J41" s="66" t="s">
        <v>1512</v>
      </c>
      <c r="K41" s="117" t="s">
        <v>1533</v>
      </c>
      <c r="L41" s="118"/>
      <c r="M41" s="119"/>
      <c r="N41" s="67" t="b">
        <v>0</v>
      </c>
      <c r="O41" s="66" t="s">
        <v>1512</v>
      </c>
      <c r="P41" s="117" t="s">
        <v>1546</v>
      </c>
      <c r="Q41" s="118"/>
      <c r="R41" s="119"/>
      <c r="S41" s="67" t="b">
        <v>0</v>
      </c>
      <c r="T41" s="56"/>
    </row>
    <row r="42" spans="1:20" ht="15.75" customHeight="1" x14ac:dyDescent="0.2">
      <c r="A42" s="56"/>
      <c r="B42" s="132"/>
      <c r="C42" s="133"/>
      <c r="D42" s="133"/>
      <c r="E42" s="133"/>
      <c r="F42" s="133"/>
      <c r="G42" s="133"/>
      <c r="H42" s="137"/>
      <c r="I42" s="56"/>
      <c r="J42" s="120" t="s">
        <v>1547</v>
      </c>
      <c r="K42" s="121"/>
      <c r="L42" s="121"/>
      <c r="M42" s="121"/>
      <c r="N42" s="121"/>
      <c r="O42" s="121"/>
      <c r="P42" s="121"/>
      <c r="Q42" s="121"/>
      <c r="R42" s="121"/>
      <c r="S42" s="122"/>
      <c r="T42" s="56"/>
    </row>
    <row r="43" spans="1:20" ht="15.75" customHeight="1" x14ac:dyDescent="0.2">
      <c r="A43" s="56"/>
      <c r="B43" s="127"/>
      <c r="C43" s="128"/>
      <c r="D43" s="128"/>
      <c r="E43" s="128"/>
      <c r="F43" s="128"/>
      <c r="G43" s="128"/>
      <c r="H43" s="129"/>
      <c r="I43" s="56"/>
      <c r="J43" s="123" t="s">
        <v>1548</v>
      </c>
      <c r="K43" s="124"/>
      <c r="L43" s="124"/>
      <c r="M43" s="124"/>
      <c r="N43" s="125"/>
      <c r="O43" s="123" t="s">
        <v>1549</v>
      </c>
      <c r="P43" s="124"/>
      <c r="Q43" s="124"/>
      <c r="R43" s="124"/>
      <c r="S43" s="125"/>
      <c r="T43" s="56"/>
    </row>
    <row r="44" spans="1:20" ht="15.75" customHeight="1" x14ac:dyDescent="0.2">
      <c r="A44" s="56"/>
      <c r="B44" s="167" t="s">
        <v>1550</v>
      </c>
      <c r="C44" s="124"/>
      <c r="D44" s="124"/>
      <c r="E44" s="124"/>
      <c r="F44" s="124"/>
      <c r="G44" s="124"/>
      <c r="H44" s="125"/>
      <c r="I44" s="56"/>
      <c r="J44" s="126" t="s">
        <v>1551</v>
      </c>
      <c r="K44" s="121"/>
      <c r="L44" s="121"/>
      <c r="M44" s="121"/>
      <c r="N44" s="122"/>
      <c r="O44" s="126" t="s">
        <v>1552</v>
      </c>
      <c r="P44" s="121"/>
      <c r="Q44" s="121"/>
      <c r="R44" s="121"/>
      <c r="S44" s="122"/>
      <c r="T44" s="56"/>
    </row>
    <row r="45" spans="1:20" ht="15.75" customHeight="1" x14ac:dyDescent="0.2">
      <c r="A45" s="56"/>
      <c r="B45" s="164" t="e">
        <f t="array" aca="1" ref="B45" ca="1">XLOOKUP($F$5,'설문지 응답 시트1'!$B:$B,'설문지 응답 시트1'!$J:$J,,0,-1)</f>
        <v>#NAME?</v>
      </c>
      <c r="C45" s="121"/>
      <c r="D45" s="121"/>
      <c r="E45" s="121"/>
      <c r="F45" s="121"/>
      <c r="G45" s="121"/>
      <c r="H45" s="122"/>
      <c r="I45" s="56"/>
      <c r="J45" s="127"/>
      <c r="K45" s="128"/>
      <c r="L45" s="128"/>
      <c r="M45" s="128"/>
      <c r="N45" s="129"/>
      <c r="O45" s="127"/>
      <c r="P45" s="128"/>
      <c r="Q45" s="128"/>
      <c r="R45" s="128"/>
      <c r="S45" s="129"/>
      <c r="T45" s="56"/>
    </row>
    <row r="46" spans="1:20" ht="15.75" customHeight="1" x14ac:dyDescent="0.2">
      <c r="A46" s="56"/>
      <c r="B46" s="132"/>
      <c r="C46" s="133"/>
      <c r="D46" s="133"/>
      <c r="E46" s="133"/>
      <c r="F46" s="133"/>
      <c r="G46" s="133"/>
      <c r="H46" s="137"/>
      <c r="I46" s="56"/>
      <c r="J46" s="62" t="s">
        <v>1498</v>
      </c>
      <c r="K46" s="140" t="s">
        <v>1553</v>
      </c>
      <c r="L46" s="141"/>
      <c r="M46" s="142"/>
      <c r="N46" s="64" t="b">
        <v>0</v>
      </c>
      <c r="O46" s="62" t="s">
        <v>1498</v>
      </c>
      <c r="P46" s="140" t="s">
        <v>1554</v>
      </c>
      <c r="Q46" s="141"/>
      <c r="R46" s="142"/>
      <c r="S46" s="64" t="b">
        <v>0</v>
      </c>
      <c r="T46" s="56"/>
    </row>
    <row r="47" spans="1:20" ht="15.75" customHeight="1" x14ac:dyDescent="0.2">
      <c r="A47" s="56"/>
      <c r="B47" s="132"/>
      <c r="C47" s="133"/>
      <c r="D47" s="133"/>
      <c r="E47" s="133"/>
      <c r="F47" s="133"/>
      <c r="G47" s="133"/>
      <c r="H47" s="137"/>
      <c r="I47" s="56"/>
      <c r="J47" s="65" t="s">
        <v>1501</v>
      </c>
      <c r="K47" s="114" t="s">
        <v>1555</v>
      </c>
      <c r="L47" s="115"/>
      <c r="M47" s="116"/>
      <c r="N47" s="63" t="b">
        <v>0</v>
      </c>
      <c r="O47" s="65" t="s">
        <v>1501</v>
      </c>
      <c r="P47" s="114" t="s">
        <v>1556</v>
      </c>
      <c r="Q47" s="115"/>
      <c r="R47" s="116"/>
      <c r="S47" s="63" t="b">
        <v>0</v>
      </c>
      <c r="T47" s="56"/>
    </row>
    <row r="48" spans="1:20" ht="15.75" customHeight="1" x14ac:dyDescent="0.2">
      <c r="A48" s="56"/>
      <c r="B48" s="132"/>
      <c r="C48" s="133"/>
      <c r="D48" s="133"/>
      <c r="E48" s="133"/>
      <c r="F48" s="133"/>
      <c r="G48" s="133"/>
      <c r="H48" s="137"/>
      <c r="I48" s="56"/>
      <c r="J48" s="65" t="s">
        <v>1505</v>
      </c>
      <c r="K48" s="114" t="s">
        <v>1557</v>
      </c>
      <c r="L48" s="115"/>
      <c r="M48" s="116"/>
      <c r="N48" s="63" t="b">
        <v>0</v>
      </c>
      <c r="O48" s="65" t="s">
        <v>1505</v>
      </c>
      <c r="P48" s="114" t="s">
        <v>1558</v>
      </c>
      <c r="Q48" s="115"/>
      <c r="R48" s="116"/>
      <c r="S48" s="63" t="b">
        <v>0</v>
      </c>
      <c r="T48" s="56"/>
    </row>
    <row r="49" spans="1:20" ht="15.75" customHeight="1" x14ac:dyDescent="0.2">
      <c r="A49" s="56"/>
      <c r="B49" s="132"/>
      <c r="C49" s="133"/>
      <c r="D49" s="133"/>
      <c r="E49" s="133"/>
      <c r="F49" s="133"/>
      <c r="G49" s="133"/>
      <c r="H49" s="137"/>
      <c r="I49" s="56"/>
      <c r="J49" s="65" t="s">
        <v>1509</v>
      </c>
      <c r="K49" s="114" t="s">
        <v>1559</v>
      </c>
      <c r="L49" s="115"/>
      <c r="M49" s="116"/>
      <c r="N49" s="63" t="b">
        <v>0</v>
      </c>
      <c r="O49" s="65" t="s">
        <v>1509</v>
      </c>
      <c r="P49" s="114" t="s">
        <v>1560</v>
      </c>
      <c r="Q49" s="115"/>
      <c r="R49" s="116"/>
      <c r="S49" s="63" t="b">
        <v>0</v>
      </c>
      <c r="T49" s="56"/>
    </row>
    <row r="50" spans="1:20" ht="15.75" customHeight="1" x14ac:dyDescent="0.2">
      <c r="A50" s="56"/>
      <c r="B50" s="132"/>
      <c r="C50" s="133"/>
      <c r="D50" s="133"/>
      <c r="E50" s="133"/>
      <c r="F50" s="133"/>
      <c r="G50" s="133"/>
      <c r="H50" s="137"/>
      <c r="I50" s="56"/>
      <c r="J50" s="66" t="s">
        <v>1512</v>
      </c>
      <c r="K50" s="117" t="s">
        <v>1561</v>
      </c>
      <c r="L50" s="118"/>
      <c r="M50" s="119"/>
      <c r="N50" s="67" t="b">
        <v>0</v>
      </c>
      <c r="O50" s="66" t="s">
        <v>1512</v>
      </c>
      <c r="P50" s="117" t="s">
        <v>1562</v>
      </c>
      <c r="Q50" s="118"/>
      <c r="R50" s="119"/>
      <c r="S50" s="67" t="b">
        <v>0</v>
      </c>
      <c r="T50" s="56"/>
    </row>
    <row r="51" spans="1:20" ht="15.75" customHeight="1" x14ac:dyDescent="0.2">
      <c r="A51" s="56"/>
      <c r="B51" s="132"/>
      <c r="C51" s="133"/>
      <c r="D51" s="133"/>
      <c r="E51" s="133"/>
      <c r="F51" s="133"/>
      <c r="G51" s="133"/>
      <c r="H51" s="137"/>
      <c r="I51" s="56"/>
      <c r="J51" s="120" t="s">
        <v>1563</v>
      </c>
      <c r="K51" s="121"/>
      <c r="L51" s="121"/>
      <c r="M51" s="121"/>
      <c r="N51" s="121"/>
      <c r="O51" s="121"/>
      <c r="P51" s="121"/>
      <c r="Q51" s="121"/>
      <c r="R51" s="121"/>
      <c r="S51" s="122"/>
      <c r="T51" s="56"/>
    </row>
    <row r="52" spans="1:20" ht="15.75" customHeight="1" x14ac:dyDescent="0.2">
      <c r="A52" s="56"/>
      <c r="B52" s="132"/>
      <c r="C52" s="133"/>
      <c r="D52" s="133"/>
      <c r="E52" s="133"/>
      <c r="F52" s="133"/>
      <c r="G52" s="133"/>
      <c r="H52" s="137"/>
      <c r="I52" s="56"/>
      <c r="J52" s="123" t="s">
        <v>1564</v>
      </c>
      <c r="K52" s="124"/>
      <c r="L52" s="124"/>
      <c r="M52" s="124"/>
      <c r="N52" s="125"/>
      <c r="O52" s="123" t="s">
        <v>1565</v>
      </c>
      <c r="P52" s="124"/>
      <c r="Q52" s="124"/>
      <c r="R52" s="124"/>
      <c r="S52" s="125"/>
      <c r="T52" s="56"/>
    </row>
    <row r="53" spans="1:20" ht="15.75" customHeight="1" x14ac:dyDescent="0.2">
      <c r="A53" s="56"/>
      <c r="B53" s="127"/>
      <c r="C53" s="128"/>
      <c r="D53" s="128"/>
      <c r="E53" s="128"/>
      <c r="F53" s="128"/>
      <c r="G53" s="128"/>
      <c r="H53" s="129"/>
      <c r="I53" s="56"/>
      <c r="J53" s="126" t="s">
        <v>1566</v>
      </c>
      <c r="K53" s="121"/>
      <c r="L53" s="121"/>
      <c r="M53" s="121"/>
      <c r="N53" s="122"/>
      <c r="O53" s="126" t="s">
        <v>1567</v>
      </c>
      <c r="P53" s="121"/>
      <c r="Q53" s="121"/>
      <c r="R53" s="121"/>
      <c r="S53" s="122"/>
      <c r="T53" s="56"/>
    </row>
    <row r="54" spans="1:20" ht="15.75" customHeight="1" x14ac:dyDescent="0.2">
      <c r="A54" s="56"/>
      <c r="B54" s="167" t="s">
        <v>1568</v>
      </c>
      <c r="C54" s="124"/>
      <c r="D54" s="124"/>
      <c r="E54" s="124"/>
      <c r="F54" s="124"/>
      <c r="G54" s="124"/>
      <c r="H54" s="125"/>
      <c r="I54" s="56"/>
      <c r="J54" s="127"/>
      <c r="K54" s="128"/>
      <c r="L54" s="128"/>
      <c r="M54" s="128"/>
      <c r="N54" s="129"/>
      <c r="O54" s="127"/>
      <c r="P54" s="128"/>
      <c r="Q54" s="128"/>
      <c r="R54" s="128"/>
      <c r="S54" s="129"/>
      <c r="T54" s="56"/>
    </row>
    <row r="55" spans="1:20" ht="15.75" customHeight="1" x14ac:dyDescent="0.2">
      <c r="A55" s="56"/>
      <c r="B55" s="164" t="e">
        <f t="array" aca="1" ref="B55" ca="1">XLOOKUP($F$5,'설문지 응답 시트1'!$B:$B,'설문지 응답 시트1'!$M:$M,,0,-1)</f>
        <v>#NAME?</v>
      </c>
      <c r="C55" s="121"/>
      <c r="D55" s="121"/>
      <c r="E55" s="121"/>
      <c r="F55" s="121"/>
      <c r="G55" s="121"/>
      <c r="H55" s="122"/>
      <c r="I55" s="56"/>
      <c r="J55" s="62" t="s">
        <v>1498</v>
      </c>
      <c r="K55" s="140" t="s">
        <v>1569</v>
      </c>
      <c r="L55" s="141"/>
      <c r="M55" s="142"/>
      <c r="N55" s="64" t="b">
        <v>0</v>
      </c>
      <c r="O55" s="62" t="s">
        <v>1498</v>
      </c>
      <c r="P55" s="140" t="s">
        <v>1570</v>
      </c>
      <c r="Q55" s="141"/>
      <c r="R55" s="142"/>
      <c r="S55" s="64" t="b">
        <v>0</v>
      </c>
      <c r="T55" s="56"/>
    </row>
    <row r="56" spans="1:20" ht="15.75" customHeight="1" x14ac:dyDescent="0.2">
      <c r="A56" s="56"/>
      <c r="B56" s="132"/>
      <c r="C56" s="133"/>
      <c r="D56" s="133"/>
      <c r="E56" s="133"/>
      <c r="F56" s="133"/>
      <c r="G56" s="133"/>
      <c r="H56" s="137"/>
      <c r="I56" s="56"/>
      <c r="J56" s="65" t="s">
        <v>1501</v>
      </c>
      <c r="K56" s="114" t="s">
        <v>1571</v>
      </c>
      <c r="L56" s="115"/>
      <c r="M56" s="116"/>
      <c r="N56" s="63" t="b">
        <v>0</v>
      </c>
      <c r="O56" s="65" t="s">
        <v>1501</v>
      </c>
      <c r="P56" s="114" t="s">
        <v>1572</v>
      </c>
      <c r="Q56" s="115"/>
      <c r="R56" s="116"/>
      <c r="S56" s="63" t="b">
        <v>0</v>
      </c>
      <c r="T56" s="56"/>
    </row>
    <row r="57" spans="1:20" ht="15.75" customHeight="1" x14ac:dyDescent="0.2">
      <c r="A57" s="56"/>
      <c r="B57" s="132"/>
      <c r="C57" s="133"/>
      <c r="D57" s="133"/>
      <c r="E57" s="133"/>
      <c r="F57" s="133"/>
      <c r="G57" s="133"/>
      <c r="H57" s="137"/>
      <c r="I57" s="56"/>
      <c r="J57" s="65" t="s">
        <v>1505</v>
      </c>
      <c r="K57" s="114" t="s">
        <v>1573</v>
      </c>
      <c r="L57" s="115"/>
      <c r="M57" s="116"/>
      <c r="N57" s="63" t="b">
        <v>0</v>
      </c>
      <c r="O57" s="65" t="s">
        <v>1505</v>
      </c>
      <c r="P57" s="114" t="s">
        <v>1574</v>
      </c>
      <c r="Q57" s="115"/>
      <c r="R57" s="116"/>
      <c r="S57" s="63" t="b">
        <v>0</v>
      </c>
      <c r="T57" s="56"/>
    </row>
    <row r="58" spans="1:20" ht="15.75" customHeight="1" x14ac:dyDescent="0.2">
      <c r="A58" s="56"/>
      <c r="B58" s="132"/>
      <c r="C58" s="133"/>
      <c r="D58" s="133"/>
      <c r="E58" s="133"/>
      <c r="F58" s="133"/>
      <c r="G58" s="133"/>
      <c r="H58" s="137"/>
      <c r="I58" s="56"/>
      <c r="J58" s="65" t="s">
        <v>1509</v>
      </c>
      <c r="K58" s="114" t="s">
        <v>1575</v>
      </c>
      <c r="L58" s="115"/>
      <c r="M58" s="116"/>
      <c r="N58" s="63" t="b">
        <v>0</v>
      </c>
      <c r="O58" s="65" t="s">
        <v>1509</v>
      </c>
      <c r="P58" s="114" t="s">
        <v>1576</v>
      </c>
      <c r="Q58" s="115"/>
      <c r="R58" s="116"/>
      <c r="S58" s="63" t="b">
        <v>0</v>
      </c>
      <c r="T58" s="56"/>
    </row>
    <row r="59" spans="1:20" ht="15.75" customHeight="1" x14ac:dyDescent="0.2">
      <c r="A59" s="56"/>
      <c r="B59" s="132"/>
      <c r="C59" s="133"/>
      <c r="D59" s="133"/>
      <c r="E59" s="133"/>
      <c r="F59" s="133"/>
      <c r="G59" s="133"/>
      <c r="H59" s="137"/>
      <c r="I59" s="56"/>
      <c r="J59" s="66" t="s">
        <v>1512</v>
      </c>
      <c r="K59" s="117" t="s">
        <v>1577</v>
      </c>
      <c r="L59" s="118"/>
      <c r="M59" s="119"/>
      <c r="N59" s="67" t="b">
        <v>0</v>
      </c>
      <c r="O59" s="66" t="s">
        <v>1512</v>
      </c>
      <c r="P59" s="117" t="s">
        <v>1578</v>
      </c>
      <c r="Q59" s="118"/>
      <c r="R59" s="119"/>
      <c r="S59" s="67" t="b">
        <v>0</v>
      </c>
      <c r="T59" s="56"/>
    </row>
    <row r="60" spans="1:20" ht="15.75" customHeight="1" x14ac:dyDescent="0.2">
      <c r="A60" s="56"/>
      <c r="B60" s="127"/>
      <c r="C60" s="128"/>
      <c r="D60" s="128"/>
      <c r="E60" s="128"/>
      <c r="F60" s="128"/>
      <c r="G60" s="128"/>
      <c r="H60" s="129"/>
      <c r="I60" s="56"/>
      <c r="J60" s="138" t="s">
        <v>1579</v>
      </c>
      <c r="K60" s="121"/>
      <c r="L60" s="121"/>
      <c r="M60" s="121"/>
      <c r="N60" s="121"/>
      <c r="O60" s="121"/>
      <c r="P60" s="121"/>
      <c r="Q60" s="121"/>
      <c r="R60" s="139"/>
      <c r="S60" s="68" t="s">
        <v>1580</v>
      </c>
      <c r="T60" s="56"/>
    </row>
    <row r="61" spans="1:20" ht="15.75" customHeight="1" x14ac:dyDescent="0.2">
      <c r="A61" s="56"/>
      <c r="B61" s="165" t="s">
        <v>1581</v>
      </c>
      <c r="C61" s="124"/>
      <c r="D61" s="124"/>
      <c r="E61" s="124"/>
      <c r="F61" s="124"/>
      <c r="G61" s="124"/>
      <c r="H61" s="125"/>
      <c r="I61" s="56"/>
      <c r="J61" s="130"/>
      <c r="K61" s="121"/>
      <c r="L61" s="121"/>
      <c r="M61" s="121"/>
      <c r="N61" s="121"/>
      <c r="O61" s="121"/>
      <c r="P61" s="121"/>
      <c r="Q61" s="121"/>
      <c r="R61" s="131"/>
      <c r="S61" s="136"/>
      <c r="T61" s="56"/>
    </row>
    <row r="62" spans="1:20" ht="15.75" customHeight="1" x14ac:dyDescent="0.2">
      <c r="A62" s="56"/>
      <c r="B62" s="166" t="e">
        <f t="array" aca="1" ref="B62" ca="1">XLOOKUP($F$5,'설문지 응답 시트1'!$B:$B,'설문지 응답 시트1'!$X:$X,,0,-1)</f>
        <v>#NAME?</v>
      </c>
      <c r="C62" s="121"/>
      <c r="D62" s="121"/>
      <c r="E62" s="121"/>
      <c r="F62" s="121"/>
      <c r="G62" s="121"/>
      <c r="H62" s="122"/>
      <c r="I62" s="56"/>
      <c r="J62" s="132"/>
      <c r="K62" s="133"/>
      <c r="L62" s="133"/>
      <c r="M62" s="133"/>
      <c r="N62" s="133"/>
      <c r="O62" s="133"/>
      <c r="P62" s="133"/>
      <c r="Q62" s="133"/>
      <c r="R62" s="134"/>
      <c r="S62" s="137"/>
      <c r="T62" s="56"/>
    </row>
    <row r="63" spans="1:20" ht="35.25" customHeight="1" x14ac:dyDescent="0.2">
      <c r="A63" s="56"/>
      <c r="B63" s="132"/>
      <c r="C63" s="133"/>
      <c r="D63" s="133"/>
      <c r="E63" s="133"/>
      <c r="F63" s="133"/>
      <c r="G63" s="133"/>
      <c r="H63" s="137"/>
      <c r="I63" s="56"/>
      <c r="J63" s="132"/>
      <c r="K63" s="133"/>
      <c r="L63" s="133"/>
      <c r="M63" s="133"/>
      <c r="N63" s="133"/>
      <c r="O63" s="133"/>
      <c r="P63" s="133"/>
      <c r="Q63" s="133"/>
      <c r="R63" s="134"/>
      <c r="S63" s="137"/>
      <c r="T63" s="56"/>
    </row>
    <row r="64" spans="1:20" ht="35.25" customHeight="1" x14ac:dyDescent="0.2">
      <c r="A64" s="56"/>
      <c r="B64" s="132"/>
      <c r="C64" s="133"/>
      <c r="D64" s="133"/>
      <c r="E64" s="133"/>
      <c r="F64" s="133"/>
      <c r="G64" s="133"/>
      <c r="H64" s="137"/>
      <c r="I64" s="56"/>
      <c r="J64" s="132"/>
      <c r="K64" s="133"/>
      <c r="L64" s="133"/>
      <c r="M64" s="133"/>
      <c r="N64" s="133"/>
      <c r="O64" s="133"/>
      <c r="P64" s="133"/>
      <c r="Q64" s="133"/>
      <c r="R64" s="134"/>
      <c r="S64" s="137"/>
      <c r="T64" s="56"/>
    </row>
    <row r="65" spans="1:20" ht="35.25" customHeight="1" x14ac:dyDescent="0.2">
      <c r="A65" s="56"/>
      <c r="B65" s="132"/>
      <c r="C65" s="133"/>
      <c r="D65" s="133"/>
      <c r="E65" s="133"/>
      <c r="F65" s="133"/>
      <c r="G65" s="133"/>
      <c r="H65" s="137"/>
      <c r="I65" s="56"/>
      <c r="J65" s="132"/>
      <c r="K65" s="133"/>
      <c r="L65" s="133"/>
      <c r="M65" s="133"/>
      <c r="N65" s="133"/>
      <c r="O65" s="133"/>
      <c r="P65" s="133"/>
      <c r="Q65" s="133"/>
      <c r="R65" s="134"/>
      <c r="S65" s="137"/>
      <c r="T65" s="56"/>
    </row>
    <row r="66" spans="1:20" ht="35.25" customHeight="1" x14ac:dyDescent="0.2">
      <c r="A66" s="56"/>
      <c r="B66" s="132"/>
      <c r="C66" s="133"/>
      <c r="D66" s="133"/>
      <c r="E66" s="133"/>
      <c r="F66" s="133"/>
      <c r="G66" s="133"/>
      <c r="H66" s="137"/>
      <c r="I66" s="56"/>
      <c r="J66" s="132"/>
      <c r="K66" s="133"/>
      <c r="L66" s="133"/>
      <c r="M66" s="133"/>
      <c r="N66" s="133"/>
      <c r="O66" s="133"/>
      <c r="P66" s="133"/>
      <c r="Q66" s="133"/>
      <c r="R66" s="134"/>
      <c r="S66" s="137"/>
      <c r="T66" s="56"/>
    </row>
    <row r="67" spans="1:20" ht="15.75" customHeight="1" x14ac:dyDescent="0.2">
      <c r="A67" s="56"/>
      <c r="B67" s="127"/>
      <c r="C67" s="128"/>
      <c r="D67" s="128"/>
      <c r="E67" s="128"/>
      <c r="F67" s="128"/>
      <c r="G67" s="128"/>
      <c r="H67" s="129"/>
      <c r="I67" s="56"/>
      <c r="J67" s="127"/>
      <c r="K67" s="128"/>
      <c r="L67" s="128"/>
      <c r="M67" s="128"/>
      <c r="N67" s="128"/>
      <c r="O67" s="128"/>
      <c r="P67" s="128"/>
      <c r="Q67" s="128"/>
      <c r="R67" s="135"/>
      <c r="S67" s="129"/>
      <c r="T67" s="56"/>
    </row>
    <row r="68" spans="1:20" ht="12.75" customHeight="1" x14ac:dyDescent="0.2">
      <c r="A68" s="56"/>
      <c r="B68" s="56"/>
      <c r="C68" s="56"/>
      <c r="D68" s="56"/>
      <c r="E68" s="56"/>
      <c r="F68" s="56"/>
      <c r="G68" s="56"/>
      <c r="H68" s="56"/>
      <c r="I68" s="56"/>
      <c r="T68" s="56"/>
    </row>
  </sheetData>
  <mergeCells count="135">
    <mergeCell ref="J7:S7"/>
    <mergeCell ref="K8:S8"/>
    <mergeCell ref="K9:S9"/>
    <mergeCell ref="K10:S10"/>
    <mergeCell ref="K11:S11"/>
    <mergeCell ref="K12:S12"/>
    <mergeCell ref="K13:S13"/>
    <mergeCell ref="K14:S14"/>
    <mergeCell ref="K15:S15"/>
    <mergeCell ref="J18:N19"/>
    <mergeCell ref="O18:S19"/>
    <mergeCell ref="K23:M23"/>
    <mergeCell ref="K24:M24"/>
    <mergeCell ref="K20:M20"/>
    <mergeCell ref="P20:R20"/>
    <mergeCell ref="K21:M21"/>
    <mergeCell ref="P21:R21"/>
    <mergeCell ref="K22:M22"/>
    <mergeCell ref="P22:R22"/>
    <mergeCell ref="P23:R23"/>
    <mergeCell ref="D12:D13"/>
    <mergeCell ref="E12:H13"/>
    <mergeCell ref="B14:C15"/>
    <mergeCell ref="D14:D15"/>
    <mergeCell ref="E14:H15"/>
    <mergeCell ref="B16:H16"/>
    <mergeCell ref="J16:S16"/>
    <mergeCell ref="J17:N17"/>
    <mergeCell ref="O17:S17"/>
    <mergeCell ref="B17:H21"/>
    <mergeCell ref="B22:H22"/>
    <mergeCell ref="B23:D24"/>
    <mergeCell ref="E23:H24"/>
    <mergeCell ref="E25:H26"/>
    <mergeCell ref="B55:H60"/>
    <mergeCell ref="B61:H61"/>
    <mergeCell ref="B62:H67"/>
    <mergeCell ref="B30:H32"/>
    <mergeCell ref="B33:H33"/>
    <mergeCell ref="B34:H34"/>
    <mergeCell ref="B35:H43"/>
    <mergeCell ref="B44:H44"/>
    <mergeCell ref="B45:H53"/>
    <mergeCell ref="B54:H54"/>
    <mergeCell ref="B25:D26"/>
    <mergeCell ref="B27:D28"/>
    <mergeCell ref="E27:H28"/>
    <mergeCell ref="B29:H29"/>
    <mergeCell ref="M4:S5"/>
    <mergeCell ref="N6:P6"/>
    <mergeCell ref="R6:S6"/>
    <mergeCell ref="H7:H9"/>
    <mergeCell ref="J8:J9"/>
    <mergeCell ref="J10:J12"/>
    <mergeCell ref="J13:J15"/>
    <mergeCell ref="B2:H3"/>
    <mergeCell ref="J2:S3"/>
    <mergeCell ref="B4:H4"/>
    <mergeCell ref="J4:J6"/>
    <mergeCell ref="K4:L6"/>
    <mergeCell ref="B5:B6"/>
    <mergeCell ref="F5:H6"/>
    <mergeCell ref="C5:D6"/>
    <mergeCell ref="E5:E6"/>
    <mergeCell ref="B7:B9"/>
    <mergeCell ref="C7:D9"/>
    <mergeCell ref="E7:E9"/>
    <mergeCell ref="F7:F9"/>
    <mergeCell ref="G7:G9"/>
    <mergeCell ref="D10:E10"/>
    <mergeCell ref="B11:H11"/>
    <mergeCell ref="B12:C13"/>
    <mergeCell ref="P49:R49"/>
    <mergeCell ref="P50:R50"/>
    <mergeCell ref="J51:S51"/>
    <mergeCell ref="O52:S52"/>
    <mergeCell ref="J52:N52"/>
    <mergeCell ref="J34:N34"/>
    <mergeCell ref="O34:S34"/>
    <mergeCell ref="J35:N36"/>
    <mergeCell ref="O35:S36"/>
    <mergeCell ref="K37:M37"/>
    <mergeCell ref="P37:R37"/>
    <mergeCell ref="P38:R38"/>
    <mergeCell ref="J44:N45"/>
    <mergeCell ref="K46:M46"/>
    <mergeCell ref="K47:M47"/>
    <mergeCell ref="K48:M48"/>
    <mergeCell ref="K49:M49"/>
    <mergeCell ref="K50:M50"/>
    <mergeCell ref="P39:R39"/>
    <mergeCell ref="K31:M31"/>
    <mergeCell ref="K32:M32"/>
    <mergeCell ref="P32:R32"/>
    <mergeCell ref="K33:M33"/>
    <mergeCell ref="P33:R33"/>
    <mergeCell ref="K38:M38"/>
    <mergeCell ref="K39:M39"/>
    <mergeCell ref="K40:M40"/>
    <mergeCell ref="K41:M41"/>
    <mergeCell ref="P31:R31"/>
    <mergeCell ref="P24:R24"/>
    <mergeCell ref="J25:S25"/>
    <mergeCell ref="J26:N26"/>
    <mergeCell ref="O26:S26"/>
    <mergeCell ref="J27:N28"/>
    <mergeCell ref="O27:S28"/>
    <mergeCell ref="P29:R29"/>
    <mergeCell ref="K29:M29"/>
    <mergeCell ref="K30:M30"/>
    <mergeCell ref="P30:R30"/>
    <mergeCell ref="P40:R40"/>
    <mergeCell ref="P41:R41"/>
    <mergeCell ref="J42:S42"/>
    <mergeCell ref="J43:N43"/>
    <mergeCell ref="O43:S43"/>
    <mergeCell ref="O44:S45"/>
    <mergeCell ref="J61:R67"/>
    <mergeCell ref="S61:S67"/>
    <mergeCell ref="P56:R56"/>
    <mergeCell ref="P57:R57"/>
    <mergeCell ref="K58:M58"/>
    <mergeCell ref="P58:R58"/>
    <mergeCell ref="K59:M59"/>
    <mergeCell ref="P59:R59"/>
    <mergeCell ref="J60:R60"/>
    <mergeCell ref="J53:N54"/>
    <mergeCell ref="O53:S54"/>
    <mergeCell ref="K55:M55"/>
    <mergeCell ref="P55:R55"/>
    <mergeCell ref="K56:M56"/>
    <mergeCell ref="K57:M57"/>
    <mergeCell ref="P46:R46"/>
    <mergeCell ref="P47:R47"/>
    <mergeCell ref="P48:R48"/>
  </mergeCells>
  <phoneticPr fontId="26" type="noConversion"/>
  <conditionalFormatting sqref="D12:H15">
    <cfRule type="expression" dxfId="16" priority="1">
      <formula>OR($D12="아니오",$D12="아니요")</formula>
    </cfRule>
    <cfRule type="expression" dxfId="15" priority="2">
      <formula>($D12="예")</formula>
    </cfRule>
  </conditionalFormatting>
  <conditionalFormatting sqref="F10">
    <cfRule type="containsText" dxfId="14" priority="3" operator="containsText" text="예">
      <formula>NOT(ISERROR(SEARCH(("예"),(F10))))</formula>
    </cfRule>
  </conditionalFormatting>
  <conditionalFormatting sqref="H10">
    <cfRule type="notContainsText" dxfId="13" priority="4" operator="notContains" text="없음">
      <formula>ISERROR(SEARCH(("없음"),(H10)))</formula>
    </cfRule>
  </conditionalFormatting>
  <dataValidations count="1">
    <dataValidation type="list" allowBlank="1" showErrorMessage="1" sqref="S61" xr:uid="{00000000-0002-0000-0200-000000000000}">
      <formula1>"합격,불합"</formula1>
    </dataValidation>
  </dataValidations>
  <hyperlinks>
    <hyperlink ref="N6" r:id="rId1" xr:uid="{00000000-0004-0000-0200-000000000000}"/>
    <hyperlink ref="R6" r:id="rId2" xr:uid="{00000000-0004-0000-02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AJ210"/>
  <sheetViews>
    <sheetView showGridLines="0" tabSelected="1" workbookViewId="0">
      <pane ySplit="10" topLeftCell="A11" activePane="bottomLeft" state="frozen"/>
      <selection pane="bottomLeft" activeCell="O10" sqref="O10:Q10"/>
    </sheetView>
  </sheetViews>
  <sheetFormatPr defaultColWidth="12.5703125" defaultRowHeight="15.75" customHeight="1" x14ac:dyDescent="0.2"/>
  <cols>
    <col min="1" max="1" width="1.140625" customWidth="1"/>
    <col min="2" max="35" width="6.42578125" customWidth="1"/>
    <col min="36" max="36" width="1.85546875" customWidth="1"/>
  </cols>
  <sheetData>
    <row r="1" spans="1:36" ht="9.75" customHeight="1" x14ac:dyDescent="0.2">
      <c r="A1" s="56"/>
      <c r="B1" s="9"/>
      <c r="C1" s="56"/>
      <c r="D1" s="9"/>
      <c r="E1" s="56"/>
      <c r="F1" s="9"/>
      <c r="G1" s="56"/>
      <c r="H1" s="9"/>
      <c r="I1" s="56"/>
      <c r="J1" s="9"/>
      <c r="K1" s="56"/>
      <c r="L1" s="9"/>
      <c r="M1" s="56"/>
      <c r="N1" s="9"/>
      <c r="O1" s="69"/>
      <c r="P1" s="10"/>
      <c r="Q1" s="9"/>
      <c r="R1" s="9"/>
      <c r="S1" s="56"/>
      <c r="T1" s="9"/>
      <c r="U1" s="56"/>
      <c r="V1" s="9"/>
      <c r="W1" s="56"/>
      <c r="X1" s="9"/>
      <c r="Y1" s="56"/>
      <c r="Z1" s="9"/>
      <c r="AA1" s="56"/>
      <c r="AB1" s="9"/>
      <c r="AC1" s="56"/>
      <c r="AD1" s="9"/>
      <c r="AE1" s="56"/>
      <c r="AF1" s="9"/>
      <c r="AG1" s="56"/>
      <c r="AH1" s="9"/>
      <c r="AI1" s="56"/>
      <c r="AJ1" s="9"/>
    </row>
    <row r="2" spans="1:36" ht="19.5" x14ac:dyDescent="0.2">
      <c r="A2" s="56"/>
      <c r="B2" s="206" t="s">
        <v>1582</v>
      </c>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9"/>
    </row>
    <row r="3" spans="1:36" ht="8.25" customHeight="1" x14ac:dyDescent="0.2">
      <c r="A3" s="56"/>
      <c r="B3" s="9"/>
      <c r="C3" s="10"/>
      <c r="D3" s="10"/>
      <c r="E3" s="10"/>
      <c r="F3" s="10"/>
      <c r="G3" s="10"/>
      <c r="H3" s="10"/>
      <c r="I3" s="10"/>
      <c r="J3" s="10"/>
      <c r="K3" s="10"/>
      <c r="L3" s="10"/>
      <c r="M3" s="69"/>
      <c r="N3" s="56"/>
      <c r="O3" s="69"/>
      <c r="P3" s="69"/>
      <c r="Q3" s="56"/>
      <c r="R3" s="56"/>
      <c r="S3" s="56"/>
      <c r="T3" s="9"/>
      <c r="U3" s="56"/>
      <c r="V3" s="56"/>
      <c r="W3" s="56"/>
      <c r="X3" s="56"/>
      <c r="Y3" s="56"/>
      <c r="Z3" s="56"/>
      <c r="AA3" s="56"/>
      <c r="AB3" s="56"/>
      <c r="AC3" s="56"/>
      <c r="AD3" s="10"/>
      <c r="AE3" s="10"/>
      <c r="AF3" s="10"/>
      <c r="AG3" s="10"/>
      <c r="AH3" s="9"/>
      <c r="AI3" s="9"/>
      <c r="AJ3" s="9"/>
    </row>
    <row r="4" spans="1:36" ht="18" customHeight="1" x14ac:dyDescent="0.2">
      <c r="A4" s="69"/>
      <c r="B4" s="207" t="s">
        <v>1583</v>
      </c>
      <c r="C4" s="124"/>
      <c r="D4" s="124"/>
      <c r="E4" s="124"/>
      <c r="F4" s="124"/>
      <c r="G4" s="124"/>
      <c r="H4" s="124"/>
      <c r="I4" s="125"/>
      <c r="K4" s="207" t="s">
        <v>1473</v>
      </c>
      <c r="L4" s="124"/>
      <c r="M4" s="124"/>
      <c r="N4" s="124"/>
      <c r="O4" s="124"/>
      <c r="P4" s="124"/>
      <c r="Q4" s="124"/>
      <c r="R4" s="125"/>
      <c r="T4" s="207" t="s">
        <v>1472</v>
      </c>
      <c r="U4" s="124"/>
      <c r="V4" s="125"/>
      <c r="X4" s="207" t="s">
        <v>1584</v>
      </c>
      <c r="Y4" s="124"/>
      <c r="Z4" s="125"/>
      <c r="AB4" s="207" t="s">
        <v>1585</v>
      </c>
      <c r="AC4" s="124"/>
      <c r="AD4" s="125"/>
      <c r="AF4" s="207" t="s">
        <v>1580</v>
      </c>
      <c r="AG4" s="124"/>
      <c r="AH4" s="124"/>
      <c r="AI4" s="125"/>
      <c r="AJ4" s="10"/>
    </row>
    <row r="5" spans="1:36" ht="18" customHeight="1" x14ac:dyDescent="0.2">
      <c r="A5" s="69"/>
      <c r="B5" s="70" t="s">
        <v>1586</v>
      </c>
      <c r="C5" s="212" t="s">
        <v>1587</v>
      </c>
      <c r="D5" s="125"/>
      <c r="E5" s="212" t="s">
        <v>1588</v>
      </c>
      <c r="F5" s="124"/>
      <c r="G5" s="125"/>
      <c r="H5" s="71">
        <f>COUNTIFS($L$11:$L$210,"&gt;90",$M$11:$M$210,"합격")</f>
        <v>12</v>
      </c>
      <c r="I5" s="72">
        <f t="shared" ref="I5:I8" si="0">H5/$AH$7</f>
        <v>0.15</v>
      </c>
      <c r="K5" s="70" t="s">
        <v>1586</v>
      </c>
      <c r="L5" s="212" t="s">
        <v>1589</v>
      </c>
      <c r="M5" s="125"/>
      <c r="N5" s="212" t="s">
        <v>1590</v>
      </c>
      <c r="O5" s="124"/>
      <c r="P5" s="125"/>
      <c r="Q5" s="71">
        <f t="array" ref="Q5">SUMPRODUCT(COUNTIFS($F11:$F210, "*0" &amp; {0,1,2,3,4,5,6} &amp; "*",$M$11:$M$210,"합격"))</f>
        <v>28</v>
      </c>
      <c r="R5" s="72">
        <f t="shared" ref="R5:R8" si="1">Q5/$AH$7</f>
        <v>0.35</v>
      </c>
      <c r="T5" s="201" t="s">
        <v>53</v>
      </c>
      <c r="U5" s="202">
        <f>COUNTIFS($E$11:$E$210,T5,$M$11:$M$210,"합격")</f>
        <v>68</v>
      </c>
      <c r="V5" s="203">
        <f>U5/$AH$7</f>
        <v>0.85</v>
      </c>
      <c r="X5" s="201" t="s">
        <v>1591</v>
      </c>
      <c r="Y5" s="202">
        <f>SUMPRODUCT(COUNTIFS($H11:$H210, "*대*",$M$11:$M$210,"합격"))</f>
        <v>64</v>
      </c>
      <c r="Z5" s="203">
        <f>Y5/$AH$7</f>
        <v>0.8</v>
      </c>
      <c r="AB5" s="73" t="s">
        <v>1592</v>
      </c>
      <c r="AC5" s="74">
        <f>COUNTIFS($O$11:$O$210,"O",$P$11:$P$210,"X",$M$11:$M$210,"합격")</f>
        <v>0</v>
      </c>
      <c r="AD5" s="75">
        <f t="shared" ref="AD5:AD8" si="2">AC5/$AH$7</f>
        <v>0</v>
      </c>
      <c r="AF5" s="208" t="s">
        <v>1593</v>
      </c>
      <c r="AG5" s="125"/>
      <c r="AH5" s="209">
        <f>COUNTA(M11:M210)</f>
        <v>112</v>
      </c>
      <c r="AI5" s="125"/>
      <c r="AJ5" s="10"/>
    </row>
    <row r="6" spans="1:36" ht="18" customHeight="1" x14ac:dyDescent="0.2">
      <c r="A6" s="69"/>
      <c r="B6" s="76" t="s">
        <v>1594</v>
      </c>
      <c r="C6" s="193" t="s">
        <v>1595</v>
      </c>
      <c r="D6" s="125"/>
      <c r="E6" s="193" t="s">
        <v>1596</v>
      </c>
      <c r="F6" s="124"/>
      <c r="G6" s="125"/>
      <c r="H6" s="77">
        <f>COUNTIFS($L$11:$L$210,"&gt;80",$L$11:$L$210,"&lt;=90",$M$11:$M$210,"합격")</f>
        <v>32</v>
      </c>
      <c r="I6" s="78">
        <f t="shared" si="0"/>
        <v>0.4</v>
      </c>
      <c r="K6" s="76" t="s">
        <v>1594</v>
      </c>
      <c r="L6" s="193" t="s">
        <v>1597</v>
      </c>
      <c r="M6" s="125"/>
      <c r="N6" s="193" t="s">
        <v>1598</v>
      </c>
      <c r="O6" s="124"/>
      <c r="P6" s="125"/>
      <c r="Q6" s="77">
        <f t="array" ref="Q6">SUMPRODUCT(COUNTIFS($F11:$F210, "*" &amp; {97,98,99} &amp; "*",$M$11:$M$210,"합격"))</f>
        <v>26</v>
      </c>
      <c r="R6" s="78">
        <f t="shared" si="1"/>
        <v>0.32500000000000001</v>
      </c>
      <c r="T6" s="147"/>
      <c r="U6" s="127"/>
      <c r="V6" s="147"/>
      <c r="X6" s="147"/>
      <c r="Y6" s="127"/>
      <c r="Z6" s="147"/>
      <c r="AB6" s="73" t="s">
        <v>1599</v>
      </c>
      <c r="AC6" s="74">
        <f>COUNTIFS($O$11:$O$210,"X",$P$11:$P$210,"O",$M$11:$M$210,"합격")</f>
        <v>0</v>
      </c>
      <c r="AD6" s="75">
        <f t="shared" si="2"/>
        <v>0</v>
      </c>
      <c r="AF6" s="210" t="s">
        <v>1600</v>
      </c>
      <c r="AG6" s="125"/>
      <c r="AH6" s="211">
        <f>AH5-AH7</f>
        <v>32</v>
      </c>
      <c r="AI6" s="125"/>
      <c r="AJ6" s="10"/>
    </row>
    <row r="7" spans="1:36" ht="18" customHeight="1" x14ac:dyDescent="0.2">
      <c r="A7" s="69"/>
      <c r="B7" s="79" t="s">
        <v>1601</v>
      </c>
      <c r="C7" s="194" t="s">
        <v>1602</v>
      </c>
      <c r="D7" s="125"/>
      <c r="E7" s="194" t="s">
        <v>1603</v>
      </c>
      <c r="F7" s="124"/>
      <c r="G7" s="125"/>
      <c r="H7" s="80">
        <f>COUNTIFS($L$11:$L$210,"&gt;70",$L$11:$L$210,"&lt;=80",$M$11:$M$210,"합격")</f>
        <v>19</v>
      </c>
      <c r="I7" s="81">
        <f t="shared" si="0"/>
        <v>0.23749999999999999</v>
      </c>
      <c r="K7" s="79" t="s">
        <v>1601</v>
      </c>
      <c r="L7" s="194" t="s">
        <v>1604</v>
      </c>
      <c r="M7" s="125"/>
      <c r="N7" s="194" t="s">
        <v>1605</v>
      </c>
      <c r="O7" s="124"/>
      <c r="P7" s="125"/>
      <c r="Q7" s="80">
        <f t="array" ref="Q7">SUMPRODUCT(COUNTIFS($F11:$F210, "*" &amp; {94,95,96} &amp; "*",$M$11:$M$210,"합격"))</f>
        <v>8</v>
      </c>
      <c r="R7" s="81">
        <f t="shared" si="1"/>
        <v>0.1</v>
      </c>
      <c r="T7" s="201" t="s">
        <v>32</v>
      </c>
      <c r="U7" s="202">
        <f>COUNTIFS($E$11:$E$210,T7,$M$11:$M$210,"합격")</f>
        <v>12</v>
      </c>
      <c r="V7" s="203">
        <f>U7/$AH$7</f>
        <v>0.15</v>
      </c>
      <c r="X7" s="201" t="s">
        <v>655</v>
      </c>
      <c r="Y7" s="202">
        <f>AH7-Y5</f>
        <v>16</v>
      </c>
      <c r="Z7" s="203">
        <f>Y7/$AH$7</f>
        <v>0.2</v>
      </c>
      <c r="AB7" s="82" t="s">
        <v>1606</v>
      </c>
      <c r="AC7" s="83">
        <f>COUNTIFS($O$11:$O$210,"O",$P$11:$P$210,"O",$M$11:$M$210,"합격")</f>
        <v>0</v>
      </c>
      <c r="AD7" s="84">
        <f t="shared" si="2"/>
        <v>0</v>
      </c>
      <c r="AF7" s="213" t="s">
        <v>1607</v>
      </c>
      <c r="AG7" s="122"/>
      <c r="AH7" s="214">
        <f>COUNTIF(M11:M210,"합격")</f>
        <v>80</v>
      </c>
      <c r="AI7" s="122"/>
      <c r="AJ7" s="10"/>
    </row>
    <row r="8" spans="1:36" ht="18" customHeight="1" x14ac:dyDescent="0.2">
      <c r="A8" s="69"/>
      <c r="B8" s="85" t="s">
        <v>1608</v>
      </c>
      <c r="C8" s="195" t="s">
        <v>1609</v>
      </c>
      <c r="D8" s="125"/>
      <c r="E8" s="195" t="s">
        <v>1610</v>
      </c>
      <c r="F8" s="124"/>
      <c r="G8" s="125"/>
      <c r="H8" s="86">
        <f>COUNTIFS($L$11:$L$210,"&lt;=70",$M$11:$M$210,"합격")</f>
        <v>17</v>
      </c>
      <c r="I8" s="87">
        <f t="shared" si="0"/>
        <v>0.21249999999999999</v>
      </c>
      <c r="K8" s="85" t="s">
        <v>1608</v>
      </c>
      <c r="L8" s="195" t="s">
        <v>1611</v>
      </c>
      <c r="M8" s="125"/>
      <c r="N8" s="195" t="s">
        <v>1612</v>
      </c>
      <c r="O8" s="124"/>
      <c r="P8" s="125"/>
      <c r="Q8" s="86">
        <f>AH7-SUM(Q5:Q7)</f>
        <v>18</v>
      </c>
      <c r="R8" s="87">
        <f t="shared" si="1"/>
        <v>0.22500000000000001</v>
      </c>
      <c r="T8" s="147"/>
      <c r="U8" s="127"/>
      <c r="V8" s="147"/>
      <c r="X8" s="147"/>
      <c r="Y8" s="127"/>
      <c r="Z8" s="147"/>
      <c r="AB8" s="88" t="s">
        <v>1613</v>
      </c>
      <c r="AC8" s="89">
        <f>SUM(AC5:AC7)</f>
        <v>0</v>
      </c>
      <c r="AD8" s="90">
        <f t="shared" si="2"/>
        <v>0</v>
      </c>
      <c r="AF8" s="127"/>
      <c r="AG8" s="129"/>
      <c r="AH8" s="127"/>
      <c r="AI8" s="129"/>
      <c r="AJ8" s="10"/>
    </row>
    <row r="9" spans="1:36" ht="8.25" customHeight="1" x14ac:dyDescent="0.2">
      <c r="A9" s="56"/>
      <c r="B9" s="9"/>
      <c r="C9" s="10"/>
      <c r="D9" s="10"/>
      <c r="E9" s="10"/>
      <c r="F9" s="10"/>
      <c r="G9" s="10"/>
      <c r="H9" s="10"/>
      <c r="I9" s="10"/>
      <c r="J9" s="10"/>
      <c r="K9" s="10"/>
      <c r="L9" s="10"/>
      <c r="M9" s="69"/>
      <c r="N9" s="56"/>
      <c r="O9" s="69"/>
      <c r="P9" s="69"/>
      <c r="Q9" s="56"/>
      <c r="R9" s="56"/>
      <c r="S9" s="56"/>
      <c r="T9" s="56"/>
      <c r="U9" s="56"/>
      <c r="V9" s="56"/>
      <c r="W9" s="56"/>
      <c r="X9" s="56"/>
      <c r="Y9" s="56"/>
      <c r="Z9" s="56"/>
      <c r="AA9" s="56"/>
      <c r="AB9" s="56"/>
      <c r="AC9" s="56"/>
      <c r="AD9" s="10"/>
      <c r="AE9" s="10"/>
      <c r="AF9" s="10"/>
      <c r="AG9" s="10"/>
      <c r="AH9" s="9"/>
      <c r="AI9" s="9"/>
      <c r="AJ9" s="9"/>
    </row>
    <row r="10" spans="1:36" ht="12.75" x14ac:dyDescent="0.2">
      <c r="A10" s="91"/>
      <c r="B10" s="92" t="s">
        <v>1614</v>
      </c>
      <c r="C10" s="196" t="s">
        <v>24</v>
      </c>
      <c r="D10" s="182"/>
      <c r="E10" s="93" t="s">
        <v>1472</v>
      </c>
      <c r="F10" s="196" t="s">
        <v>1473</v>
      </c>
      <c r="G10" s="182"/>
      <c r="H10" s="196" t="s">
        <v>1584</v>
      </c>
      <c r="I10" s="182"/>
      <c r="J10" s="182"/>
      <c r="K10" s="182"/>
      <c r="L10" s="94" t="s">
        <v>1583</v>
      </c>
      <c r="M10" s="204" t="s">
        <v>1580</v>
      </c>
      <c r="N10" s="182"/>
      <c r="O10" s="95"/>
      <c r="P10" s="95"/>
      <c r="Q10" s="95"/>
      <c r="R10" s="204" t="s">
        <v>1579</v>
      </c>
      <c r="S10" s="182"/>
      <c r="T10" s="182"/>
      <c r="U10" s="182"/>
      <c r="V10" s="182"/>
      <c r="W10" s="182"/>
      <c r="X10" s="182"/>
      <c r="Y10" s="182"/>
      <c r="Z10" s="182"/>
      <c r="AA10" s="182"/>
      <c r="AB10" s="182"/>
      <c r="AC10" s="182"/>
      <c r="AD10" s="205" t="s">
        <v>1615</v>
      </c>
      <c r="AE10" s="182"/>
      <c r="AF10" s="205" t="s">
        <v>1616</v>
      </c>
      <c r="AG10" s="182"/>
      <c r="AH10" s="205" t="s">
        <v>1617</v>
      </c>
      <c r="AI10" s="186"/>
      <c r="AJ10" s="9"/>
    </row>
    <row r="11" spans="1:36" ht="12.75" x14ac:dyDescent="0.2">
      <c r="A11" s="56"/>
      <c r="B11" s="96">
        <f>IF(B9&lt;201,B9+1,1)</f>
        <v>1</v>
      </c>
      <c r="C11" s="189" t="s">
        <v>1179</v>
      </c>
      <c r="D11" s="190"/>
      <c r="E11" s="97" t="str">
        <f>IFERROR(VLOOKUP(C11,'설문지 응답 시트1'!C:H,2,FALSE),"")</f>
        <v>남</v>
      </c>
      <c r="F11" s="189" t="str">
        <f>IFERROR(VLOOKUP(C11,'설문지 응답 시트1'!C:H,3,FALSE),"")</f>
        <v>27살(99년생)</v>
      </c>
      <c r="G11" s="190"/>
      <c r="H11" s="189" t="str">
        <f>IFERROR(VLOOKUP(C11,'설문지 응답 시트1'!C:H,6,FALSE),"")</f>
        <v>상하이교통대 신문방송학과</v>
      </c>
      <c r="I11" s="191"/>
      <c r="J11" s="191"/>
      <c r="K11" s="191"/>
      <c r="L11" s="98">
        <v>87</v>
      </c>
      <c r="M11" s="192" t="s">
        <v>1607</v>
      </c>
      <c r="N11" s="190"/>
      <c r="O11" s="99"/>
      <c r="P11" s="99"/>
      <c r="Q11" s="100"/>
      <c r="R11" s="197" t="s">
        <v>1618</v>
      </c>
      <c r="S11" s="191"/>
      <c r="T11" s="191"/>
      <c r="U11" s="191"/>
      <c r="V11" s="191"/>
      <c r="W11" s="191"/>
      <c r="X11" s="191"/>
      <c r="Y11" s="191"/>
      <c r="Z11" s="191"/>
      <c r="AA11" s="191"/>
      <c r="AB11" s="191"/>
      <c r="AC11" s="190"/>
      <c r="AD11" s="189" t="s">
        <v>1619</v>
      </c>
      <c r="AE11" s="190"/>
      <c r="AF11" s="198">
        <v>45943</v>
      </c>
      <c r="AG11" s="190"/>
      <c r="AH11" s="199" t="s">
        <v>1620</v>
      </c>
      <c r="AI11" s="200"/>
      <c r="AJ11" s="9"/>
    </row>
    <row r="12" spans="1:36" ht="12.75" x14ac:dyDescent="0.2">
      <c r="A12" s="91"/>
      <c r="B12" s="101">
        <f t="shared" ref="B12:B209" si="3">IF(B11&lt;201,B11+1,1)</f>
        <v>2</v>
      </c>
      <c r="C12" s="181" t="s">
        <v>80</v>
      </c>
      <c r="D12" s="182"/>
      <c r="E12" s="102" t="str">
        <f>IFERROR(VLOOKUP(C12,'설문지 응답 시트1'!C:H,2,FALSE),"")</f>
        <v>남</v>
      </c>
      <c r="F12" s="181" t="str">
        <f>IFERROR(VLOOKUP(C12,'설문지 응답 시트1'!C:H,3,FALSE),"")</f>
        <v>25살 (01년생)</v>
      </c>
      <c r="G12" s="182"/>
      <c r="H12" s="181" t="str">
        <f>IFERROR(VLOOKUP(C12,'설문지 응답 시트1'!C:H,6,FALSE),"")</f>
        <v>숭실대학교 심리학과</v>
      </c>
      <c r="I12" s="182"/>
      <c r="J12" s="182"/>
      <c r="K12" s="182"/>
      <c r="L12" s="102">
        <v>62</v>
      </c>
      <c r="M12" s="183" t="s">
        <v>1621</v>
      </c>
      <c r="N12" s="182"/>
      <c r="O12" s="103"/>
      <c r="P12" s="103"/>
      <c r="Q12" s="104"/>
      <c r="R12" s="187" t="s">
        <v>1622</v>
      </c>
      <c r="S12" s="182"/>
      <c r="T12" s="182"/>
      <c r="U12" s="182"/>
      <c r="V12" s="182"/>
      <c r="W12" s="182"/>
      <c r="X12" s="182"/>
      <c r="Y12" s="182"/>
      <c r="Z12" s="182"/>
      <c r="AA12" s="182"/>
      <c r="AB12" s="182"/>
      <c r="AC12" s="182"/>
      <c r="AD12" s="181" t="s">
        <v>1619</v>
      </c>
      <c r="AE12" s="182"/>
      <c r="AF12" s="184">
        <v>45943</v>
      </c>
      <c r="AG12" s="182"/>
      <c r="AH12" s="188" t="s">
        <v>1623</v>
      </c>
      <c r="AI12" s="186"/>
      <c r="AJ12" s="9"/>
    </row>
    <row r="13" spans="1:36" ht="12.75" x14ac:dyDescent="0.2">
      <c r="A13" s="91"/>
      <c r="B13" s="101">
        <f t="shared" si="3"/>
        <v>3</v>
      </c>
      <c r="C13" s="181" t="s">
        <v>1111</v>
      </c>
      <c r="D13" s="182"/>
      <c r="E13" s="102" t="str">
        <f>IFERROR(VLOOKUP(C13,'설문지 응답 시트1'!C:H,2,FALSE),"")</f>
        <v>남</v>
      </c>
      <c r="F13" s="181" t="str">
        <f>IFERROR(VLOOKUP(C13,'설문지 응답 시트1'!C:H,3,FALSE),"")</f>
        <v>23(02년생)</v>
      </c>
      <c r="G13" s="182"/>
      <c r="H13" s="181" t="str">
        <f>IFERROR(VLOOKUP(C13,'설문지 응답 시트1'!C:H,6,FALSE),"")</f>
        <v>상지대학교 문화콘텐츠학과</v>
      </c>
      <c r="I13" s="182"/>
      <c r="J13" s="182"/>
      <c r="K13" s="182"/>
      <c r="L13" s="105">
        <v>88</v>
      </c>
      <c r="M13" s="183" t="s">
        <v>1607</v>
      </c>
      <c r="N13" s="182"/>
      <c r="O13" s="103"/>
      <c r="P13" s="103"/>
      <c r="Q13" s="104"/>
      <c r="R13" s="187" t="s">
        <v>1624</v>
      </c>
      <c r="S13" s="182"/>
      <c r="T13" s="182"/>
      <c r="U13" s="182"/>
      <c r="V13" s="182"/>
      <c r="W13" s="182"/>
      <c r="X13" s="182"/>
      <c r="Y13" s="182"/>
      <c r="Z13" s="182"/>
      <c r="AA13" s="182"/>
      <c r="AB13" s="182"/>
      <c r="AC13" s="182"/>
      <c r="AD13" s="181" t="s">
        <v>1625</v>
      </c>
      <c r="AE13" s="182"/>
      <c r="AF13" s="184">
        <v>45945</v>
      </c>
      <c r="AG13" s="182"/>
      <c r="AH13" s="188" t="s">
        <v>1626</v>
      </c>
      <c r="AI13" s="186"/>
      <c r="AJ13" s="9"/>
    </row>
    <row r="14" spans="1:36" ht="12.75" x14ac:dyDescent="0.2">
      <c r="A14" s="91"/>
      <c r="B14" s="101">
        <f t="shared" si="3"/>
        <v>4</v>
      </c>
      <c r="C14" s="181" t="s">
        <v>794</v>
      </c>
      <c r="D14" s="182"/>
      <c r="E14" s="102" t="str">
        <f>IFERROR(VLOOKUP(C14,'설문지 응답 시트1'!C:H,2,FALSE),"")</f>
        <v>남</v>
      </c>
      <c r="F14" s="181" t="str">
        <f>IFERROR(VLOOKUP(C14,'설문지 응답 시트1'!C:H,3,FALSE),"")</f>
        <v>27살(99년생)</v>
      </c>
      <c r="G14" s="182"/>
      <c r="H14" s="181" t="str">
        <f>IFERROR(VLOOKUP(C14,'설문지 응답 시트1'!C:H,6,FALSE),"")</f>
        <v>한국방송통신대학교 . 컴퓨터과학과</v>
      </c>
      <c r="I14" s="182"/>
      <c r="J14" s="182"/>
      <c r="K14" s="182"/>
      <c r="L14" s="102">
        <v>88</v>
      </c>
      <c r="M14" s="183" t="s">
        <v>1607</v>
      </c>
      <c r="N14" s="182"/>
      <c r="O14" s="103"/>
      <c r="P14" s="103"/>
      <c r="Q14" s="104"/>
      <c r="R14" s="187" t="s">
        <v>1627</v>
      </c>
      <c r="S14" s="182"/>
      <c r="T14" s="182"/>
      <c r="U14" s="182"/>
      <c r="V14" s="182"/>
      <c r="W14" s="182"/>
      <c r="X14" s="182"/>
      <c r="Y14" s="182"/>
      <c r="Z14" s="182"/>
      <c r="AA14" s="182"/>
      <c r="AB14" s="182"/>
      <c r="AC14" s="182"/>
      <c r="AD14" s="181" t="s">
        <v>1619</v>
      </c>
      <c r="AE14" s="182"/>
      <c r="AF14" s="184">
        <v>45945</v>
      </c>
      <c r="AG14" s="182"/>
      <c r="AH14" s="188" t="s">
        <v>1628</v>
      </c>
      <c r="AI14" s="186"/>
      <c r="AJ14" s="9"/>
    </row>
    <row r="15" spans="1:36" ht="12.75" x14ac:dyDescent="0.2">
      <c r="A15" s="91"/>
      <c r="B15" s="106">
        <f t="shared" si="3"/>
        <v>5</v>
      </c>
      <c r="C15" s="181" t="s">
        <v>694</v>
      </c>
      <c r="D15" s="182"/>
      <c r="E15" s="107" t="str">
        <f>IFERROR(VLOOKUP(C15,'설문지 응답 시트1'!C:H,2,FALSE),"")</f>
        <v>남</v>
      </c>
      <c r="F15" s="181" t="str">
        <f>IFERROR(VLOOKUP(C15,'설문지 응답 시트1'!C:H,3,FALSE),"")</f>
        <v>만23세 (01년생)</v>
      </c>
      <c r="G15" s="182"/>
      <c r="H15" s="181" t="str">
        <f>IFERROR(VLOOKUP(C15,'설문지 응답 시트1'!C:H,6,FALSE),"")</f>
        <v>경희대/연극영화,디지털콘텐츠학</v>
      </c>
      <c r="I15" s="182"/>
      <c r="J15" s="182"/>
      <c r="K15" s="182"/>
      <c r="L15" s="108">
        <v>69</v>
      </c>
      <c r="M15" s="183" t="s">
        <v>1629</v>
      </c>
      <c r="N15" s="182"/>
      <c r="O15" s="103"/>
      <c r="P15" s="103"/>
      <c r="Q15" s="109"/>
      <c r="R15" s="187" t="s">
        <v>1630</v>
      </c>
      <c r="S15" s="182"/>
      <c r="T15" s="182"/>
      <c r="U15" s="182"/>
      <c r="V15" s="182"/>
      <c r="W15" s="182"/>
      <c r="X15" s="182"/>
      <c r="Y15" s="182"/>
      <c r="Z15" s="182"/>
      <c r="AA15" s="182"/>
      <c r="AB15" s="182"/>
      <c r="AC15" s="182"/>
      <c r="AD15" s="181" t="s">
        <v>1619</v>
      </c>
      <c r="AE15" s="182"/>
      <c r="AF15" s="184">
        <v>45946</v>
      </c>
      <c r="AG15" s="182"/>
      <c r="AH15" s="188" t="s">
        <v>1631</v>
      </c>
      <c r="AI15" s="186"/>
      <c r="AJ15" s="9"/>
    </row>
    <row r="16" spans="1:36" ht="12.75" x14ac:dyDescent="0.2">
      <c r="A16" s="91"/>
      <c r="B16" s="101">
        <f t="shared" si="3"/>
        <v>6</v>
      </c>
      <c r="C16" s="181" t="s">
        <v>732</v>
      </c>
      <c r="D16" s="182"/>
      <c r="E16" s="102" t="str">
        <f>IFERROR(VLOOKUP(C16,'설문지 응답 시트1'!C:H,2,FALSE),"")</f>
        <v>남</v>
      </c>
      <c r="F16" s="181" t="str">
        <f>IFERROR(VLOOKUP(C16,'설문지 응답 시트1'!C:H,3,FALSE),"")</f>
        <v>24살(01년생)</v>
      </c>
      <c r="G16" s="182"/>
      <c r="H16" s="181" t="str">
        <f>IFERROR(VLOOKUP(C16,'설문지 응답 시트1'!C:H,6,FALSE),"")</f>
        <v>전주대 물리치료학과</v>
      </c>
      <c r="I16" s="182"/>
      <c r="J16" s="182"/>
      <c r="K16" s="182"/>
      <c r="L16" s="102">
        <v>76</v>
      </c>
      <c r="M16" s="183" t="s">
        <v>1607</v>
      </c>
      <c r="N16" s="182"/>
      <c r="O16" s="103"/>
      <c r="P16" s="103"/>
      <c r="Q16" s="104"/>
      <c r="R16" s="187" t="s">
        <v>1632</v>
      </c>
      <c r="S16" s="182"/>
      <c r="T16" s="182"/>
      <c r="U16" s="182"/>
      <c r="V16" s="182"/>
      <c r="W16" s="182"/>
      <c r="X16" s="182"/>
      <c r="Y16" s="182"/>
      <c r="Z16" s="182"/>
      <c r="AA16" s="182"/>
      <c r="AB16" s="182"/>
      <c r="AC16" s="182"/>
      <c r="AD16" s="181" t="s">
        <v>1625</v>
      </c>
      <c r="AE16" s="182"/>
      <c r="AF16" s="184">
        <v>45946</v>
      </c>
      <c r="AG16" s="182"/>
      <c r="AH16" s="188" t="s">
        <v>1633</v>
      </c>
      <c r="AI16" s="186"/>
      <c r="AJ16" s="9"/>
    </row>
    <row r="17" spans="1:36" ht="12.75" x14ac:dyDescent="0.2">
      <c r="A17" s="91"/>
      <c r="B17" s="106">
        <f t="shared" si="3"/>
        <v>7</v>
      </c>
      <c r="C17" s="181" t="s">
        <v>31</v>
      </c>
      <c r="D17" s="182"/>
      <c r="E17" s="107" t="str">
        <f>IFERROR(VLOOKUP(C17,'설문지 응답 시트1'!C:H,2,FALSE),"")</f>
        <v>여</v>
      </c>
      <c r="F17" s="181" t="str">
        <f>IFERROR(VLOOKUP(C17,'설문지 응답 시트1'!C:H,3,FALSE),"")</f>
        <v>26살(00년생)</v>
      </c>
      <c r="G17" s="182"/>
      <c r="H17" s="181" t="str">
        <f>IFERROR(VLOOKUP(C17,'설문지 응답 시트1'!C:H,6,FALSE),"")</f>
        <v>한양대학교 경영학과</v>
      </c>
      <c r="I17" s="182"/>
      <c r="J17" s="182"/>
      <c r="K17" s="182"/>
      <c r="L17" s="108">
        <v>80</v>
      </c>
      <c r="M17" s="183" t="s">
        <v>1621</v>
      </c>
      <c r="N17" s="182"/>
      <c r="O17" s="103"/>
      <c r="P17" s="103"/>
      <c r="Q17" s="109"/>
      <c r="R17" s="187" t="s">
        <v>1634</v>
      </c>
      <c r="S17" s="182"/>
      <c r="T17" s="182"/>
      <c r="U17" s="182"/>
      <c r="V17" s="182"/>
      <c r="W17" s="182"/>
      <c r="X17" s="182"/>
      <c r="Y17" s="182"/>
      <c r="Z17" s="182"/>
      <c r="AA17" s="182"/>
      <c r="AB17" s="182"/>
      <c r="AC17" s="182"/>
      <c r="AD17" s="181" t="s">
        <v>1619</v>
      </c>
      <c r="AE17" s="182"/>
      <c r="AF17" s="184">
        <v>45947</v>
      </c>
      <c r="AG17" s="182"/>
      <c r="AH17" s="188" t="s">
        <v>1635</v>
      </c>
      <c r="AI17" s="186"/>
      <c r="AJ17" s="9"/>
    </row>
    <row r="18" spans="1:36" ht="12.75" x14ac:dyDescent="0.2">
      <c r="A18" s="91"/>
      <c r="B18" s="101">
        <f t="shared" si="3"/>
        <v>8</v>
      </c>
      <c r="C18" s="181" t="s">
        <v>785</v>
      </c>
      <c r="D18" s="182"/>
      <c r="E18" s="102" t="str">
        <f>IFERROR(VLOOKUP(C18,'설문지 응답 시트1'!C:H,2,FALSE),"")</f>
        <v>남</v>
      </c>
      <c r="F18" s="181" t="str">
        <f>IFERROR(VLOOKUP(C18,'설문지 응답 시트1'!C:H,3,FALSE),"")</f>
        <v>31살(95년생)</v>
      </c>
      <c r="G18" s="182"/>
      <c r="H18" s="181" t="str">
        <f>IFERROR(VLOOKUP(C18,'설문지 응답 시트1'!C:H,6,FALSE),"")</f>
        <v>건국대학교 경영학과</v>
      </c>
      <c r="I18" s="182"/>
      <c r="J18" s="182"/>
      <c r="K18" s="182"/>
      <c r="L18" s="102">
        <v>93</v>
      </c>
      <c r="M18" s="183" t="s">
        <v>1621</v>
      </c>
      <c r="N18" s="182"/>
      <c r="O18" s="103"/>
      <c r="P18" s="103"/>
      <c r="Q18" s="104"/>
      <c r="R18" s="187" t="s">
        <v>1636</v>
      </c>
      <c r="S18" s="182"/>
      <c r="T18" s="182"/>
      <c r="U18" s="182"/>
      <c r="V18" s="182"/>
      <c r="W18" s="182"/>
      <c r="X18" s="182"/>
      <c r="Y18" s="182"/>
      <c r="Z18" s="182"/>
      <c r="AA18" s="182"/>
      <c r="AB18" s="182"/>
      <c r="AC18" s="182"/>
      <c r="AD18" s="181" t="s">
        <v>1619</v>
      </c>
      <c r="AE18" s="182"/>
      <c r="AF18" s="184">
        <v>45947</v>
      </c>
      <c r="AG18" s="182"/>
      <c r="AH18" s="188" t="s">
        <v>1637</v>
      </c>
      <c r="AI18" s="186"/>
      <c r="AJ18" s="9"/>
    </row>
    <row r="19" spans="1:36" ht="12.75" x14ac:dyDescent="0.2">
      <c r="A19" s="91"/>
      <c r="B19" s="101">
        <f t="shared" si="3"/>
        <v>9</v>
      </c>
      <c r="C19" s="181" t="s">
        <v>115</v>
      </c>
      <c r="D19" s="182"/>
      <c r="E19" s="102" t="str">
        <f>IFERROR(VLOOKUP(C19,'설문지 응답 시트1'!C:H,2,FALSE),"")</f>
        <v>남</v>
      </c>
      <c r="F19" s="181" t="str">
        <f>IFERROR(VLOOKUP(C19,'설문지 응답 시트1'!C:H,3,FALSE),"")</f>
        <v>30살(96년생)</v>
      </c>
      <c r="G19" s="182"/>
      <c r="H19" s="181" t="str">
        <f>IFERROR(VLOOKUP(C19,'설문지 응답 시트1'!C:H,6,FALSE),"")</f>
        <v>서울시립대학교(국어국문학, 도시문화컨텐츠학)</v>
      </c>
      <c r="I19" s="182"/>
      <c r="J19" s="182"/>
      <c r="K19" s="182"/>
      <c r="L19" s="105">
        <v>85</v>
      </c>
      <c r="M19" s="183" t="s">
        <v>1607</v>
      </c>
      <c r="N19" s="182"/>
      <c r="O19" s="103"/>
      <c r="P19" s="103"/>
      <c r="Q19" s="104"/>
      <c r="R19" s="187" t="s">
        <v>1638</v>
      </c>
      <c r="S19" s="182"/>
      <c r="T19" s="182"/>
      <c r="U19" s="182"/>
      <c r="V19" s="182"/>
      <c r="W19" s="182"/>
      <c r="X19" s="182"/>
      <c r="Y19" s="182"/>
      <c r="Z19" s="182"/>
      <c r="AA19" s="182"/>
      <c r="AB19" s="182"/>
      <c r="AC19" s="182"/>
      <c r="AD19" s="181" t="s">
        <v>1619</v>
      </c>
      <c r="AE19" s="182"/>
      <c r="AF19" s="184">
        <v>45947</v>
      </c>
      <c r="AG19" s="182"/>
      <c r="AH19" s="188" t="s">
        <v>1639</v>
      </c>
      <c r="AI19" s="186"/>
      <c r="AJ19" s="9"/>
    </row>
    <row r="20" spans="1:36" ht="12.75" x14ac:dyDescent="0.2">
      <c r="A20" s="91"/>
      <c r="B20" s="101">
        <f t="shared" si="3"/>
        <v>10</v>
      </c>
      <c r="C20" s="181" t="s">
        <v>367</v>
      </c>
      <c r="D20" s="182"/>
      <c r="E20" s="102" t="str">
        <f>IFERROR(VLOOKUP(C20,'설문지 응답 시트1'!C:H,2,FALSE),"")</f>
        <v>남</v>
      </c>
      <c r="F20" s="181" t="str">
        <f>IFERROR(VLOOKUP(C20,'설문지 응답 시트1'!C:H,3,FALSE),"")</f>
        <v>35살(91년생)</v>
      </c>
      <c r="G20" s="182"/>
      <c r="H20" s="181" t="str">
        <f>IFERROR(VLOOKUP(C20,'설문지 응답 시트1'!C:H,6,FALSE),"")</f>
        <v>부산대학교 경영학 재무관리</v>
      </c>
      <c r="I20" s="182"/>
      <c r="J20" s="182"/>
      <c r="K20" s="182"/>
      <c r="L20" s="102">
        <v>67</v>
      </c>
      <c r="M20" s="183" t="s">
        <v>1621</v>
      </c>
      <c r="N20" s="182"/>
      <c r="O20" s="103"/>
      <c r="P20" s="103"/>
      <c r="Q20" s="104"/>
      <c r="R20" s="187" t="s">
        <v>1640</v>
      </c>
      <c r="S20" s="182"/>
      <c r="T20" s="182"/>
      <c r="U20" s="182"/>
      <c r="V20" s="182"/>
      <c r="W20" s="182"/>
      <c r="X20" s="182"/>
      <c r="Y20" s="182"/>
      <c r="Z20" s="182"/>
      <c r="AA20" s="182"/>
      <c r="AB20" s="182"/>
      <c r="AC20" s="182"/>
      <c r="AD20" s="181" t="s">
        <v>1619</v>
      </c>
      <c r="AE20" s="182"/>
      <c r="AF20" s="184">
        <v>45950</v>
      </c>
      <c r="AG20" s="182"/>
      <c r="AH20" s="188" t="s">
        <v>1641</v>
      </c>
      <c r="AI20" s="186"/>
      <c r="AJ20" s="9"/>
    </row>
    <row r="21" spans="1:36" ht="12.75" x14ac:dyDescent="0.2">
      <c r="A21" s="91"/>
      <c r="B21" s="101">
        <f t="shared" si="3"/>
        <v>11</v>
      </c>
      <c r="C21" s="181" t="s">
        <v>1318</v>
      </c>
      <c r="D21" s="182"/>
      <c r="E21" s="102" t="str">
        <f>IFERROR(VLOOKUP(C21,'설문지 응답 시트1'!C:H,2,FALSE),"")</f>
        <v>남</v>
      </c>
      <c r="F21" s="181" t="str">
        <f>IFERROR(VLOOKUP(C21,'설문지 응답 시트1'!C:H,3,FALSE),"")</f>
        <v>28살(98년생)</v>
      </c>
      <c r="G21" s="182"/>
      <c r="H21" s="181" t="str">
        <f>IFERROR(VLOOKUP(C21,'설문지 응답 시트1'!C:H,6,FALSE),"")</f>
        <v>홍익대학교 게임소프트웨</v>
      </c>
      <c r="I21" s="182"/>
      <c r="J21" s="182"/>
      <c r="K21" s="182"/>
      <c r="L21" s="105">
        <v>67</v>
      </c>
      <c r="M21" s="183" t="s">
        <v>1607</v>
      </c>
      <c r="N21" s="182"/>
      <c r="O21" s="103"/>
      <c r="P21" s="103"/>
      <c r="Q21" s="104"/>
      <c r="R21" s="187" t="s">
        <v>1642</v>
      </c>
      <c r="S21" s="182"/>
      <c r="T21" s="182"/>
      <c r="U21" s="182"/>
      <c r="V21" s="182"/>
      <c r="W21" s="182"/>
      <c r="X21" s="182"/>
      <c r="Y21" s="182"/>
      <c r="Z21" s="182"/>
      <c r="AA21" s="182"/>
      <c r="AB21" s="182"/>
      <c r="AC21" s="182"/>
      <c r="AD21" s="181" t="s">
        <v>1625</v>
      </c>
      <c r="AE21" s="182"/>
      <c r="AF21" s="184">
        <v>45950</v>
      </c>
      <c r="AG21" s="182"/>
      <c r="AH21" s="188" t="s">
        <v>1643</v>
      </c>
      <c r="AI21" s="186"/>
      <c r="AJ21" s="9"/>
    </row>
    <row r="22" spans="1:36" ht="12.75" x14ac:dyDescent="0.2">
      <c r="A22" s="91"/>
      <c r="B22" s="101">
        <f t="shared" si="3"/>
        <v>12</v>
      </c>
      <c r="C22" s="181" t="s">
        <v>1347</v>
      </c>
      <c r="D22" s="182"/>
      <c r="E22" s="102" t="str">
        <f>IFERROR(VLOOKUP(C22,'설문지 응답 시트1'!C:H,2,FALSE),"")</f>
        <v>남</v>
      </c>
      <c r="F22" s="181" t="str">
        <f>IFERROR(VLOOKUP(C22,'설문지 응답 시트1'!C:H,3,FALSE),"")</f>
        <v>28살(98년생)</v>
      </c>
      <c r="G22" s="182"/>
      <c r="H22" s="181" t="str">
        <f>IFERROR(VLOOKUP(C22,'설문지 응답 시트1'!C:H,6,FALSE),"")</f>
        <v>경희대학교 음악학과</v>
      </c>
      <c r="I22" s="182"/>
      <c r="J22" s="182"/>
      <c r="K22" s="182"/>
      <c r="L22" s="102">
        <v>81</v>
      </c>
      <c r="M22" s="183" t="s">
        <v>1607</v>
      </c>
      <c r="N22" s="182"/>
      <c r="O22" s="103"/>
      <c r="P22" s="103"/>
      <c r="Q22" s="104"/>
      <c r="R22" s="187" t="s">
        <v>1644</v>
      </c>
      <c r="S22" s="182"/>
      <c r="T22" s="182"/>
      <c r="U22" s="182"/>
      <c r="V22" s="182"/>
      <c r="W22" s="182"/>
      <c r="X22" s="182"/>
      <c r="Y22" s="182"/>
      <c r="Z22" s="182"/>
      <c r="AA22" s="182"/>
      <c r="AB22" s="182"/>
      <c r="AC22" s="182"/>
      <c r="AD22" s="181" t="s">
        <v>1625</v>
      </c>
      <c r="AE22" s="182"/>
      <c r="AF22" s="184">
        <v>45951</v>
      </c>
      <c r="AG22" s="182"/>
      <c r="AH22" s="188" t="s">
        <v>1645</v>
      </c>
      <c r="AI22" s="186"/>
      <c r="AJ22" s="9"/>
    </row>
    <row r="23" spans="1:36" ht="12.75" x14ac:dyDescent="0.2">
      <c r="A23" s="91"/>
      <c r="B23" s="101">
        <f t="shared" si="3"/>
        <v>13</v>
      </c>
      <c r="C23" s="181" t="s">
        <v>1293</v>
      </c>
      <c r="D23" s="182"/>
      <c r="E23" s="102" t="str">
        <f>IFERROR(VLOOKUP(C23,'설문지 응답 시트1'!C:H,2,FALSE),"")</f>
        <v>남</v>
      </c>
      <c r="F23" s="181" t="str">
        <f>IFERROR(VLOOKUP(C23,'설문지 응답 시트1'!C:H,3,FALSE),"")</f>
        <v>24살(02년생)</v>
      </c>
      <c r="G23" s="182"/>
      <c r="H23" s="181" t="str">
        <f>IFERROR(VLOOKUP(C23,'설문지 응답 시트1'!C:H,6,FALSE),"")</f>
        <v>전남도립대 자동차학과</v>
      </c>
      <c r="I23" s="182"/>
      <c r="J23" s="182"/>
      <c r="K23" s="182"/>
      <c r="L23" s="105">
        <v>88</v>
      </c>
      <c r="M23" s="183" t="s">
        <v>1607</v>
      </c>
      <c r="N23" s="182"/>
      <c r="O23" s="103"/>
      <c r="P23" s="103"/>
      <c r="Q23" s="104"/>
      <c r="R23" s="187" t="s">
        <v>1646</v>
      </c>
      <c r="S23" s="182"/>
      <c r="T23" s="182"/>
      <c r="U23" s="182"/>
      <c r="V23" s="182"/>
      <c r="W23" s="182"/>
      <c r="X23" s="182"/>
      <c r="Y23" s="182"/>
      <c r="Z23" s="182"/>
      <c r="AA23" s="182"/>
      <c r="AB23" s="182"/>
      <c r="AC23" s="182"/>
      <c r="AD23" s="181" t="s">
        <v>1625</v>
      </c>
      <c r="AE23" s="182"/>
      <c r="AF23" s="184">
        <v>45951</v>
      </c>
      <c r="AG23" s="182"/>
      <c r="AH23" s="188" t="s">
        <v>1647</v>
      </c>
      <c r="AI23" s="186"/>
      <c r="AJ23" s="9"/>
    </row>
    <row r="24" spans="1:36" ht="12.75" x14ac:dyDescent="0.2">
      <c r="A24" s="91"/>
      <c r="B24" s="101">
        <f t="shared" si="3"/>
        <v>14</v>
      </c>
      <c r="C24" s="181" t="s">
        <v>1200</v>
      </c>
      <c r="D24" s="182"/>
      <c r="E24" s="102" t="str">
        <f>IFERROR(VLOOKUP(C24,'설문지 응답 시트1'!C:H,2,FALSE),"")</f>
        <v>여</v>
      </c>
      <c r="F24" s="181" t="str">
        <f>IFERROR(VLOOKUP(C24,'설문지 응답 시트1'!C:H,3,FALSE),"")</f>
        <v>27살(99년생)</v>
      </c>
      <c r="G24" s="182"/>
      <c r="H24" s="181" t="str">
        <f>IFERROR(VLOOKUP(C24,'설문지 응답 시트1'!C:H,6,FALSE),"")</f>
        <v>영남대학교 / 컴퓨터공학과</v>
      </c>
      <c r="I24" s="182"/>
      <c r="J24" s="182"/>
      <c r="K24" s="182"/>
      <c r="L24" s="102">
        <v>81</v>
      </c>
      <c r="M24" s="183" t="s">
        <v>1607</v>
      </c>
      <c r="N24" s="182"/>
      <c r="O24" s="103"/>
      <c r="P24" s="103"/>
      <c r="Q24" s="104"/>
      <c r="R24" s="187" t="s">
        <v>1648</v>
      </c>
      <c r="S24" s="182"/>
      <c r="T24" s="182"/>
      <c r="U24" s="182"/>
      <c r="V24" s="182"/>
      <c r="W24" s="182"/>
      <c r="X24" s="182"/>
      <c r="Y24" s="182"/>
      <c r="Z24" s="182"/>
      <c r="AA24" s="182"/>
      <c r="AB24" s="182"/>
      <c r="AC24" s="182"/>
      <c r="AD24" s="181" t="s">
        <v>1625</v>
      </c>
      <c r="AE24" s="182"/>
      <c r="AF24" s="184">
        <v>45953</v>
      </c>
      <c r="AG24" s="182"/>
      <c r="AH24" s="188" t="s">
        <v>1649</v>
      </c>
      <c r="AI24" s="186"/>
      <c r="AJ24" s="9"/>
    </row>
    <row r="25" spans="1:36" ht="12.75" x14ac:dyDescent="0.2">
      <c r="A25" s="91"/>
      <c r="B25" s="110">
        <f t="shared" si="3"/>
        <v>15</v>
      </c>
      <c r="C25" s="181" t="s">
        <v>714</v>
      </c>
      <c r="D25" s="182"/>
      <c r="E25" s="111" t="str">
        <f>IFERROR(VLOOKUP(C25,'설문지 응답 시트1'!C:H,2,FALSE),"")</f>
        <v>남</v>
      </c>
      <c r="F25" s="181" t="str">
        <f>IFERROR(VLOOKUP(C25,'설문지 응답 시트1'!C:H,3,FALSE),"")</f>
        <v>28살(98년생)</v>
      </c>
      <c r="G25" s="182"/>
      <c r="H25" s="181" t="str">
        <f>IFERROR(VLOOKUP(C25,'설문지 응답 시트1'!C:H,6,FALSE),"")</f>
        <v>영남대학교 컴퓨터공학과</v>
      </c>
      <c r="I25" s="182"/>
      <c r="J25" s="182"/>
      <c r="K25" s="182"/>
      <c r="L25" s="112">
        <v>95</v>
      </c>
      <c r="M25" s="183" t="s">
        <v>1607</v>
      </c>
      <c r="N25" s="182"/>
      <c r="O25" s="103"/>
      <c r="P25" s="103"/>
      <c r="Q25" s="113"/>
      <c r="R25" s="187" t="s">
        <v>1650</v>
      </c>
      <c r="S25" s="182"/>
      <c r="T25" s="182"/>
      <c r="U25" s="182"/>
      <c r="V25" s="182"/>
      <c r="W25" s="182"/>
      <c r="X25" s="182"/>
      <c r="Y25" s="182"/>
      <c r="Z25" s="182"/>
      <c r="AA25" s="182"/>
      <c r="AB25" s="182"/>
      <c r="AC25" s="182"/>
      <c r="AD25" s="181" t="s">
        <v>1625</v>
      </c>
      <c r="AE25" s="182"/>
      <c r="AF25" s="184">
        <v>45953</v>
      </c>
      <c r="AG25" s="182"/>
      <c r="AH25" s="188" t="s">
        <v>1651</v>
      </c>
      <c r="AI25" s="186"/>
      <c r="AJ25" s="9"/>
    </row>
    <row r="26" spans="1:36" ht="12.75" x14ac:dyDescent="0.2">
      <c r="A26" s="91"/>
      <c r="B26" s="101">
        <f t="shared" si="3"/>
        <v>16</v>
      </c>
      <c r="C26" s="181" t="s">
        <v>1310</v>
      </c>
      <c r="D26" s="182"/>
      <c r="E26" s="102" t="str">
        <f>IFERROR(VLOOKUP(C26,'설문지 응답 시트1'!C:H,2,FALSE),"")</f>
        <v>남</v>
      </c>
      <c r="F26" s="181" t="str">
        <f>IFERROR(VLOOKUP(C26,'설문지 응답 시트1'!C:H,3,FALSE),"")</f>
        <v>96년생</v>
      </c>
      <c r="G26" s="182"/>
      <c r="H26" s="181" t="str">
        <f>IFERROR(VLOOKUP(C26,'설문지 응답 시트1'!C:H,6,FALSE),"")</f>
        <v>서강대학교 컴퓨터공학과</v>
      </c>
      <c r="I26" s="182"/>
      <c r="J26" s="182"/>
      <c r="K26" s="182"/>
      <c r="L26" s="102">
        <v>70</v>
      </c>
      <c r="M26" s="183" t="s">
        <v>1607</v>
      </c>
      <c r="N26" s="182"/>
      <c r="O26" s="103"/>
      <c r="P26" s="103"/>
      <c r="Q26" s="104"/>
      <c r="R26" s="187" t="s">
        <v>1652</v>
      </c>
      <c r="S26" s="182"/>
      <c r="T26" s="182"/>
      <c r="U26" s="182"/>
      <c r="V26" s="182"/>
      <c r="W26" s="182"/>
      <c r="X26" s="182"/>
      <c r="Y26" s="182"/>
      <c r="Z26" s="182"/>
      <c r="AA26" s="182"/>
      <c r="AB26" s="182"/>
      <c r="AC26" s="182"/>
      <c r="AD26" s="181" t="s">
        <v>1619</v>
      </c>
      <c r="AE26" s="182"/>
      <c r="AF26" s="184">
        <v>45953</v>
      </c>
      <c r="AG26" s="182"/>
      <c r="AH26" s="188" t="s">
        <v>1653</v>
      </c>
      <c r="AI26" s="186"/>
      <c r="AJ26" s="9"/>
    </row>
    <row r="27" spans="1:36" ht="12.75" x14ac:dyDescent="0.2">
      <c r="A27" s="91"/>
      <c r="B27" s="101">
        <f t="shared" si="3"/>
        <v>17</v>
      </c>
      <c r="C27" s="181" t="s">
        <v>1390</v>
      </c>
      <c r="D27" s="182"/>
      <c r="E27" s="102" t="str">
        <f>IFERROR(VLOOKUP(C27,'설문지 응답 시트1'!C:H,2,FALSE),"")</f>
        <v>여</v>
      </c>
      <c r="F27" s="181" t="str">
        <f>IFERROR(VLOOKUP(C27,'설문지 응답 시트1'!C:H,3,FALSE),"")</f>
        <v>35살(91년생)</v>
      </c>
      <c r="G27" s="182"/>
      <c r="H27" s="181" t="str">
        <f>IFERROR(VLOOKUP(C27,'설문지 응답 시트1'!C:H,6,FALSE),"")</f>
        <v>서울디지털대학교 AI소프트웨어공학과</v>
      </c>
      <c r="I27" s="182"/>
      <c r="J27" s="182"/>
      <c r="K27" s="182"/>
      <c r="L27" s="105">
        <v>66</v>
      </c>
      <c r="M27" s="183" t="s">
        <v>1607</v>
      </c>
      <c r="N27" s="182"/>
      <c r="O27" s="103"/>
      <c r="P27" s="103"/>
      <c r="Q27" s="104"/>
      <c r="R27" s="187" t="s">
        <v>1654</v>
      </c>
      <c r="S27" s="182"/>
      <c r="T27" s="182"/>
      <c r="U27" s="182"/>
      <c r="V27" s="182"/>
      <c r="W27" s="182"/>
      <c r="X27" s="182"/>
      <c r="Y27" s="182"/>
      <c r="Z27" s="182"/>
      <c r="AA27" s="182"/>
      <c r="AB27" s="182"/>
      <c r="AC27" s="182"/>
      <c r="AD27" s="181" t="s">
        <v>1619</v>
      </c>
      <c r="AE27" s="182"/>
      <c r="AF27" s="184">
        <v>45954</v>
      </c>
      <c r="AG27" s="182"/>
      <c r="AH27" s="188" t="s">
        <v>1655</v>
      </c>
      <c r="AI27" s="186"/>
      <c r="AJ27" s="9"/>
    </row>
    <row r="28" spans="1:36" ht="12.75" x14ac:dyDescent="0.2">
      <c r="A28" s="91"/>
      <c r="B28" s="101">
        <f t="shared" si="3"/>
        <v>18</v>
      </c>
      <c r="C28" s="181" t="s">
        <v>1358</v>
      </c>
      <c r="D28" s="182"/>
      <c r="E28" s="102" t="str">
        <f>IFERROR(VLOOKUP(C28,'설문지 응답 시트1'!C:H,2,FALSE),"")</f>
        <v>남</v>
      </c>
      <c r="F28" s="181" t="str">
        <f>IFERROR(VLOOKUP(C28,'설문지 응답 시트1'!C:H,3,FALSE),"")</f>
        <v>32살 (94년생)</v>
      </c>
      <c r="G28" s="182"/>
      <c r="H28" s="181" t="str">
        <f>IFERROR(VLOOKUP(C28,'설문지 응답 시트1'!C:H,6,FALSE),"")</f>
        <v>고졸입니다!</v>
      </c>
      <c r="I28" s="182"/>
      <c r="J28" s="182"/>
      <c r="K28" s="182"/>
      <c r="L28" s="102">
        <v>91</v>
      </c>
      <c r="M28" s="183" t="s">
        <v>1621</v>
      </c>
      <c r="N28" s="182"/>
      <c r="O28" s="103"/>
      <c r="P28" s="103"/>
      <c r="Q28" s="104"/>
      <c r="R28" s="187" t="s">
        <v>1656</v>
      </c>
      <c r="S28" s="182"/>
      <c r="T28" s="182"/>
      <c r="U28" s="182"/>
      <c r="V28" s="182"/>
      <c r="W28" s="182"/>
      <c r="X28" s="182"/>
      <c r="Y28" s="182"/>
      <c r="Z28" s="182"/>
      <c r="AA28" s="182"/>
      <c r="AB28" s="182"/>
      <c r="AC28" s="182"/>
      <c r="AD28" s="181" t="s">
        <v>1619</v>
      </c>
      <c r="AE28" s="182"/>
      <c r="AF28" s="184">
        <v>45957</v>
      </c>
      <c r="AG28" s="182"/>
      <c r="AH28" s="188" t="s">
        <v>1657</v>
      </c>
      <c r="AI28" s="186"/>
      <c r="AJ28" s="9"/>
    </row>
    <row r="29" spans="1:36" ht="12.75" x14ac:dyDescent="0.2">
      <c r="A29" s="91"/>
      <c r="B29" s="101">
        <f t="shared" si="3"/>
        <v>19</v>
      </c>
      <c r="C29" s="181" t="s">
        <v>242</v>
      </c>
      <c r="D29" s="182"/>
      <c r="E29" s="102" t="str">
        <f>IFERROR(VLOOKUP(C29,'설문지 응답 시트1'!C:H,2,FALSE),"")</f>
        <v>남</v>
      </c>
      <c r="F29" s="181" t="str">
        <f>IFERROR(VLOOKUP(C29,'설문지 응답 시트1'!C:H,3,FALSE),"")</f>
        <v>00년생</v>
      </c>
      <c r="G29" s="182"/>
      <c r="H29" s="181" t="str">
        <f>IFERROR(VLOOKUP(C29,'설문지 응답 시트1'!C:H,6,FALSE),"")</f>
        <v>동서울대학교 게임콘텐츠학과</v>
      </c>
      <c r="I29" s="182"/>
      <c r="J29" s="182"/>
      <c r="K29" s="182"/>
      <c r="L29" s="105">
        <v>84</v>
      </c>
      <c r="M29" s="183" t="s">
        <v>1607</v>
      </c>
      <c r="N29" s="182"/>
      <c r="O29" s="103"/>
      <c r="P29" s="103"/>
      <c r="Q29" s="104"/>
      <c r="R29" s="187" t="s">
        <v>1658</v>
      </c>
      <c r="S29" s="182"/>
      <c r="T29" s="182"/>
      <c r="U29" s="182"/>
      <c r="V29" s="182"/>
      <c r="W29" s="182"/>
      <c r="X29" s="182"/>
      <c r="Y29" s="182"/>
      <c r="Z29" s="182"/>
      <c r="AA29" s="182"/>
      <c r="AB29" s="182"/>
      <c r="AC29" s="182"/>
      <c r="AD29" s="181" t="s">
        <v>1625</v>
      </c>
      <c r="AE29" s="182"/>
      <c r="AF29" s="184">
        <v>45957</v>
      </c>
      <c r="AG29" s="182"/>
      <c r="AH29" s="188" t="s">
        <v>1659</v>
      </c>
      <c r="AI29" s="186"/>
      <c r="AJ29" s="9"/>
    </row>
    <row r="30" spans="1:36" ht="12.75" x14ac:dyDescent="0.2">
      <c r="A30" s="91"/>
      <c r="B30" s="101">
        <f t="shared" si="3"/>
        <v>20</v>
      </c>
      <c r="C30" s="181" t="s">
        <v>161</v>
      </c>
      <c r="D30" s="182"/>
      <c r="E30" s="102" t="str">
        <f>IFERROR(VLOOKUP(C30,'설문지 응답 시트1'!C:H,2,FALSE),"")</f>
        <v>남</v>
      </c>
      <c r="F30" s="181" t="str">
        <f>IFERROR(VLOOKUP(C30,'설문지 응답 시트1'!C:H,3,FALSE),"")</f>
        <v>29살(97년생)</v>
      </c>
      <c r="G30" s="182"/>
      <c r="H30" s="181" t="str">
        <f>IFERROR(VLOOKUP(C30,'설문지 응답 시트1'!C:H,6,FALSE),"")</f>
        <v>한국해양대 영어영문학과</v>
      </c>
      <c r="I30" s="182"/>
      <c r="J30" s="182"/>
      <c r="K30" s="182"/>
      <c r="L30" s="102">
        <v>71</v>
      </c>
      <c r="M30" s="183" t="s">
        <v>1607</v>
      </c>
      <c r="N30" s="182"/>
      <c r="O30" s="103"/>
      <c r="P30" s="103"/>
      <c r="Q30" s="104"/>
      <c r="R30" s="187" t="s">
        <v>1660</v>
      </c>
      <c r="S30" s="182"/>
      <c r="T30" s="182"/>
      <c r="U30" s="182"/>
      <c r="V30" s="182"/>
      <c r="W30" s="182"/>
      <c r="X30" s="182"/>
      <c r="Y30" s="182"/>
      <c r="Z30" s="182"/>
      <c r="AA30" s="182"/>
      <c r="AB30" s="182"/>
      <c r="AC30" s="182"/>
      <c r="AD30" s="181" t="s">
        <v>1625</v>
      </c>
      <c r="AE30" s="182"/>
      <c r="AF30" s="184">
        <v>45957</v>
      </c>
      <c r="AG30" s="182"/>
      <c r="AH30" s="188" t="s">
        <v>1661</v>
      </c>
      <c r="AI30" s="186"/>
      <c r="AJ30" s="9"/>
    </row>
    <row r="31" spans="1:36" ht="12.75" x14ac:dyDescent="0.2">
      <c r="A31" s="91"/>
      <c r="B31" s="101">
        <f t="shared" si="3"/>
        <v>21</v>
      </c>
      <c r="C31" s="181" t="s">
        <v>942</v>
      </c>
      <c r="D31" s="182"/>
      <c r="E31" s="102" t="str">
        <f>IFERROR(VLOOKUP(C31,'설문지 응답 시트1'!C:H,2,FALSE),"")</f>
        <v>남</v>
      </c>
      <c r="F31" s="181" t="str">
        <f>IFERROR(VLOOKUP(C31,'설문지 응답 시트1'!C:H,3,FALSE),"")</f>
        <v>30살(96년생)</v>
      </c>
      <c r="G31" s="182"/>
      <c r="H31" s="181" t="str">
        <f>IFERROR(VLOOKUP(C31,'설문지 응답 시트1'!C:H,6,FALSE),"")</f>
        <v>서경대학교 영화영상학과</v>
      </c>
      <c r="I31" s="182"/>
      <c r="J31" s="182"/>
      <c r="K31" s="182"/>
      <c r="L31" s="105">
        <v>79</v>
      </c>
      <c r="M31" s="183" t="s">
        <v>1621</v>
      </c>
      <c r="N31" s="182"/>
      <c r="O31" s="103"/>
      <c r="P31" s="103"/>
      <c r="Q31" s="104"/>
      <c r="R31" s="187" t="s">
        <v>1662</v>
      </c>
      <c r="S31" s="182"/>
      <c r="T31" s="182"/>
      <c r="U31" s="182"/>
      <c r="V31" s="182"/>
      <c r="W31" s="182"/>
      <c r="X31" s="182"/>
      <c r="Y31" s="182"/>
      <c r="Z31" s="182"/>
      <c r="AA31" s="182"/>
      <c r="AB31" s="182"/>
      <c r="AC31" s="182"/>
      <c r="AD31" s="181" t="s">
        <v>1625</v>
      </c>
      <c r="AE31" s="182"/>
      <c r="AF31" s="184">
        <v>45957</v>
      </c>
      <c r="AG31" s="182"/>
      <c r="AH31" s="188" t="s">
        <v>1663</v>
      </c>
      <c r="AI31" s="186"/>
      <c r="AJ31" s="9"/>
    </row>
    <row r="32" spans="1:36" ht="12.75" x14ac:dyDescent="0.2">
      <c r="A32" s="91"/>
      <c r="B32" s="101">
        <f t="shared" si="3"/>
        <v>22</v>
      </c>
      <c r="C32" s="181" t="s">
        <v>880</v>
      </c>
      <c r="D32" s="182"/>
      <c r="E32" s="102" t="str">
        <f>IFERROR(VLOOKUP(C32,'설문지 응답 시트1'!C:H,2,FALSE),"")</f>
        <v>남</v>
      </c>
      <c r="F32" s="181" t="str">
        <f>IFERROR(VLOOKUP(C32,'설문지 응답 시트1'!C:H,3,FALSE),"")</f>
        <v>96년생</v>
      </c>
      <c r="G32" s="182"/>
      <c r="H32" s="181" t="str">
        <f>IFERROR(VLOOKUP(C32,'설문지 응답 시트1'!C:H,6,FALSE),"")</f>
        <v>전북대학교 무역학과</v>
      </c>
      <c r="I32" s="182"/>
      <c r="J32" s="182"/>
      <c r="K32" s="182"/>
      <c r="L32" s="102">
        <v>72</v>
      </c>
      <c r="M32" s="183" t="s">
        <v>1607</v>
      </c>
      <c r="N32" s="182"/>
      <c r="O32" s="103"/>
      <c r="P32" s="103"/>
      <c r="Q32" s="104"/>
      <c r="R32" s="187" t="s">
        <v>1664</v>
      </c>
      <c r="S32" s="182"/>
      <c r="T32" s="182"/>
      <c r="U32" s="182"/>
      <c r="V32" s="182"/>
      <c r="W32" s="182"/>
      <c r="X32" s="182"/>
      <c r="Y32" s="182"/>
      <c r="Z32" s="182"/>
      <c r="AA32" s="182"/>
      <c r="AB32" s="182"/>
      <c r="AC32" s="182"/>
      <c r="AD32" s="181" t="s">
        <v>1619</v>
      </c>
      <c r="AE32" s="182"/>
      <c r="AF32" s="184">
        <v>45959</v>
      </c>
      <c r="AG32" s="182"/>
      <c r="AH32" s="188" t="s">
        <v>1665</v>
      </c>
      <c r="AI32" s="186"/>
      <c r="AJ32" s="9"/>
    </row>
    <row r="33" spans="1:36" ht="12.75" x14ac:dyDescent="0.2">
      <c r="A33" s="91"/>
      <c r="B33" s="101">
        <f t="shared" si="3"/>
        <v>23</v>
      </c>
      <c r="C33" s="181" t="s">
        <v>824</v>
      </c>
      <c r="D33" s="182"/>
      <c r="E33" s="102" t="str">
        <f>IFERROR(VLOOKUP(C33,'설문지 응답 시트1'!C:H,2,FALSE),"")</f>
        <v>여</v>
      </c>
      <c r="F33" s="181" t="str">
        <f>IFERROR(VLOOKUP(C33,'설문지 응답 시트1'!C:H,3,FALSE),"")</f>
        <v>35살(91년생)</v>
      </c>
      <c r="G33" s="182"/>
      <c r="H33" s="181" t="str">
        <f>IFERROR(VLOOKUP(C33,'설문지 응답 시트1'!C:H,6,FALSE),"")</f>
        <v>부천대학교 세무회계과</v>
      </c>
      <c r="I33" s="182"/>
      <c r="J33" s="182"/>
      <c r="K33" s="182"/>
      <c r="L33" s="105">
        <v>69</v>
      </c>
      <c r="M33" s="183" t="s">
        <v>1607</v>
      </c>
      <c r="N33" s="182"/>
      <c r="O33" s="103"/>
      <c r="P33" s="103"/>
      <c r="Q33" s="104"/>
      <c r="R33" s="187" t="s">
        <v>1666</v>
      </c>
      <c r="S33" s="182"/>
      <c r="T33" s="182"/>
      <c r="U33" s="182"/>
      <c r="V33" s="182"/>
      <c r="W33" s="182"/>
      <c r="X33" s="182"/>
      <c r="Y33" s="182"/>
      <c r="Z33" s="182"/>
      <c r="AA33" s="182"/>
      <c r="AB33" s="182"/>
      <c r="AC33" s="182"/>
      <c r="AD33" s="181" t="s">
        <v>1625</v>
      </c>
      <c r="AE33" s="182"/>
      <c r="AF33" s="184">
        <v>45959</v>
      </c>
      <c r="AG33" s="182"/>
      <c r="AH33" s="188" t="s">
        <v>1667</v>
      </c>
      <c r="AI33" s="186"/>
      <c r="AJ33" s="9"/>
    </row>
    <row r="34" spans="1:36" ht="12.75" x14ac:dyDescent="0.2">
      <c r="A34" s="91"/>
      <c r="B34" s="101">
        <f t="shared" si="3"/>
        <v>24</v>
      </c>
      <c r="C34" s="181" t="s">
        <v>1453</v>
      </c>
      <c r="D34" s="182"/>
      <c r="E34" s="102" t="str">
        <f>IFERROR(VLOOKUP(C34,'설문지 응답 시트1'!C:H,2,FALSE),"")</f>
        <v>남</v>
      </c>
      <c r="F34" s="181" t="str">
        <f>IFERROR(VLOOKUP(C34,'설문지 응답 시트1'!C:H,3,FALSE),"")</f>
        <v>26살(00년생)</v>
      </c>
      <c r="G34" s="182"/>
      <c r="H34" s="181" t="str">
        <f>IFERROR(VLOOKUP(C34,'설문지 응답 시트1'!C:H,6,FALSE),"")</f>
        <v>영남이공대 디자인스쿨</v>
      </c>
      <c r="I34" s="182"/>
      <c r="J34" s="182"/>
      <c r="K34" s="182"/>
      <c r="L34" s="102">
        <v>71</v>
      </c>
      <c r="M34" s="183" t="s">
        <v>1607</v>
      </c>
      <c r="N34" s="182"/>
      <c r="O34" s="103"/>
      <c r="P34" s="103"/>
      <c r="Q34" s="104"/>
      <c r="R34" s="187" t="s">
        <v>1668</v>
      </c>
      <c r="S34" s="182"/>
      <c r="T34" s="182"/>
      <c r="U34" s="182"/>
      <c r="V34" s="182"/>
      <c r="W34" s="182"/>
      <c r="X34" s="182"/>
      <c r="Y34" s="182"/>
      <c r="Z34" s="182"/>
      <c r="AA34" s="182"/>
      <c r="AB34" s="182"/>
      <c r="AC34" s="182"/>
      <c r="AD34" s="181" t="s">
        <v>1625</v>
      </c>
      <c r="AE34" s="182"/>
      <c r="AF34" s="184">
        <v>45959</v>
      </c>
      <c r="AG34" s="182"/>
      <c r="AH34" s="188" t="s">
        <v>1669</v>
      </c>
      <c r="AI34" s="186"/>
      <c r="AJ34" s="9"/>
    </row>
    <row r="35" spans="1:36" ht="12.75" x14ac:dyDescent="0.2">
      <c r="A35" s="91"/>
      <c r="B35" s="101">
        <f t="shared" si="3"/>
        <v>25</v>
      </c>
      <c r="C35" s="181" t="s">
        <v>202</v>
      </c>
      <c r="D35" s="182"/>
      <c r="E35" s="102" t="str">
        <f>IFERROR(VLOOKUP(C35,'설문지 응답 시트1'!C:H,2,FALSE),"")</f>
        <v>남</v>
      </c>
      <c r="F35" s="181">
        <f>IFERROR(VLOOKUP(C35,'설문지 응답 시트1'!C:H,3,FALSE),"")</f>
        <v>35</v>
      </c>
      <c r="G35" s="182"/>
      <c r="H35" s="181" t="str">
        <f>IFERROR(VLOOKUP(C35,'설문지 응답 시트1'!C:H,6,FALSE),"")</f>
        <v>디자인</v>
      </c>
      <c r="I35" s="182"/>
      <c r="J35" s="182"/>
      <c r="K35" s="182"/>
      <c r="L35" s="105">
        <v>75</v>
      </c>
      <c r="M35" s="183" t="s">
        <v>1621</v>
      </c>
      <c r="N35" s="182"/>
      <c r="O35" s="103"/>
      <c r="P35" s="103"/>
      <c r="Q35" s="104"/>
      <c r="R35" s="187" t="s">
        <v>1670</v>
      </c>
      <c r="S35" s="182"/>
      <c r="T35" s="182"/>
      <c r="U35" s="182"/>
      <c r="V35" s="182"/>
      <c r="W35" s="182"/>
      <c r="X35" s="182"/>
      <c r="Y35" s="182"/>
      <c r="Z35" s="182"/>
      <c r="AA35" s="182"/>
      <c r="AB35" s="182"/>
      <c r="AC35" s="182"/>
      <c r="AD35" s="181" t="s">
        <v>1619</v>
      </c>
      <c r="AE35" s="182"/>
      <c r="AF35" s="184">
        <v>45959</v>
      </c>
      <c r="AG35" s="182"/>
      <c r="AH35" s="188" t="s">
        <v>1671</v>
      </c>
      <c r="AI35" s="186"/>
      <c r="AJ35" s="9"/>
    </row>
    <row r="36" spans="1:36" ht="12.75" x14ac:dyDescent="0.2">
      <c r="A36" s="91"/>
      <c r="B36" s="101">
        <f t="shared" si="3"/>
        <v>26</v>
      </c>
      <c r="C36" s="181" t="s">
        <v>508</v>
      </c>
      <c r="D36" s="182"/>
      <c r="E36" s="102" t="str">
        <f>IFERROR(VLOOKUP(C36,'설문지 응답 시트1'!C:H,2,FALSE),"")</f>
        <v>남</v>
      </c>
      <c r="F36" s="181" t="str">
        <f>IFERROR(VLOOKUP(C36,'설문지 응답 시트1'!C:H,3,FALSE),"")</f>
        <v>25살(01년생)</v>
      </c>
      <c r="G36" s="182"/>
      <c r="H36" s="181" t="str">
        <f>IFERROR(VLOOKUP(C36,'설문지 응답 시트1'!C:H,6,FALSE),"")</f>
        <v>가톨릭상지대학교 철도전기과</v>
      </c>
      <c r="I36" s="182"/>
      <c r="J36" s="182"/>
      <c r="K36" s="182"/>
      <c r="L36" s="102">
        <v>80</v>
      </c>
      <c r="M36" s="183" t="s">
        <v>1607</v>
      </c>
      <c r="N36" s="182"/>
      <c r="O36" s="103"/>
      <c r="P36" s="103"/>
      <c r="Q36" s="104"/>
      <c r="R36" s="187" t="s">
        <v>1672</v>
      </c>
      <c r="S36" s="182"/>
      <c r="T36" s="182"/>
      <c r="U36" s="182"/>
      <c r="V36" s="182"/>
      <c r="W36" s="182"/>
      <c r="X36" s="182"/>
      <c r="Y36" s="182"/>
      <c r="Z36" s="182"/>
      <c r="AA36" s="182"/>
      <c r="AB36" s="182"/>
      <c r="AC36" s="182"/>
      <c r="AD36" s="181" t="s">
        <v>1619</v>
      </c>
      <c r="AE36" s="182"/>
      <c r="AF36" s="184">
        <v>45959</v>
      </c>
      <c r="AG36" s="182"/>
      <c r="AH36" s="188" t="s">
        <v>1673</v>
      </c>
      <c r="AI36" s="186"/>
      <c r="AJ36" s="9"/>
    </row>
    <row r="37" spans="1:36" ht="12.75" x14ac:dyDescent="0.2">
      <c r="A37" s="91"/>
      <c r="B37" s="101">
        <f t="shared" si="3"/>
        <v>27</v>
      </c>
      <c r="C37" s="181" t="s">
        <v>52</v>
      </c>
      <c r="D37" s="182"/>
      <c r="E37" s="102" t="str">
        <f>IFERROR(VLOOKUP(C37,'설문지 응답 시트1'!C:H,2,FALSE),"")</f>
        <v>남</v>
      </c>
      <c r="F37" s="181" t="str">
        <f>IFERROR(VLOOKUP(C37,'설문지 응답 시트1'!C:H,3,FALSE),"")</f>
        <v>32살(93년생)</v>
      </c>
      <c r="G37" s="182"/>
      <c r="H37" s="181" t="str">
        <f>IFERROR(VLOOKUP(C37,'설문지 응답 시트1'!C:H,6,FALSE),"")</f>
        <v>청주대학교 만화애니메이션 학과 / 한국영화아카데미 애니메이션 전공</v>
      </c>
      <c r="I37" s="182"/>
      <c r="J37" s="182"/>
      <c r="K37" s="182"/>
      <c r="L37" s="105">
        <v>93</v>
      </c>
      <c r="M37" s="183" t="s">
        <v>1607</v>
      </c>
      <c r="N37" s="182"/>
      <c r="O37" s="103"/>
      <c r="P37" s="103"/>
      <c r="Q37" s="104"/>
      <c r="R37" s="187" t="s">
        <v>1674</v>
      </c>
      <c r="S37" s="182"/>
      <c r="T37" s="182"/>
      <c r="U37" s="182"/>
      <c r="V37" s="182"/>
      <c r="W37" s="182"/>
      <c r="X37" s="182"/>
      <c r="Y37" s="182"/>
      <c r="Z37" s="182"/>
      <c r="AA37" s="182"/>
      <c r="AB37" s="182"/>
      <c r="AC37" s="182"/>
      <c r="AD37" s="181" t="s">
        <v>1625</v>
      </c>
      <c r="AE37" s="182"/>
      <c r="AF37" s="184">
        <v>45960</v>
      </c>
      <c r="AG37" s="182"/>
      <c r="AH37" s="188" t="s">
        <v>1675</v>
      </c>
      <c r="AI37" s="186"/>
      <c r="AJ37" s="9"/>
    </row>
    <row r="38" spans="1:36" ht="12.75" x14ac:dyDescent="0.2">
      <c r="A38" s="91"/>
      <c r="B38" s="101">
        <f t="shared" si="3"/>
        <v>28</v>
      </c>
      <c r="C38" s="181" t="s">
        <v>1013</v>
      </c>
      <c r="D38" s="182"/>
      <c r="E38" s="102" t="str">
        <f>IFERROR(VLOOKUP(C38,'설문지 응답 시트1'!C:H,2,FALSE),"")</f>
        <v>남</v>
      </c>
      <c r="F38" s="181" t="str">
        <f>IFERROR(VLOOKUP(C38,'설문지 응답 시트1'!C:H,3,FALSE),"")</f>
        <v>25살(01년생)</v>
      </c>
      <c r="G38" s="182"/>
      <c r="H38" s="181" t="str">
        <f>IFERROR(VLOOKUP(C38,'설문지 응답 시트1'!C:H,6,FALSE),"")</f>
        <v>한성대학교 컴퓨터 공학과 디지털콘텐츠 • 가상현실트랙</v>
      </c>
      <c r="I38" s="182"/>
      <c r="J38" s="182"/>
      <c r="K38" s="182"/>
      <c r="L38" s="102">
        <v>86</v>
      </c>
      <c r="M38" s="183" t="s">
        <v>1607</v>
      </c>
      <c r="N38" s="182"/>
      <c r="O38" s="103"/>
      <c r="P38" s="103"/>
      <c r="Q38" s="104"/>
      <c r="R38" s="187" t="s">
        <v>1676</v>
      </c>
      <c r="S38" s="182"/>
      <c r="T38" s="182"/>
      <c r="U38" s="182"/>
      <c r="V38" s="182"/>
      <c r="W38" s="182"/>
      <c r="X38" s="182"/>
      <c r="Y38" s="182"/>
      <c r="Z38" s="182"/>
      <c r="AA38" s="182"/>
      <c r="AB38" s="182"/>
      <c r="AC38" s="182"/>
      <c r="AD38" s="181" t="s">
        <v>1625</v>
      </c>
      <c r="AE38" s="182"/>
      <c r="AF38" s="184">
        <v>45960</v>
      </c>
      <c r="AG38" s="182"/>
      <c r="AH38" s="188" t="s">
        <v>1677</v>
      </c>
      <c r="AI38" s="186"/>
      <c r="AJ38" s="9"/>
    </row>
    <row r="39" spans="1:36" ht="12.75" x14ac:dyDescent="0.2">
      <c r="A39" s="91"/>
      <c r="B39" s="101">
        <f t="shared" si="3"/>
        <v>29</v>
      </c>
      <c r="C39" s="181" t="s">
        <v>295</v>
      </c>
      <c r="D39" s="182"/>
      <c r="E39" s="102" t="str">
        <f>IFERROR(VLOOKUP(C39,'설문지 응답 시트1'!C:H,2,FALSE),"")</f>
        <v>남</v>
      </c>
      <c r="F39" s="181" t="str">
        <f>IFERROR(VLOOKUP(C39,'설문지 응답 시트1'!C:H,3,FALSE),"")</f>
        <v>33살(93년생)</v>
      </c>
      <c r="G39" s="182"/>
      <c r="H39" s="181" t="str">
        <f>IFERROR(VLOOKUP(C39,'설문지 응답 시트1'!C:H,6,FALSE),"")</f>
        <v xml:space="preserve">한국외국어 대학교 사회과학전공 </v>
      </c>
      <c r="I39" s="182"/>
      <c r="J39" s="182"/>
      <c r="K39" s="182"/>
      <c r="L39" s="105">
        <v>81</v>
      </c>
      <c r="M39" s="183" t="s">
        <v>1607</v>
      </c>
      <c r="N39" s="182"/>
      <c r="O39" s="103"/>
      <c r="P39" s="103"/>
      <c r="Q39" s="104"/>
      <c r="R39" s="187" t="s">
        <v>1678</v>
      </c>
      <c r="S39" s="182"/>
      <c r="T39" s="182"/>
      <c r="U39" s="182"/>
      <c r="V39" s="182"/>
      <c r="W39" s="182"/>
      <c r="X39" s="182"/>
      <c r="Y39" s="182"/>
      <c r="Z39" s="182"/>
      <c r="AA39" s="182"/>
      <c r="AB39" s="182"/>
      <c r="AC39" s="182"/>
      <c r="AD39" s="181" t="s">
        <v>1619</v>
      </c>
      <c r="AE39" s="182"/>
      <c r="AF39" s="184">
        <v>45961</v>
      </c>
      <c r="AG39" s="182"/>
      <c r="AH39" s="188" t="s">
        <v>1679</v>
      </c>
      <c r="AI39" s="186"/>
      <c r="AJ39" s="9"/>
    </row>
    <row r="40" spans="1:36" ht="12.75" x14ac:dyDescent="0.2">
      <c r="A40" s="91"/>
      <c r="B40" s="101">
        <f t="shared" si="3"/>
        <v>30</v>
      </c>
      <c r="C40" s="181" t="s">
        <v>125</v>
      </c>
      <c r="D40" s="182"/>
      <c r="E40" s="102" t="str">
        <f>IFERROR(VLOOKUP(C40,'설문지 응답 시트1'!C:H,2,FALSE),"")</f>
        <v>남</v>
      </c>
      <c r="F40" s="181" t="str">
        <f>IFERROR(VLOOKUP(C40,'설문지 응답 시트1'!C:H,3,FALSE),"")</f>
        <v>23살(03년생)</v>
      </c>
      <c r="G40" s="182"/>
      <c r="H40" s="181" t="str">
        <f>IFERROR(VLOOKUP(C40,'설문지 응답 시트1'!C:H,6,FALSE),"")</f>
        <v>울산대학교, 생명과학부</v>
      </c>
      <c r="I40" s="182"/>
      <c r="J40" s="182"/>
      <c r="K40" s="182"/>
      <c r="L40" s="102">
        <v>65</v>
      </c>
      <c r="M40" s="183" t="s">
        <v>1607</v>
      </c>
      <c r="N40" s="182"/>
      <c r="O40" s="103"/>
      <c r="P40" s="103"/>
      <c r="Q40" s="104"/>
      <c r="R40" s="187" t="s">
        <v>1680</v>
      </c>
      <c r="S40" s="182"/>
      <c r="T40" s="182"/>
      <c r="U40" s="182"/>
      <c r="V40" s="182"/>
      <c r="W40" s="182"/>
      <c r="X40" s="182"/>
      <c r="Y40" s="182"/>
      <c r="Z40" s="182"/>
      <c r="AA40" s="182"/>
      <c r="AB40" s="182"/>
      <c r="AC40" s="182"/>
      <c r="AD40" s="181" t="s">
        <v>1619</v>
      </c>
      <c r="AE40" s="182"/>
      <c r="AF40" s="184">
        <v>45965</v>
      </c>
      <c r="AG40" s="182"/>
      <c r="AH40" s="188" t="s">
        <v>1681</v>
      </c>
      <c r="AI40" s="186"/>
      <c r="AJ40" s="9"/>
    </row>
    <row r="41" spans="1:36" ht="12.75" x14ac:dyDescent="0.2">
      <c r="A41" s="91"/>
      <c r="B41" s="101">
        <f t="shared" si="3"/>
        <v>31</v>
      </c>
      <c r="C41" s="181" t="s">
        <v>1283</v>
      </c>
      <c r="D41" s="182"/>
      <c r="E41" s="102" t="str">
        <f>IFERROR(VLOOKUP(C41,'설문지 응답 시트1'!C:H,2,FALSE),"")</f>
        <v>남</v>
      </c>
      <c r="F41" s="181" t="str">
        <f>IFERROR(VLOOKUP(C41,'설문지 응답 시트1'!C:H,3,FALSE),"")</f>
        <v>22살(03년생)</v>
      </c>
      <c r="G41" s="182"/>
      <c r="H41" s="181" t="str">
        <f>IFERROR(VLOOKUP(C41,'설문지 응답 시트1'!C:H,6,FALSE),"")</f>
        <v>구미대학교 비주얼게임콘텐츠학과</v>
      </c>
      <c r="I41" s="182"/>
      <c r="J41" s="182"/>
      <c r="K41" s="182"/>
      <c r="L41" s="105">
        <v>84</v>
      </c>
      <c r="M41" s="183" t="s">
        <v>1607</v>
      </c>
      <c r="N41" s="182"/>
      <c r="O41" s="103"/>
      <c r="P41" s="103"/>
      <c r="Q41" s="104"/>
      <c r="R41" s="187" t="s">
        <v>1682</v>
      </c>
      <c r="S41" s="182"/>
      <c r="T41" s="182"/>
      <c r="U41" s="182"/>
      <c r="V41" s="182"/>
      <c r="W41" s="182"/>
      <c r="X41" s="182"/>
      <c r="Y41" s="182"/>
      <c r="Z41" s="182"/>
      <c r="AA41" s="182"/>
      <c r="AB41" s="182"/>
      <c r="AC41" s="182"/>
      <c r="AD41" s="181" t="s">
        <v>1619</v>
      </c>
      <c r="AE41" s="182"/>
      <c r="AF41" s="184">
        <v>45965</v>
      </c>
      <c r="AG41" s="182"/>
      <c r="AH41" s="188" t="s">
        <v>1683</v>
      </c>
      <c r="AI41" s="186"/>
      <c r="AJ41" s="9"/>
    </row>
    <row r="42" spans="1:36" ht="12.75" x14ac:dyDescent="0.2">
      <c r="A42" s="91"/>
      <c r="B42" s="101">
        <f t="shared" si="3"/>
        <v>32</v>
      </c>
      <c r="C42" s="181" t="s">
        <v>1151</v>
      </c>
      <c r="D42" s="182"/>
      <c r="E42" s="102" t="str">
        <f>IFERROR(VLOOKUP(C42,'설문지 응답 시트1'!C:H,2,FALSE),"")</f>
        <v>남</v>
      </c>
      <c r="F42" s="181" t="str">
        <f>IFERROR(VLOOKUP(C42,'설문지 응답 시트1'!C:H,3,FALSE),"")</f>
        <v>28살(98년생)</v>
      </c>
      <c r="G42" s="182"/>
      <c r="H42" s="181" t="str">
        <f>IFERROR(VLOOKUP(C42,'설문지 응답 시트1'!C:H,6,FALSE),"")</f>
        <v>양운고등학교 전공없음</v>
      </c>
      <c r="I42" s="182"/>
      <c r="J42" s="182"/>
      <c r="K42" s="182"/>
      <c r="L42" s="102">
        <v>56</v>
      </c>
      <c r="M42" s="183" t="s">
        <v>1607</v>
      </c>
      <c r="N42" s="182"/>
      <c r="O42" s="103"/>
      <c r="P42" s="103"/>
      <c r="Q42" s="104"/>
      <c r="R42" s="187" t="s">
        <v>1684</v>
      </c>
      <c r="S42" s="182"/>
      <c r="T42" s="182"/>
      <c r="U42" s="182"/>
      <c r="V42" s="182"/>
      <c r="W42" s="182"/>
      <c r="X42" s="182"/>
      <c r="Y42" s="182"/>
      <c r="Z42" s="182"/>
      <c r="AA42" s="182"/>
      <c r="AB42" s="182"/>
      <c r="AC42" s="182"/>
      <c r="AD42" s="181" t="s">
        <v>1625</v>
      </c>
      <c r="AE42" s="182"/>
      <c r="AF42" s="184">
        <v>45966</v>
      </c>
      <c r="AG42" s="182"/>
      <c r="AH42" s="188" t="s">
        <v>1685</v>
      </c>
      <c r="AI42" s="186"/>
      <c r="AJ42" s="9"/>
    </row>
    <row r="43" spans="1:36" ht="12.75" x14ac:dyDescent="0.2">
      <c r="A43" s="91"/>
      <c r="B43" s="101">
        <f t="shared" si="3"/>
        <v>33</v>
      </c>
      <c r="C43" s="181" t="s">
        <v>458</v>
      </c>
      <c r="D43" s="182"/>
      <c r="E43" s="102" t="str">
        <f>IFERROR(VLOOKUP(C43,'설문지 응답 시트1'!C:H,2,FALSE),"")</f>
        <v>남</v>
      </c>
      <c r="F43" s="181" t="str">
        <f>IFERROR(VLOOKUP(C43,'설문지 응답 시트1'!C:H,3,FALSE),"")</f>
        <v>27살(99년생)</v>
      </c>
      <c r="G43" s="182"/>
      <c r="H43" s="181" t="str">
        <f>IFERROR(VLOOKUP(C43,'설문지 응답 시트1'!C:H,6,FALSE),"")</f>
        <v>강남대학교/소프트웨어</v>
      </c>
      <c r="I43" s="182"/>
      <c r="J43" s="182"/>
      <c r="K43" s="182"/>
      <c r="L43" s="105">
        <v>77</v>
      </c>
      <c r="M43" s="183" t="s">
        <v>1607</v>
      </c>
      <c r="N43" s="182"/>
      <c r="O43" s="103"/>
      <c r="P43" s="103"/>
      <c r="Q43" s="104"/>
      <c r="R43" s="187" t="s">
        <v>1686</v>
      </c>
      <c r="S43" s="182"/>
      <c r="T43" s="182"/>
      <c r="U43" s="182"/>
      <c r="V43" s="182"/>
      <c r="W43" s="182"/>
      <c r="X43" s="182"/>
      <c r="Y43" s="182"/>
      <c r="Z43" s="182"/>
      <c r="AA43" s="182"/>
      <c r="AB43" s="182"/>
      <c r="AC43" s="182"/>
      <c r="AD43" s="181" t="s">
        <v>1625</v>
      </c>
      <c r="AE43" s="182"/>
      <c r="AF43" s="184">
        <v>45966</v>
      </c>
      <c r="AG43" s="182"/>
      <c r="AH43" s="188" t="s">
        <v>1687</v>
      </c>
      <c r="AI43" s="186"/>
      <c r="AJ43" s="9"/>
    </row>
    <row r="44" spans="1:36" ht="12.75" x14ac:dyDescent="0.2">
      <c r="A44" s="91"/>
      <c r="B44" s="101">
        <f t="shared" si="3"/>
        <v>34</v>
      </c>
      <c r="C44" s="181" t="s">
        <v>390</v>
      </c>
      <c r="D44" s="182"/>
      <c r="E44" s="102" t="str">
        <f>IFERROR(VLOOKUP(C44,'설문지 응답 시트1'!C:H,2,FALSE),"")</f>
        <v>남</v>
      </c>
      <c r="F44" s="181" t="str">
        <f>IFERROR(VLOOKUP(C44,'설문지 응답 시트1'!C:H,3,FALSE),"")</f>
        <v>33살(92년생)</v>
      </c>
      <c r="G44" s="182"/>
      <c r="H44" s="181" t="str">
        <f>IFERROR(VLOOKUP(C44,'설문지 응답 시트1'!C:H,6,FALSE),"")</f>
        <v>경희대 한방재료공학과</v>
      </c>
      <c r="I44" s="182"/>
      <c r="J44" s="182"/>
      <c r="K44" s="182"/>
      <c r="L44" s="102">
        <v>84</v>
      </c>
      <c r="M44" s="183" t="s">
        <v>1607</v>
      </c>
      <c r="N44" s="182"/>
      <c r="O44" s="103"/>
      <c r="P44" s="103"/>
      <c r="Q44" s="104"/>
      <c r="R44" s="187" t="s">
        <v>1688</v>
      </c>
      <c r="S44" s="182"/>
      <c r="T44" s="182"/>
      <c r="U44" s="182"/>
      <c r="V44" s="182"/>
      <c r="W44" s="182"/>
      <c r="X44" s="182"/>
      <c r="Y44" s="182"/>
      <c r="Z44" s="182"/>
      <c r="AA44" s="182"/>
      <c r="AB44" s="182"/>
      <c r="AC44" s="182"/>
      <c r="AD44" s="181" t="s">
        <v>1689</v>
      </c>
      <c r="AE44" s="182"/>
      <c r="AF44" s="184">
        <v>45968</v>
      </c>
      <c r="AG44" s="182"/>
      <c r="AH44" s="188" t="s">
        <v>1690</v>
      </c>
      <c r="AI44" s="186"/>
      <c r="AJ44" s="9"/>
    </row>
    <row r="45" spans="1:36" ht="12.75" x14ac:dyDescent="0.2">
      <c r="A45" s="91"/>
      <c r="B45" s="101">
        <f t="shared" si="3"/>
        <v>35</v>
      </c>
      <c r="C45" s="181" t="s">
        <v>851</v>
      </c>
      <c r="D45" s="182"/>
      <c r="E45" s="102" t="str">
        <f>IFERROR(VLOOKUP(C45,'설문지 응답 시트1'!C:H,2,FALSE),"")</f>
        <v>남</v>
      </c>
      <c r="F45" s="181" t="str">
        <f>IFERROR(VLOOKUP(C45,'설문지 응답 시트1'!C:H,3,FALSE),"")</f>
        <v>35살(91년생)</v>
      </c>
      <c r="G45" s="182"/>
      <c r="H45" s="181" t="str">
        <f>IFERROR(VLOOKUP(C45,'설문지 응답 시트1'!C:H,6,FALSE),"")</f>
        <v>여주대 관광중국어</v>
      </c>
      <c r="I45" s="182"/>
      <c r="J45" s="182"/>
      <c r="K45" s="182"/>
      <c r="L45" s="102">
        <v>92</v>
      </c>
      <c r="M45" s="183" t="s">
        <v>1621</v>
      </c>
      <c r="N45" s="182"/>
      <c r="O45" s="103"/>
      <c r="P45" s="103"/>
      <c r="Q45" s="104"/>
      <c r="R45" s="187" t="s">
        <v>1691</v>
      </c>
      <c r="S45" s="182"/>
      <c r="T45" s="182"/>
      <c r="U45" s="182"/>
      <c r="V45" s="182"/>
      <c r="W45" s="182"/>
      <c r="X45" s="182"/>
      <c r="Y45" s="182"/>
      <c r="Z45" s="182"/>
      <c r="AA45" s="182"/>
      <c r="AB45" s="182"/>
      <c r="AC45" s="182"/>
      <c r="AD45" s="181" t="s">
        <v>1689</v>
      </c>
      <c r="AE45" s="182"/>
      <c r="AF45" s="184">
        <v>45971</v>
      </c>
      <c r="AG45" s="182"/>
      <c r="AH45" s="188" t="s">
        <v>1692</v>
      </c>
      <c r="AI45" s="186"/>
      <c r="AJ45" s="9"/>
    </row>
    <row r="46" spans="1:36" ht="12.75" x14ac:dyDescent="0.2">
      <c r="A46" s="91"/>
      <c r="B46" s="101">
        <f t="shared" si="3"/>
        <v>36</v>
      </c>
      <c r="C46" s="181" t="s">
        <v>138</v>
      </c>
      <c r="D46" s="182"/>
      <c r="E46" s="102" t="str">
        <f>IFERROR(VLOOKUP(C46,'설문지 응답 시트1'!C:H,2,FALSE),"")</f>
        <v>남</v>
      </c>
      <c r="F46" s="181" t="str">
        <f>IFERROR(VLOOKUP(C46,'설문지 응답 시트1'!C:H,3,FALSE),"")</f>
        <v>28살(98년생)</v>
      </c>
      <c r="G46" s="182"/>
      <c r="H46" s="181" t="str">
        <f>IFERROR(VLOOKUP(C46,'설문지 응답 시트1'!C:H,6,FALSE),"")</f>
        <v>신안산대학교 사무비서행정과</v>
      </c>
      <c r="I46" s="182"/>
      <c r="J46" s="182"/>
      <c r="K46" s="182"/>
      <c r="L46" s="105">
        <v>60</v>
      </c>
      <c r="M46" s="183" t="s">
        <v>1621</v>
      </c>
      <c r="N46" s="182"/>
      <c r="O46" s="103"/>
      <c r="P46" s="103"/>
      <c r="Q46" s="104"/>
      <c r="R46" s="187" t="s">
        <v>1693</v>
      </c>
      <c r="S46" s="182"/>
      <c r="T46" s="182"/>
      <c r="U46" s="182"/>
      <c r="V46" s="182"/>
      <c r="W46" s="182"/>
      <c r="X46" s="182"/>
      <c r="Y46" s="182"/>
      <c r="Z46" s="182"/>
      <c r="AA46" s="182"/>
      <c r="AB46" s="182"/>
      <c r="AC46" s="182"/>
      <c r="AD46" s="181" t="s">
        <v>1625</v>
      </c>
      <c r="AE46" s="182"/>
      <c r="AF46" s="184">
        <v>45971</v>
      </c>
      <c r="AG46" s="182"/>
      <c r="AH46" s="188" t="s">
        <v>1694</v>
      </c>
      <c r="AI46" s="186"/>
      <c r="AJ46" s="9"/>
    </row>
    <row r="47" spans="1:36" ht="12.75" x14ac:dyDescent="0.2">
      <c r="A47" s="91"/>
      <c r="B47" s="101">
        <f t="shared" si="3"/>
        <v>37</v>
      </c>
      <c r="C47" s="181" t="s">
        <v>641</v>
      </c>
      <c r="D47" s="182"/>
      <c r="E47" s="102" t="str">
        <f>IFERROR(VLOOKUP(C47,'설문지 응답 시트1'!C:H,2,FALSE),"")</f>
        <v>여</v>
      </c>
      <c r="F47" s="181" t="str">
        <f>IFERROR(VLOOKUP(C47,'설문지 응답 시트1'!C:H,3,FALSE),"")</f>
        <v>31(94년생)</v>
      </c>
      <c r="G47" s="182"/>
      <c r="H47" s="181" t="str">
        <f>IFERROR(VLOOKUP(C47,'설문지 응답 시트1'!C:H,6,FALSE),"")</f>
        <v>청강문화산업대학교/만화창작</v>
      </c>
      <c r="I47" s="182"/>
      <c r="J47" s="182"/>
      <c r="K47" s="182"/>
      <c r="L47" s="102">
        <v>69</v>
      </c>
      <c r="M47" s="183" t="s">
        <v>1607</v>
      </c>
      <c r="N47" s="182"/>
      <c r="O47" s="103"/>
      <c r="P47" s="103"/>
      <c r="Q47" s="104"/>
      <c r="R47" s="187" t="s">
        <v>1695</v>
      </c>
      <c r="S47" s="182"/>
      <c r="T47" s="182"/>
      <c r="U47" s="182"/>
      <c r="V47" s="182"/>
      <c r="W47" s="182"/>
      <c r="X47" s="182"/>
      <c r="Y47" s="182"/>
      <c r="Z47" s="182"/>
      <c r="AA47" s="182"/>
      <c r="AB47" s="182"/>
      <c r="AC47" s="182"/>
      <c r="AD47" s="181" t="s">
        <v>1625</v>
      </c>
      <c r="AE47" s="182"/>
      <c r="AF47" s="184">
        <v>45971</v>
      </c>
      <c r="AG47" s="182"/>
      <c r="AH47" s="188" t="s">
        <v>1696</v>
      </c>
      <c r="AI47" s="186"/>
      <c r="AJ47" s="9"/>
    </row>
    <row r="48" spans="1:36" ht="12.75" x14ac:dyDescent="0.2">
      <c r="A48" s="91"/>
      <c r="B48" s="101">
        <f t="shared" si="3"/>
        <v>38</v>
      </c>
      <c r="C48" s="181" t="s">
        <v>981</v>
      </c>
      <c r="D48" s="182"/>
      <c r="E48" s="102" t="str">
        <f>IFERROR(VLOOKUP(C48,'설문지 응답 시트1'!C:H,2,FALSE),"")</f>
        <v>남</v>
      </c>
      <c r="F48" s="181" t="str">
        <f>IFERROR(VLOOKUP(C48,'설문지 응답 시트1'!C:H,3,FALSE),"")</f>
        <v>32살(94년생)</v>
      </c>
      <c r="G48" s="182"/>
      <c r="H48" s="181" t="str">
        <f>IFERROR(VLOOKUP(C48,'설문지 응답 시트1'!C:H,6,FALSE),"")</f>
        <v>남성고등학교 / 전공 없음</v>
      </c>
      <c r="I48" s="182"/>
      <c r="J48" s="182"/>
      <c r="K48" s="182"/>
      <c r="L48" s="105">
        <v>88</v>
      </c>
      <c r="M48" s="183" t="s">
        <v>1607</v>
      </c>
      <c r="N48" s="182"/>
      <c r="O48" s="103"/>
      <c r="P48" s="103"/>
      <c r="Q48" s="104"/>
      <c r="R48" s="187" t="s">
        <v>1697</v>
      </c>
      <c r="S48" s="182"/>
      <c r="T48" s="182"/>
      <c r="U48" s="182"/>
      <c r="V48" s="182"/>
      <c r="W48" s="182"/>
      <c r="X48" s="182"/>
      <c r="Y48" s="182"/>
      <c r="Z48" s="182"/>
      <c r="AA48" s="182"/>
      <c r="AB48" s="182"/>
      <c r="AC48" s="182"/>
      <c r="AD48" s="181" t="s">
        <v>1625</v>
      </c>
      <c r="AE48" s="182"/>
      <c r="AF48" s="184">
        <v>45971</v>
      </c>
      <c r="AG48" s="182"/>
      <c r="AH48" s="188" t="s">
        <v>1698</v>
      </c>
      <c r="AI48" s="186"/>
      <c r="AJ48" s="9"/>
    </row>
    <row r="49" spans="1:36" ht="12.75" x14ac:dyDescent="0.2">
      <c r="A49" s="91"/>
      <c r="B49" s="101">
        <f t="shared" si="3"/>
        <v>39</v>
      </c>
      <c r="C49" s="181" t="s">
        <v>579</v>
      </c>
      <c r="D49" s="182"/>
      <c r="E49" s="102" t="str">
        <f>IFERROR(VLOOKUP(C49,'설문지 응답 시트1'!C:H,2,FALSE),"")</f>
        <v>남</v>
      </c>
      <c r="F49" s="181" t="str">
        <f>IFERROR(VLOOKUP(C49,'설문지 응답 시트1'!C:H,3,FALSE),"")</f>
        <v>26살(00년생)</v>
      </c>
      <c r="G49" s="182"/>
      <c r="H49" s="181" t="str">
        <f>IFERROR(VLOOKUP(C49,'설문지 응답 시트1'!C:H,6,FALSE),"")</f>
        <v>경일대학교, 경영학과</v>
      </c>
      <c r="I49" s="182"/>
      <c r="J49" s="182"/>
      <c r="K49" s="182"/>
      <c r="L49" s="102">
        <v>47</v>
      </c>
      <c r="M49" s="183" t="s">
        <v>1607</v>
      </c>
      <c r="N49" s="182"/>
      <c r="O49" s="103"/>
      <c r="P49" s="103"/>
      <c r="Q49" s="104"/>
      <c r="R49" s="187" t="s">
        <v>1699</v>
      </c>
      <c r="S49" s="182"/>
      <c r="T49" s="182"/>
      <c r="U49" s="182"/>
      <c r="V49" s="182"/>
      <c r="W49" s="182"/>
      <c r="X49" s="182"/>
      <c r="Y49" s="182"/>
      <c r="Z49" s="182"/>
      <c r="AA49" s="182"/>
      <c r="AB49" s="182"/>
      <c r="AC49" s="182"/>
      <c r="AD49" s="181" t="s">
        <v>1689</v>
      </c>
      <c r="AE49" s="182"/>
      <c r="AF49" s="184">
        <v>45972</v>
      </c>
      <c r="AG49" s="182"/>
      <c r="AH49" s="188" t="s">
        <v>1700</v>
      </c>
      <c r="AI49" s="186"/>
      <c r="AJ49" s="9"/>
    </row>
    <row r="50" spans="1:36" ht="12.75" x14ac:dyDescent="0.2">
      <c r="A50" s="91"/>
      <c r="B50" s="101">
        <f t="shared" si="3"/>
        <v>40</v>
      </c>
      <c r="C50" s="181" t="s">
        <v>67</v>
      </c>
      <c r="D50" s="182"/>
      <c r="E50" s="102" t="str">
        <f>IFERROR(VLOOKUP(C50,'설문지 응답 시트1'!C:H,2,FALSE),"")</f>
        <v>남</v>
      </c>
      <c r="F50" s="181" t="str">
        <f>IFERROR(VLOOKUP(C50,'설문지 응답 시트1'!C:H,3,FALSE),"")</f>
        <v>26살(00년생)</v>
      </c>
      <c r="G50" s="182"/>
      <c r="H50" s="181" t="str">
        <f>IFERROR(VLOOKUP(C50,'설문지 응답 시트1'!C:H,6,FALSE),"")</f>
        <v>인문계 &gt; 위탁 제과제빵과</v>
      </c>
      <c r="I50" s="182"/>
      <c r="J50" s="182"/>
      <c r="K50" s="182"/>
      <c r="L50" s="105">
        <v>73</v>
      </c>
      <c r="M50" s="183" t="s">
        <v>1621</v>
      </c>
      <c r="N50" s="182"/>
      <c r="O50" s="103"/>
      <c r="P50" s="103"/>
      <c r="Q50" s="104"/>
      <c r="R50" s="187" t="s">
        <v>1701</v>
      </c>
      <c r="S50" s="182"/>
      <c r="T50" s="182"/>
      <c r="U50" s="182"/>
      <c r="V50" s="182"/>
      <c r="W50" s="182"/>
      <c r="X50" s="182"/>
      <c r="Y50" s="182"/>
      <c r="Z50" s="182"/>
      <c r="AA50" s="182"/>
      <c r="AB50" s="182"/>
      <c r="AC50" s="182"/>
      <c r="AD50" s="181" t="s">
        <v>1689</v>
      </c>
      <c r="AE50" s="182"/>
      <c r="AF50" s="184">
        <v>45972</v>
      </c>
      <c r="AG50" s="182"/>
      <c r="AH50" s="188" t="s">
        <v>1702</v>
      </c>
      <c r="AI50" s="186"/>
      <c r="AJ50" s="9"/>
    </row>
    <row r="51" spans="1:36" ht="12.75" x14ac:dyDescent="0.2">
      <c r="A51" s="91"/>
      <c r="B51" s="101">
        <f t="shared" si="3"/>
        <v>41</v>
      </c>
      <c r="C51" s="181" t="s">
        <v>1041</v>
      </c>
      <c r="D51" s="182"/>
      <c r="E51" s="102" t="str">
        <f>IFERROR(VLOOKUP(C51,'설문지 응답 시트1'!C:H,2,FALSE),"")</f>
        <v>남</v>
      </c>
      <c r="F51" s="181" t="str">
        <f>IFERROR(VLOOKUP(C51,'설문지 응답 시트1'!C:H,3,FALSE),"")</f>
        <v>33살(93년생)</v>
      </c>
      <c r="G51" s="182"/>
      <c r="H51" s="181" t="str">
        <f>IFERROR(VLOOKUP(C51,'설문지 응답 시트1'!C:H,6,FALSE),"")</f>
        <v>동명대학교 / 경영학과</v>
      </c>
      <c r="I51" s="182"/>
      <c r="J51" s="182"/>
      <c r="K51" s="182"/>
      <c r="L51" s="102">
        <v>95</v>
      </c>
      <c r="M51" s="183" t="s">
        <v>1607</v>
      </c>
      <c r="N51" s="182"/>
      <c r="O51" s="103"/>
      <c r="P51" s="103"/>
      <c r="Q51" s="104"/>
      <c r="R51" s="187" t="s">
        <v>1703</v>
      </c>
      <c r="S51" s="182"/>
      <c r="T51" s="182"/>
      <c r="U51" s="182"/>
      <c r="V51" s="182"/>
      <c r="W51" s="182"/>
      <c r="X51" s="182"/>
      <c r="Y51" s="182"/>
      <c r="Z51" s="182"/>
      <c r="AA51" s="182"/>
      <c r="AB51" s="182"/>
      <c r="AC51" s="182"/>
      <c r="AD51" s="181" t="s">
        <v>1689</v>
      </c>
      <c r="AE51" s="182"/>
      <c r="AF51" s="184">
        <v>45974</v>
      </c>
      <c r="AG51" s="182"/>
      <c r="AH51" s="188" t="s">
        <v>1704</v>
      </c>
      <c r="AI51" s="186"/>
      <c r="AJ51" s="9"/>
    </row>
    <row r="52" spans="1:36" ht="12.75" x14ac:dyDescent="0.2">
      <c r="A52" s="91"/>
      <c r="B52" s="101">
        <f t="shared" si="3"/>
        <v>42</v>
      </c>
      <c r="C52" s="181" t="s">
        <v>338</v>
      </c>
      <c r="D52" s="182"/>
      <c r="E52" s="102" t="str">
        <f>IFERROR(VLOOKUP(C52,'설문지 응답 시트1'!C:H,2,FALSE),"")</f>
        <v>남</v>
      </c>
      <c r="F52" s="181" t="str">
        <f>IFERROR(VLOOKUP(C52,'설문지 응답 시트1'!C:H,3,FALSE),"")</f>
        <v>24살(02년생)</v>
      </c>
      <c r="G52" s="182"/>
      <c r="H52" s="181" t="str">
        <f>IFERROR(VLOOKUP(C52,'설문지 응답 시트1'!C:H,6,FALSE),"")</f>
        <v>광주대학교 경찰행정학과</v>
      </c>
      <c r="I52" s="182"/>
      <c r="J52" s="182"/>
      <c r="K52" s="182"/>
      <c r="L52" s="105">
        <v>75</v>
      </c>
      <c r="M52" s="183" t="s">
        <v>1607</v>
      </c>
      <c r="N52" s="182"/>
      <c r="O52" s="103"/>
      <c r="P52" s="103"/>
      <c r="Q52" s="104"/>
      <c r="R52" s="187" t="s">
        <v>1705</v>
      </c>
      <c r="S52" s="182"/>
      <c r="T52" s="182"/>
      <c r="U52" s="182"/>
      <c r="V52" s="182"/>
      <c r="W52" s="182"/>
      <c r="X52" s="182"/>
      <c r="Y52" s="182"/>
      <c r="Z52" s="182"/>
      <c r="AA52" s="182"/>
      <c r="AB52" s="182"/>
      <c r="AC52" s="182"/>
      <c r="AD52" s="181" t="s">
        <v>1689</v>
      </c>
      <c r="AE52" s="182"/>
      <c r="AF52" s="184">
        <v>45975</v>
      </c>
      <c r="AG52" s="182"/>
      <c r="AH52" s="188" t="s">
        <v>1706</v>
      </c>
      <c r="AI52" s="186"/>
      <c r="AJ52" s="9"/>
    </row>
    <row r="53" spans="1:36" ht="12.75" x14ac:dyDescent="0.2">
      <c r="A53" s="91"/>
      <c r="B53" s="101">
        <f t="shared" si="3"/>
        <v>43</v>
      </c>
      <c r="C53" s="181" t="s">
        <v>1423</v>
      </c>
      <c r="D53" s="182"/>
      <c r="E53" s="102" t="str">
        <f>IFERROR(VLOOKUP(C53,'설문지 응답 시트1'!C:H,2,FALSE),"")</f>
        <v>남</v>
      </c>
      <c r="F53" s="181" t="str">
        <f>IFERROR(VLOOKUP(C53,'설문지 응답 시트1'!C:H,3,FALSE),"")</f>
        <v>27세(98년생)</v>
      </c>
      <c r="G53" s="182"/>
      <c r="H53" s="181" t="str">
        <f>IFERROR(VLOOKUP(C53,'설문지 응답 시트1'!C:H,6,FALSE),"")</f>
        <v>대진대학교(생물학과, 휴학)</v>
      </c>
      <c r="I53" s="182"/>
      <c r="J53" s="182"/>
      <c r="K53" s="182"/>
      <c r="L53" s="102">
        <v>65</v>
      </c>
      <c r="M53" s="183" t="s">
        <v>1607</v>
      </c>
      <c r="N53" s="182"/>
      <c r="O53" s="103"/>
      <c r="P53" s="103"/>
      <c r="Q53" s="104"/>
      <c r="R53" s="187" t="s">
        <v>1707</v>
      </c>
      <c r="S53" s="182"/>
      <c r="T53" s="182"/>
      <c r="U53" s="182"/>
      <c r="V53" s="182"/>
      <c r="W53" s="182"/>
      <c r="X53" s="182"/>
      <c r="Y53" s="182"/>
      <c r="Z53" s="182"/>
      <c r="AA53" s="182"/>
      <c r="AB53" s="182"/>
      <c r="AC53" s="182"/>
      <c r="AD53" s="181" t="s">
        <v>1689</v>
      </c>
      <c r="AE53" s="182"/>
      <c r="AF53" s="184">
        <v>45975</v>
      </c>
      <c r="AG53" s="182"/>
      <c r="AH53" s="188" t="s">
        <v>1708</v>
      </c>
      <c r="AI53" s="186"/>
      <c r="AJ53" s="9"/>
    </row>
    <row r="54" spans="1:36" ht="12.75" x14ac:dyDescent="0.2">
      <c r="A54" s="91"/>
      <c r="B54" s="101">
        <f t="shared" si="3"/>
        <v>44</v>
      </c>
      <c r="C54" s="181" t="s">
        <v>892</v>
      </c>
      <c r="D54" s="182"/>
      <c r="E54" s="102" t="str">
        <f>IFERROR(VLOOKUP(C54,'설문지 응답 시트1'!C:H,2,FALSE),"")</f>
        <v>남</v>
      </c>
      <c r="F54" s="181" t="str">
        <f>IFERROR(VLOOKUP(C54,'설문지 응답 시트1'!C:H,3,FALSE),"")</f>
        <v>33살(93년생)</v>
      </c>
      <c r="G54" s="182"/>
      <c r="H54" s="181" t="str">
        <f>IFERROR(VLOOKUP(C54,'설문지 응답 시트1'!C:H,6,FALSE),"")</f>
        <v>호서대학교 건축공학과</v>
      </c>
      <c r="I54" s="182"/>
      <c r="J54" s="182"/>
      <c r="K54" s="182"/>
      <c r="L54" s="105">
        <v>89</v>
      </c>
      <c r="M54" s="183" t="s">
        <v>1607</v>
      </c>
      <c r="N54" s="182"/>
      <c r="O54" s="103"/>
      <c r="P54" s="103"/>
      <c r="Q54" s="104"/>
      <c r="R54" s="187" t="s">
        <v>1709</v>
      </c>
      <c r="S54" s="182"/>
      <c r="T54" s="182"/>
      <c r="U54" s="182"/>
      <c r="V54" s="182"/>
      <c r="W54" s="182"/>
      <c r="X54" s="182"/>
      <c r="Y54" s="182"/>
      <c r="Z54" s="182"/>
      <c r="AA54" s="182"/>
      <c r="AB54" s="182"/>
      <c r="AC54" s="182"/>
      <c r="AD54" s="181" t="s">
        <v>1689</v>
      </c>
      <c r="AE54" s="182"/>
      <c r="AF54" s="184">
        <v>45975</v>
      </c>
      <c r="AG54" s="182"/>
      <c r="AH54" s="188" t="s">
        <v>1710</v>
      </c>
      <c r="AI54" s="186"/>
      <c r="AJ54" s="9"/>
    </row>
    <row r="55" spans="1:36" ht="12.75" x14ac:dyDescent="0.2">
      <c r="A55" s="91"/>
      <c r="B55" s="101">
        <f t="shared" si="3"/>
        <v>45</v>
      </c>
      <c r="C55" s="181" t="s">
        <v>103</v>
      </c>
      <c r="D55" s="182"/>
      <c r="E55" s="102" t="str">
        <f>IFERROR(VLOOKUP(C55,'설문지 응답 시트1'!C:H,2,FALSE),"")</f>
        <v>남</v>
      </c>
      <c r="F55" s="181" t="str">
        <f>IFERROR(VLOOKUP(C55,'설문지 응답 시트1'!C:H,3,FALSE),"")</f>
        <v>27살(99년생)</v>
      </c>
      <c r="G55" s="182"/>
      <c r="H55" s="181" t="str">
        <f>IFERROR(VLOOKUP(C55,'설문지 응답 시트1'!C:H,6,FALSE),"")</f>
        <v>장안대학교 게임컨텐츠과</v>
      </c>
      <c r="I55" s="182"/>
      <c r="J55" s="182"/>
      <c r="K55" s="182"/>
      <c r="L55" s="102">
        <v>67</v>
      </c>
      <c r="M55" s="183" t="s">
        <v>1607</v>
      </c>
      <c r="N55" s="182"/>
      <c r="O55" s="103"/>
      <c r="P55" s="103"/>
      <c r="Q55" s="104"/>
      <c r="R55" s="187" t="s">
        <v>1711</v>
      </c>
      <c r="S55" s="182"/>
      <c r="T55" s="182"/>
      <c r="U55" s="182"/>
      <c r="V55" s="182"/>
      <c r="W55" s="182"/>
      <c r="X55" s="182"/>
      <c r="Y55" s="182"/>
      <c r="Z55" s="182"/>
      <c r="AA55" s="182"/>
      <c r="AB55" s="182"/>
      <c r="AC55" s="182"/>
      <c r="AD55" s="181" t="s">
        <v>1625</v>
      </c>
      <c r="AE55" s="182"/>
      <c r="AF55" s="184">
        <v>45978</v>
      </c>
      <c r="AG55" s="182"/>
      <c r="AH55" s="188" t="s">
        <v>1712</v>
      </c>
      <c r="AI55" s="186"/>
      <c r="AJ55" s="9"/>
    </row>
    <row r="56" spans="1:36" ht="12.75" x14ac:dyDescent="0.2">
      <c r="A56" s="91"/>
      <c r="B56" s="101">
        <f t="shared" si="3"/>
        <v>46</v>
      </c>
      <c r="C56" s="181" t="s">
        <v>1327</v>
      </c>
      <c r="D56" s="182"/>
      <c r="E56" s="102" t="str">
        <f>IFERROR(VLOOKUP(C56,'설문지 응답 시트1'!C:H,2,FALSE),"")</f>
        <v>남</v>
      </c>
      <c r="F56" s="181" t="str">
        <f>IFERROR(VLOOKUP(C56,'설문지 응답 시트1'!C:H,3,FALSE),"")</f>
        <v>24살(02년생)</v>
      </c>
      <c r="G56" s="182"/>
      <c r="H56" s="181" t="str">
        <f>IFERROR(VLOOKUP(C56,'설문지 응답 시트1'!C:H,6,FALSE),"")</f>
        <v>부산대학교/경영학과</v>
      </c>
      <c r="I56" s="182"/>
      <c r="J56" s="182"/>
      <c r="K56" s="182"/>
      <c r="L56" s="105">
        <v>94</v>
      </c>
      <c r="M56" s="183" t="s">
        <v>1607</v>
      </c>
      <c r="N56" s="182"/>
      <c r="O56" s="103"/>
      <c r="P56" s="103"/>
      <c r="Q56" s="104"/>
      <c r="R56" s="187" t="s">
        <v>1713</v>
      </c>
      <c r="S56" s="182"/>
      <c r="T56" s="182"/>
      <c r="U56" s="182"/>
      <c r="V56" s="182"/>
      <c r="W56" s="182"/>
      <c r="X56" s="182"/>
      <c r="Y56" s="182"/>
      <c r="Z56" s="182"/>
      <c r="AA56" s="182"/>
      <c r="AB56" s="182"/>
      <c r="AC56" s="182"/>
      <c r="AD56" s="181" t="s">
        <v>1625</v>
      </c>
      <c r="AE56" s="182"/>
      <c r="AF56" s="184">
        <v>45978</v>
      </c>
      <c r="AG56" s="182"/>
      <c r="AH56" s="188" t="s">
        <v>1714</v>
      </c>
      <c r="AI56" s="186"/>
      <c r="AJ56" s="9"/>
    </row>
    <row r="57" spans="1:36" ht="12.75" x14ac:dyDescent="0.2">
      <c r="A57" s="91"/>
      <c r="B57" s="101">
        <f t="shared" si="3"/>
        <v>47</v>
      </c>
      <c r="C57" s="181" t="s">
        <v>666</v>
      </c>
      <c r="D57" s="182"/>
      <c r="E57" s="102" t="str">
        <f>IFERROR(VLOOKUP(C57,'설문지 응답 시트1'!C:H,2,FALSE),"")</f>
        <v>남</v>
      </c>
      <c r="F57" s="181" t="str">
        <f>IFERROR(VLOOKUP(C57,'설문지 응답 시트1'!C:H,3,FALSE),"")</f>
        <v>28살(98년생)</v>
      </c>
      <c r="G57" s="182"/>
      <c r="H57" s="181" t="str">
        <f>IFERROR(VLOOKUP(C57,'설문지 응답 시트1'!C:H,6,FALSE),"")</f>
        <v>미네소타 주립대학교 심리학과(전공), 통계학과(부전공)</v>
      </c>
      <c r="I57" s="182"/>
      <c r="J57" s="182"/>
      <c r="K57" s="182"/>
      <c r="L57" s="102">
        <v>95</v>
      </c>
      <c r="M57" s="183" t="s">
        <v>1607</v>
      </c>
      <c r="N57" s="182"/>
      <c r="O57" s="103"/>
      <c r="P57" s="103"/>
      <c r="Q57" s="104"/>
      <c r="R57" s="187" t="s">
        <v>1715</v>
      </c>
      <c r="S57" s="182"/>
      <c r="T57" s="182"/>
      <c r="U57" s="182"/>
      <c r="V57" s="182"/>
      <c r="W57" s="182"/>
      <c r="X57" s="182"/>
      <c r="Y57" s="182"/>
      <c r="Z57" s="182"/>
      <c r="AA57" s="182"/>
      <c r="AB57" s="182"/>
      <c r="AC57" s="182"/>
      <c r="AD57" s="181" t="s">
        <v>1689</v>
      </c>
      <c r="AE57" s="182"/>
      <c r="AF57" s="184">
        <v>45979</v>
      </c>
      <c r="AG57" s="182"/>
      <c r="AH57" s="188" t="s">
        <v>1716</v>
      </c>
      <c r="AI57" s="186"/>
      <c r="AJ57" s="9"/>
    </row>
    <row r="58" spans="1:36" ht="12.75" x14ac:dyDescent="0.2">
      <c r="A58" s="91"/>
      <c r="B58" s="101">
        <f t="shared" si="3"/>
        <v>48</v>
      </c>
      <c r="C58" s="181" t="s">
        <v>306</v>
      </c>
      <c r="D58" s="182"/>
      <c r="E58" s="102" t="str">
        <f>IFERROR(VLOOKUP(C58,'설문지 응답 시트1'!C:H,2,FALSE),"")</f>
        <v>여</v>
      </c>
      <c r="F58" s="181" t="str">
        <f>IFERROR(VLOOKUP(C58,'설문지 응답 시트1'!C:H,3,FALSE),"")</f>
        <v>24(02년생)</v>
      </c>
      <c r="G58" s="182"/>
      <c r="H58" s="181" t="str">
        <f>IFERROR(VLOOKUP(C58,'설문지 응답 시트1'!C:H,6,FALSE),"")</f>
        <v>컴퓨터공학과</v>
      </c>
      <c r="I58" s="182"/>
      <c r="J58" s="182"/>
      <c r="K58" s="182"/>
      <c r="L58" s="105">
        <v>94</v>
      </c>
      <c r="M58" s="183" t="s">
        <v>1607</v>
      </c>
      <c r="N58" s="182"/>
      <c r="O58" s="103"/>
      <c r="P58" s="103"/>
      <c r="Q58" s="104"/>
      <c r="R58" s="187" t="s">
        <v>1717</v>
      </c>
      <c r="S58" s="182"/>
      <c r="T58" s="182"/>
      <c r="U58" s="182"/>
      <c r="V58" s="182"/>
      <c r="W58" s="182"/>
      <c r="X58" s="182"/>
      <c r="Y58" s="182"/>
      <c r="Z58" s="182"/>
      <c r="AA58" s="182"/>
      <c r="AB58" s="182"/>
      <c r="AC58" s="182"/>
      <c r="AD58" s="181" t="s">
        <v>1689</v>
      </c>
      <c r="AE58" s="182"/>
      <c r="AF58" s="184">
        <v>45979</v>
      </c>
      <c r="AG58" s="182"/>
      <c r="AH58" s="188" t="s">
        <v>1718</v>
      </c>
      <c r="AI58" s="186"/>
      <c r="AJ58" s="9"/>
    </row>
    <row r="59" spans="1:36" ht="12.75" x14ac:dyDescent="0.2">
      <c r="A59" s="91"/>
      <c r="B59" s="101">
        <f t="shared" si="3"/>
        <v>49</v>
      </c>
      <c r="C59" s="181" t="s">
        <v>192</v>
      </c>
      <c r="D59" s="182"/>
      <c r="E59" s="102" t="str">
        <f>IFERROR(VLOOKUP(C59,'설문지 응답 시트1'!C:H,2,FALSE),"")</f>
        <v>남</v>
      </c>
      <c r="F59" s="181" t="str">
        <f>IFERROR(VLOOKUP(C59,'설문지 응답 시트1'!C:H,3,FALSE),"")</f>
        <v>32(94년생)</v>
      </c>
      <c r="G59" s="182"/>
      <c r="H59" s="181" t="str">
        <f>IFERROR(VLOOKUP(C59,'설문지 응답 시트1'!C:H,6,FALSE),"")</f>
        <v>인하대학교 고분자 공학과</v>
      </c>
      <c r="I59" s="182"/>
      <c r="J59" s="182"/>
      <c r="K59" s="182"/>
      <c r="L59" s="102">
        <v>82</v>
      </c>
      <c r="M59" s="183" t="s">
        <v>1621</v>
      </c>
      <c r="N59" s="182"/>
      <c r="O59" s="103"/>
      <c r="P59" s="103"/>
      <c r="Q59" s="104"/>
      <c r="R59" s="187" t="s">
        <v>1719</v>
      </c>
      <c r="S59" s="182"/>
      <c r="T59" s="182"/>
      <c r="U59" s="182"/>
      <c r="V59" s="182"/>
      <c r="W59" s="182"/>
      <c r="X59" s="182"/>
      <c r="Y59" s="182"/>
      <c r="Z59" s="182"/>
      <c r="AA59" s="182"/>
      <c r="AB59" s="182"/>
      <c r="AC59" s="182"/>
      <c r="AD59" s="181" t="s">
        <v>1619</v>
      </c>
      <c r="AE59" s="182"/>
      <c r="AF59" s="184">
        <v>45980</v>
      </c>
      <c r="AG59" s="182"/>
      <c r="AH59" s="188" t="s">
        <v>1720</v>
      </c>
      <c r="AI59" s="186"/>
      <c r="AJ59" s="9"/>
    </row>
    <row r="60" spans="1:36" ht="12.75" x14ac:dyDescent="0.2">
      <c r="A60" s="91"/>
      <c r="B60" s="101">
        <f t="shared" si="3"/>
        <v>50</v>
      </c>
      <c r="C60" s="181" t="s">
        <v>1400</v>
      </c>
      <c r="D60" s="182"/>
      <c r="E60" s="102" t="str">
        <f>IFERROR(VLOOKUP(C60,'설문지 응답 시트1'!C:H,2,FALSE),"")</f>
        <v>남</v>
      </c>
      <c r="F60" s="181" t="str">
        <f>IFERROR(VLOOKUP(C60,'설문지 응답 시트1'!C:H,3,FALSE),"")</f>
        <v>28살(98년생)</v>
      </c>
      <c r="G60" s="182"/>
      <c r="H60" s="181" t="str">
        <f>IFERROR(VLOOKUP(C60,'설문지 응답 시트1'!C:H,6,FALSE),"")</f>
        <v>서올호서직업전문학교 애니메이션&amp;게임그래픽과</v>
      </c>
      <c r="I60" s="182"/>
      <c r="J60" s="182"/>
      <c r="K60" s="182"/>
      <c r="L60" s="102">
        <v>61</v>
      </c>
      <c r="M60" s="183" t="s">
        <v>1607</v>
      </c>
      <c r="N60" s="182"/>
      <c r="O60" s="103"/>
      <c r="P60" s="103"/>
      <c r="Q60" s="104"/>
      <c r="R60" s="187" t="s">
        <v>1721</v>
      </c>
      <c r="S60" s="182"/>
      <c r="T60" s="182"/>
      <c r="U60" s="182"/>
      <c r="V60" s="182"/>
      <c r="W60" s="182"/>
      <c r="X60" s="182"/>
      <c r="Y60" s="182"/>
      <c r="Z60" s="182"/>
      <c r="AA60" s="182"/>
      <c r="AB60" s="182"/>
      <c r="AC60" s="182"/>
      <c r="AD60" s="181" t="s">
        <v>1689</v>
      </c>
      <c r="AE60" s="182"/>
      <c r="AF60" s="184">
        <v>45980</v>
      </c>
      <c r="AG60" s="182"/>
      <c r="AH60" s="188" t="s">
        <v>1722</v>
      </c>
      <c r="AI60" s="186"/>
      <c r="AJ60" s="9"/>
    </row>
    <row r="61" spans="1:36" ht="12.75" x14ac:dyDescent="0.2">
      <c r="A61" s="91"/>
      <c r="B61" s="101">
        <f t="shared" si="3"/>
        <v>51</v>
      </c>
      <c r="C61" s="181" t="s">
        <v>685</v>
      </c>
      <c r="D61" s="182"/>
      <c r="E61" s="102" t="str">
        <f>IFERROR(VLOOKUP(C61,'설문지 응답 시트1'!C:H,2,FALSE),"")</f>
        <v>남</v>
      </c>
      <c r="F61" s="181" t="str">
        <f>IFERROR(VLOOKUP(C61,'설문지 응답 시트1'!C:H,3,FALSE),"")</f>
        <v>29살(97년생)</v>
      </c>
      <c r="G61" s="182"/>
      <c r="H61" s="181" t="str">
        <f>IFERROR(VLOOKUP(C61,'설문지 응답 시트1'!C:H,6,FALSE),"")</f>
        <v>인제대학교 신문방송학과</v>
      </c>
      <c r="I61" s="182"/>
      <c r="J61" s="182"/>
      <c r="K61" s="182"/>
      <c r="L61" s="105">
        <v>66</v>
      </c>
      <c r="M61" s="183" t="s">
        <v>1621</v>
      </c>
      <c r="N61" s="182"/>
      <c r="O61" s="103"/>
      <c r="P61" s="103"/>
      <c r="Q61" s="104"/>
      <c r="R61" s="187" t="s">
        <v>1723</v>
      </c>
      <c r="S61" s="182"/>
      <c r="T61" s="182"/>
      <c r="U61" s="182"/>
      <c r="V61" s="182"/>
      <c r="W61" s="182"/>
      <c r="X61" s="182"/>
      <c r="Y61" s="182"/>
      <c r="Z61" s="182"/>
      <c r="AA61" s="182"/>
      <c r="AB61" s="182"/>
      <c r="AC61" s="182"/>
      <c r="AD61" s="181" t="s">
        <v>1689</v>
      </c>
      <c r="AE61" s="182"/>
      <c r="AF61" s="184">
        <v>45982</v>
      </c>
      <c r="AG61" s="182"/>
      <c r="AH61" s="188" t="s">
        <v>1724</v>
      </c>
      <c r="AI61" s="186"/>
      <c r="AJ61" s="9"/>
    </row>
    <row r="62" spans="1:36" ht="12.75" x14ac:dyDescent="0.2">
      <c r="A62" s="91"/>
      <c r="B62" s="101">
        <f t="shared" si="3"/>
        <v>52</v>
      </c>
      <c r="C62" s="181" t="s">
        <v>622</v>
      </c>
      <c r="D62" s="182"/>
      <c r="E62" s="102" t="str">
        <f>IFERROR(VLOOKUP(C62,'설문지 응답 시트1'!C:H,2,FALSE),"")</f>
        <v>남</v>
      </c>
      <c r="F62" s="181" t="str">
        <f>IFERROR(VLOOKUP(C62,'설문지 응답 시트1'!C:H,3,FALSE),"")</f>
        <v>39(87년생)</v>
      </c>
      <c r="G62" s="182"/>
      <c r="H62" s="181" t="str">
        <f>IFERROR(VLOOKUP(C62,'설문지 응답 시트1'!C:H,6,FALSE),"")</f>
        <v>건양대학교, 임상병리학</v>
      </c>
      <c r="I62" s="182"/>
      <c r="J62" s="182"/>
      <c r="K62" s="182"/>
      <c r="L62" s="102">
        <v>68</v>
      </c>
      <c r="M62" s="183" t="s">
        <v>1621</v>
      </c>
      <c r="N62" s="182"/>
      <c r="O62" s="103"/>
      <c r="P62" s="103"/>
      <c r="Q62" s="104"/>
      <c r="R62" s="187" t="s">
        <v>1725</v>
      </c>
      <c r="S62" s="182"/>
      <c r="T62" s="182"/>
      <c r="U62" s="182"/>
      <c r="V62" s="182"/>
      <c r="W62" s="182"/>
      <c r="X62" s="182"/>
      <c r="Y62" s="182"/>
      <c r="Z62" s="182"/>
      <c r="AA62" s="182"/>
      <c r="AB62" s="182"/>
      <c r="AC62" s="182"/>
      <c r="AD62" s="181" t="s">
        <v>1689</v>
      </c>
      <c r="AE62" s="182"/>
      <c r="AF62" s="184">
        <v>45982</v>
      </c>
      <c r="AG62" s="182"/>
      <c r="AH62" s="188" t="s">
        <v>1726</v>
      </c>
      <c r="AI62" s="186"/>
      <c r="AJ62" s="9"/>
    </row>
    <row r="63" spans="1:36" ht="12.75" x14ac:dyDescent="0.2">
      <c r="A63" s="91"/>
      <c r="B63" s="101">
        <f t="shared" si="3"/>
        <v>53</v>
      </c>
      <c r="C63" s="181" t="s">
        <v>757</v>
      </c>
      <c r="D63" s="182"/>
      <c r="E63" s="102" t="str">
        <f>IFERROR(VLOOKUP(C63,'설문지 응답 시트1'!C:H,2,FALSE),"")</f>
        <v>남</v>
      </c>
      <c r="F63" s="181" t="str">
        <f>IFERROR(VLOOKUP(C63,'설문지 응답 시트1'!C:H,3,FALSE),"")</f>
        <v>26살</v>
      </c>
      <c r="G63" s="182"/>
      <c r="H63" s="181" t="str">
        <f>IFERROR(VLOOKUP(C63,'설문지 응답 시트1'!C:H,6,FALSE),"")</f>
        <v>여주대학교 / 보건행정</v>
      </c>
      <c r="I63" s="182"/>
      <c r="J63" s="182"/>
      <c r="K63" s="182"/>
      <c r="L63" s="105">
        <v>68</v>
      </c>
      <c r="M63" s="183" t="s">
        <v>1621</v>
      </c>
      <c r="N63" s="182"/>
      <c r="O63" s="103"/>
      <c r="P63" s="103"/>
      <c r="Q63" s="104"/>
      <c r="R63" s="187" t="s">
        <v>1727</v>
      </c>
      <c r="S63" s="182"/>
      <c r="T63" s="182"/>
      <c r="U63" s="182"/>
      <c r="V63" s="182"/>
      <c r="W63" s="182"/>
      <c r="X63" s="182"/>
      <c r="Y63" s="182"/>
      <c r="Z63" s="182"/>
      <c r="AA63" s="182"/>
      <c r="AB63" s="182"/>
      <c r="AC63" s="182"/>
      <c r="AD63" s="181" t="s">
        <v>1689</v>
      </c>
      <c r="AE63" s="182"/>
      <c r="AF63" s="184">
        <v>45985</v>
      </c>
      <c r="AG63" s="182"/>
      <c r="AH63" s="188" t="s">
        <v>1728</v>
      </c>
      <c r="AI63" s="186"/>
      <c r="AJ63" s="9"/>
    </row>
    <row r="64" spans="1:36" ht="12.75" x14ac:dyDescent="0.2">
      <c r="A64" s="91"/>
      <c r="B64" s="101">
        <f t="shared" si="3"/>
        <v>54</v>
      </c>
      <c r="C64" s="181" t="s">
        <v>568</v>
      </c>
      <c r="D64" s="182"/>
      <c r="E64" s="102" t="str">
        <f>IFERROR(VLOOKUP(C64,'설문지 응답 시트1'!C:H,2,FALSE),"")</f>
        <v>남</v>
      </c>
      <c r="F64" s="181" t="str">
        <f>IFERROR(VLOOKUP(C64,'설문지 응답 시트1'!C:H,3,FALSE),"")</f>
        <v>만 21살(03년생)</v>
      </c>
      <c r="G64" s="182"/>
      <c r="H64" s="181" t="str">
        <f>IFERROR(VLOOKUP(C64,'설문지 응답 시트1'!C:H,6,FALSE),"")</f>
        <v>전남대학교 글로벌비즈니스학부</v>
      </c>
      <c r="I64" s="182"/>
      <c r="J64" s="182"/>
      <c r="K64" s="182"/>
      <c r="L64" s="102">
        <v>68</v>
      </c>
      <c r="M64" s="183" t="s">
        <v>1607</v>
      </c>
      <c r="N64" s="182"/>
      <c r="O64" s="103"/>
      <c r="P64" s="103"/>
      <c r="Q64" s="104"/>
      <c r="R64" s="187" t="s">
        <v>1729</v>
      </c>
      <c r="S64" s="182"/>
      <c r="T64" s="182"/>
      <c r="U64" s="182"/>
      <c r="V64" s="182"/>
      <c r="W64" s="182"/>
      <c r="X64" s="182"/>
      <c r="Y64" s="182"/>
      <c r="Z64" s="182"/>
      <c r="AA64" s="182"/>
      <c r="AB64" s="182"/>
      <c r="AC64" s="182"/>
      <c r="AD64" s="181" t="s">
        <v>1689</v>
      </c>
      <c r="AE64" s="182"/>
      <c r="AF64" s="184">
        <v>45985</v>
      </c>
      <c r="AG64" s="182"/>
      <c r="AH64" s="188" t="s">
        <v>1730</v>
      </c>
      <c r="AI64" s="186"/>
      <c r="AJ64" s="9"/>
    </row>
    <row r="65" spans="1:36" ht="12.75" x14ac:dyDescent="0.2">
      <c r="A65" s="91"/>
      <c r="B65" s="101">
        <f t="shared" si="3"/>
        <v>55</v>
      </c>
      <c r="C65" s="181" t="s">
        <v>436</v>
      </c>
      <c r="D65" s="182"/>
      <c r="E65" s="102" t="str">
        <f>IFERROR(VLOOKUP(C65,'설문지 응답 시트1'!C:H,2,FALSE),"")</f>
        <v>남</v>
      </c>
      <c r="F65" s="181" t="str">
        <f>IFERROR(VLOOKUP(C65,'설문지 응답 시트1'!C:H,3,FALSE),"")</f>
        <v>26살</v>
      </c>
      <c r="G65" s="182"/>
      <c r="H65" s="181" t="str">
        <f>IFERROR(VLOOKUP(C65,'설문지 응답 시트1'!C:H,6,FALSE),"")</f>
        <v>시각정보디자인</v>
      </c>
      <c r="I65" s="182"/>
      <c r="J65" s="182"/>
      <c r="K65" s="182"/>
      <c r="L65" s="105">
        <v>79</v>
      </c>
      <c r="M65" s="183" t="s">
        <v>1607</v>
      </c>
      <c r="N65" s="182"/>
      <c r="O65" s="103"/>
      <c r="P65" s="103"/>
      <c r="Q65" s="104"/>
      <c r="R65" s="187" t="s">
        <v>1731</v>
      </c>
      <c r="S65" s="182"/>
      <c r="T65" s="182"/>
      <c r="U65" s="182"/>
      <c r="V65" s="182"/>
      <c r="W65" s="182"/>
      <c r="X65" s="182"/>
      <c r="Y65" s="182"/>
      <c r="Z65" s="182"/>
      <c r="AA65" s="182"/>
      <c r="AB65" s="182"/>
      <c r="AC65" s="182"/>
      <c r="AD65" s="181" t="s">
        <v>1689</v>
      </c>
      <c r="AE65" s="182"/>
      <c r="AF65" s="184">
        <v>45985</v>
      </c>
      <c r="AG65" s="182"/>
      <c r="AH65" s="188" t="s">
        <v>1732</v>
      </c>
      <c r="AI65" s="186"/>
      <c r="AJ65" s="9"/>
    </row>
    <row r="66" spans="1:36" ht="12.75" x14ac:dyDescent="0.2">
      <c r="A66" s="91"/>
      <c r="B66" s="101">
        <f t="shared" si="3"/>
        <v>56</v>
      </c>
      <c r="C66" s="181" t="s">
        <v>749</v>
      </c>
      <c r="D66" s="182"/>
      <c r="E66" s="102" t="str">
        <f>IFERROR(VLOOKUP(C66,'설문지 응답 시트1'!C:H,2,FALSE),"")</f>
        <v>남</v>
      </c>
      <c r="F66" s="181" t="str">
        <f>IFERROR(VLOOKUP(C66,'설문지 응답 시트1'!C:H,3,FALSE),"")</f>
        <v>33살(92년생)</v>
      </c>
      <c r="G66" s="182"/>
      <c r="H66" s="181" t="str">
        <f>IFERROR(VLOOKUP(C66,'설문지 응답 시트1'!C:H,6,FALSE),"")</f>
        <v>NAIT DMIT</v>
      </c>
      <c r="I66" s="182"/>
      <c r="J66" s="182"/>
      <c r="K66" s="182"/>
      <c r="L66" s="102">
        <v>83</v>
      </c>
      <c r="M66" s="183" t="s">
        <v>1607</v>
      </c>
      <c r="N66" s="182"/>
      <c r="O66" s="103"/>
      <c r="P66" s="103"/>
      <c r="Q66" s="104"/>
      <c r="R66" s="187" t="s">
        <v>1733</v>
      </c>
      <c r="S66" s="182"/>
      <c r="T66" s="182"/>
      <c r="U66" s="182"/>
      <c r="V66" s="182"/>
      <c r="W66" s="182"/>
      <c r="X66" s="182"/>
      <c r="Y66" s="182"/>
      <c r="Z66" s="182"/>
      <c r="AA66" s="182"/>
      <c r="AB66" s="182"/>
      <c r="AC66" s="182"/>
      <c r="AD66" s="181" t="s">
        <v>1689</v>
      </c>
      <c r="AE66" s="182"/>
      <c r="AF66" s="184">
        <v>45985</v>
      </c>
      <c r="AG66" s="182"/>
      <c r="AH66" s="188" t="s">
        <v>1734</v>
      </c>
      <c r="AI66" s="186"/>
      <c r="AJ66" s="9"/>
    </row>
    <row r="67" spans="1:36" ht="12.75" x14ac:dyDescent="0.2">
      <c r="A67" s="91"/>
      <c r="B67" s="101">
        <f t="shared" si="3"/>
        <v>57</v>
      </c>
      <c r="C67" s="181" t="s">
        <v>842</v>
      </c>
      <c r="D67" s="182"/>
      <c r="E67" s="102" t="str">
        <f>IFERROR(VLOOKUP(C67,'설문지 응답 시트1'!C:H,2,FALSE),"")</f>
        <v>여</v>
      </c>
      <c r="F67" s="181" t="str">
        <f>IFERROR(VLOOKUP(C67,'설문지 응답 시트1'!C:H,3,FALSE),"")</f>
        <v>25살(01년생)</v>
      </c>
      <c r="G67" s="182"/>
      <c r="H67" s="181" t="str">
        <f>IFERROR(VLOOKUP(C67,'설문지 응답 시트1'!C:H,6,FALSE),"")</f>
        <v>을지대학교 유아교육학과</v>
      </c>
      <c r="I67" s="182"/>
      <c r="J67" s="182"/>
      <c r="K67" s="182"/>
      <c r="L67" s="105">
        <v>80</v>
      </c>
      <c r="M67" s="183" t="s">
        <v>1607</v>
      </c>
      <c r="N67" s="182"/>
      <c r="O67" s="103"/>
      <c r="P67" s="103"/>
      <c r="Q67" s="104"/>
      <c r="R67" s="187" t="s">
        <v>1735</v>
      </c>
      <c r="S67" s="182"/>
      <c r="T67" s="182"/>
      <c r="U67" s="182"/>
      <c r="V67" s="182"/>
      <c r="W67" s="182"/>
      <c r="X67" s="182"/>
      <c r="Y67" s="182"/>
      <c r="Z67" s="182"/>
      <c r="AA67" s="182"/>
      <c r="AB67" s="182"/>
      <c r="AC67" s="182"/>
      <c r="AD67" s="181" t="s">
        <v>1689</v>
      </c>
      <c r="AE67" s="182"/>
      <c r="AF67" s="184">
        <v>45986</v>
      </c>
      <c r="AG67" s="182"/>
      <c r="AH67" s="188" t="s">
        <v>1736</v>
      </c>
      <c r="AI67" s="186"/>
      <c r="AJ67" s="9"/>
    </row>
    <row r="68" spans="1:36" ht="12.75" x14ac:dyDescent="0.2">
      <c r="A68" s="91"/>
      <c r="B68" s="101">
        <f t="shared" si="3"/>
        <v>58</v>
      </c>
      <c r="C68" s="181" t="s">
        <v>548</v>
      </c>
      <c r="D68" s="182"/>
      <c r="E68" s="102" t="str">
        <f>IFERROR(VLOOKUP(C68,'설문지 응답 시트1'!C:H,2,FALSE),"")</f>
        <v>남</v>
      </c>
      <c r="F68" s="181" t="str">
        <f>IFERROR(VLOOKUP(C68,'설문지 응답 시트1'!C:H,3,FALSE),"")</f>
        <v>28살(98년생)</v>
      </c>
      <c r="G68" s="182"/>
      <c r="H68" s="181" t="str">
        <f>IFERROR(VLOOKUP(C68,'설문지 응답 시트1'!C:H,6,FALSE),"")</f>
        <v>명지전문대학 정보통신공학과</v>
      </c>
      <c r="I68" s="182"/>
      <c r="J68" s="182"/>
      <c r="K68" s="182"/>
      <c r="L68" s="102">
        <v>87</v>
      </c>
      <c r="M68" s="183" t="s">
        <v>1607</v>
      </c>
      <c r="N68" s="182"/>
      <c r="O68" s="103"/>
      <c r="P68" s="103"/>
      <c r="Q68" s="104"/>
      <c r="R68" s="187" t="s">
        <v>1737</v>
      </c>
      <c r="S68" s="182"/>
      <c r="T68" s="182"/>
      <c r="U68" s="182"/>
      <c r="V68" s="182"/>
      <c r="W68" s="182"/>
      <c r="X68" s="182"/>
      <c r="Y68" s="182"/>
      <c r="Z68" s="182"/>
      <c r="AA68" s="182"/>
      <c r="AB68" s="182"/>
      <c r="AC68" s="182"/>
      <c r="AD68" s="181" t="s">
        <v>1689</v>
      </c>
      <c r="AE68" s="182"/>
      <c r="AF68" s="184">
        <v>45986</v>
      </c>
      <c r="AG68" s="182"/>
      <c r="AH68" s="188" t="s">
        <v>1738</v>
      </c>
      <c r="AI68" s="186"/>
      <c r="AJ68" s="9"/>
    </row>
    <row r="69" spans="1:36" ht="12.75" x14ac:dyDescent="0.2">
      <c r="A69" s="91"/>
      <c r="B69" s="101">
        <f t="shared" si="3"/>
        <v>59</v>
      </c>
      <c r="C69" s="181" t="s">
        <v>448</v>
      </c>
      <c r="D69" s="182"/>
      <c r="E69" s="102" t="str">
        <f>IFERROR(VLOOKUP(C69,'설문지 응답 시트1'!C:H,2,FALSE),"")</f>
        <v>남</v>
      </c>
      <c r="F69" s="181" t="str">
        <f>IFERROR(VLOOKUP(C69,'설문지 응답 시트1'!C:H,3,FALSE),"")</f>
        <v>27살(99년생)</v>
      </c>
      <c r="G69" s="182"/>
      <c r="H69" s="181" t="str">
        <f>IFERROR(VLOOKUP(C69,'설문지 응답 시트1'!C:H,6,FALSE),"")</f>
        <v>하얼빈공업대학교 컴퓨터공학과</v>
      </c>
      <c r="I69" s="182"/>
      <c r="J69" s="182"/>
      <c r="K69" s="182"/>
      <c r="L69" s="105">
        <v>89</v>
      </c>
      <c r="M69" s="183" t="s">
        <v>1607</v>
      </c>
      <c r="N69" s="182"/>
      <c r="O69" s="103"/>
      <c r="P69" s="103"/>
      <c r="Q69" s="104"/>
      <c r="R69" s="187" t="s">
        <v>1739</v>
      </c>
      <c r="S69" s="182"/>
      <c r="T69" s="182"/>
      <c r="U69" s="182"/>
      <c r="V69" s="182"/>
      <c r="W69" s="182"/>
      <c r="X69" s="182"/>
      <c r="Y69" s="182"/>
      <c r="Z69" s="182"/>
      <c r="AA69" s="182"/>
      <c r="AB69" s="182"/>
      <c r="AC69" s="182"/>
      <c r="AD69" s="181" t="s">
        <v>1689</v>
      </c>
      <c r="AE69" s="182"/>
      <c r="AF69" s="184">
        <v>45987</v>
      </c>
      <c r="AG69" s="182"/>
      <c r="AH69" s="188" t="s">
        <v>1740</v>
      </c>
      <c r="AI69" s="186"/>
      <c r="AJ69" s="9"/>
    </row>
    <row r="70" spans="1:36" ht="12.75" x14ac:dyDescent="0.2">
      <c r="A70" s="91"/>
      <c r="B70" s="101">
        <f t="shared" si="3"/>
        <v>60</v>
      </c>
      <c r="C70" s="181" t="s">
        <v>1082</v>
      </c>
      <c r="D70" s="182"/>
      <c r="E70" s="102" t="str">
        <f>IFERROR(VLOOKUP(C70,'설문지 응답 시트1'!C:H,2,FALSE),"")</f>
        <v>남</v>
      </c>
      <c r="F70" s="181" t="str">
        <f>IFERROR(VLOOKUP(C70,'설문지 응답 시트1'!C:H,3,FALSE),"")</f>
        <v>25살(00년생)</v>
      </c>
      <c r="G70" s="182"/>
      <c r="H70" s="181" t="str">
        <f>IFERROR(VLOOKUP(C70,'설문지 응답 시트1'!C:H,6,FALSE),"")</f>
        <v>고려대(세종) 문화콘텐츠전공</v>
      </c>
      <c r="I70" s="182"/>
      <c r="J70" s="182"/>
      <c r="K70" s="182"/>
      <c r="L70" s="102">
        <v>63</v>
      </c>
      <c r="M70" s="183" t="s">
        <v>1607</v>
      </c>
      <c r="N70" s="182"/>
      <c r="O70" s="103"/>
      <c r="P70" s="103"/>
      <c r="Q70" s="104"/>
      <c r="R70" s="187" t="s">
        <v>1741</v>
      </c>
      <c r="S70" s="182"/>
      <c r="T70" s="182"/>
      <c r="U70" s="182"/>
      <c r="V70" s="182"/>
      <c r="W70" s="182"/>
      <c r="X70" s="182"/>
      <c r="Y70" s="182"/>
      <c r="Z70" s="182"/>
      <c r="AA70" s="182"/>
      <c r="AB70" s="182"/>
      <c r="AC70" s="182"/>
      <c r="AD70" s="181" t="s">
        <v>1689</v>
      </c>
      <c r="AE70" s="182"/>
      <c r="AF70" s="184">
        <v>45987</v>
      </c>
      <c r="AG70" s="182"/>
      <c r="AH70" s="188" t="s">
        <v>1742</v>
      </c>
      <c r="AI70" s="186"/>
      <c r="AJ70" s="9"/>
    </row>
    <row r="71" spans="1:36" ht="12.75" x14ac:dyDescent="0.2">
      <c r="A71" s="91"/>
      <c r="B71" s="101">
        <f t="shared" si="3"/>
        <v>61</v>
      </c>
      <c r="C71" s="181" t="s">
        <v>590</v>
      </c>
      <c r="D71" s="182"/>
      <c r="E71" s="102" t="str">
        <f>IFERROR(VLOOKUP(C71,'설문지 응답 시트1'!C:H,2,FALSE),"")</f>
        <v>여</v>
      </c>
      <c r="F71" s="181" t="str">
        <f>IFERROR(VLOOKUP(C71,'설문지 응답 시트1'!C:H,3,FALSE),"")</f>
        <v>27살(99년생)</v>
      </c>
      <c r="G71" s="182"/>
      <c r="H71" s="181" t="str">
        <f>IFERROR(VLOOKUP(C71,'설문지 응답 시트1'!C:H,6,FALSE),"")</f>
        <v>백석대학교 국어국문학 전공</v>
      </c>
      <c r="I71" s="182"/>
      <c r="J71" s="182"/>
      <c r="K71" s="182"/>
      <c r="L71" s="105">
        <v>81</v>
      </c>
      <c r="M71" s="183" t="s">
        <v>1621</v>
      </c>
      <c r="N71" s="182"/>
      <c r="O71" s="103"/>
      <c r="P71" s="103"/>
      <c r="Q71" s="104"/>
      <c r="R71" s="187" t="s">
        <v>1743</v>
      </c>
      <c r="S71" s="182"/>
      <c r="T71" s="182"/>
      <c r="U71" s="182"/>
      <c r="V71" s="182"/>
      <c r="W71" s="182"/>
      <c r="X71" s="182"/>
      <c r="Y71" s="182"/>
      <c r="Z71" s="182"/>
      <c r="AA71" s="182"/>
      <c r="AB71" s="182"/>
      <c r="AC71" s="182"/>
      <c r="AD71" s="181" t="s">
        <v>1689</v>
      </c>
      <c r="AE71" s="182"/>
      <c r="AF71" s="184">
        <v>45987</v>
      </c>
      <c r="AG71" s="182"/>
      <c r="AH71" s="188" t="s">
        <v>1744</v>
      </c>
      <c r="AI71" s="186"/>
      <c r="AJ71" s="9"/>
    </row>
    <row r="72" spans="1:36" ht="12.75" x14ac:dyDescent="0.2">
      <c r="A72" s="91"/>
      <c r="B72" s="101">
        <f t="shared" si="3"/>
        <v>62</v>
      </c>
      <c r="C72" s="181" t="s">
        <v>1189</v>
      </c>
      <c r="D72" s="182"/>
      <c r="E72" s="102" t="str">
        <f>IFERROR(VLOOKUP(C72,'설문지 응답 시트1'!C:H,2,FALSE),"")</f>
        <v>남</v>
      </c>
      <c r="F72" s="181" t="str">
        <f>IFERROR(VLOOKUP(C72,'설문지 응답 시트1'!C:H,3,FALSE),"")</f>
        <v>25세 (00년생)</v>
      </c>
      <c r="G72" s="182"/>
      <c r="H72" s="181" t="str">
        <f>IFERROR(VLOOKUP(C72,'설문지 응답 시트1'!C:H,6,FALSE),"")</f>
        <v>계명대학교 실용음악음향학과 사운드아트 전공</v>
      </c>
      <c r="I72" s="182"/>
      <c r="J72" s="182"/>
      <c r="K72" s="182"/>
      <c r="L72" s="102">
        <v>75</v>
      </c>
      <c r="M72" s="183" t="s">
        <v>1607</v>
      </c>
      <c r="N72" s="182"/>
      <c r="O72" s="103"/>
      <c r="P72" s="103"/>
      <c r="Q72" s="104"/>
      <c r="R72" s="187" t="s">
        <v>1745</v>
      </c>
      <c r="S72" s="182"/>
      <c r="T72" s="182"/>
      <c r="U72" s="182"/>
      <c r="V72" s="182"/>
      <c r="W72" s="182"/>
      <c r="X72" s="182"/>
      <c r="Y72" s="182"/>
      <c r="Z72" s="182"/>
      <c r="AA72" s="182"/>
      <c r="AB72" s="182"/>
      <c r="AC72" s="182"/>
      <c r="AD72" s="181" t="s">
        <v>1689</v>
      </c>
      <c r="AE72" s="182"/>
      <c r="AF72" s="184">
        <v>45987</v>
      </c>
      <c r="AG72" s="182"/>
      <c r="AH72" s="188" t="s">
        <v>1746</v>
      </c>
      <c r="AI72" s="186"/>
      <c r="AJ72" s="9"/>
    </row>
    <row r="73" spans="1:36" ht="12.75" x14ac:dyDescent="0.2">
      <c r="A73" s="91"/>
      <c r="B73" s="101">
        <f t="shared" si="3"/>
        <v>63</v>
      </c>
      <c r="C73" s="181" t="s">
        <v>600</v>
      </c>
      <c r="D73" s="182"/>
      <c r="E73" s="102" t="str">
        <f>IFERROR(VLOOKUP(C73,'설문지 응답 시트1'!C:H,2,FALSE),"")</f>
        <v>남</v>
      </c>
      <c r="F73" s="181" t="str">
        <f>IFERROR(VLOOKUP(C73,'설문지 응답 시트1'!C:H,3,FALSE),"")</f>
        <v>34 (91년생)</v>
      </c>
      <c r="G73" s="182"/>
      <c r="H73" s="181" t="str">
        <f>IFERROR(VLOOKUP(C73,'설문지 응답 시트1'!C:H,6,FALSE),"")</f>
        <v>한국게임과학고 프로그래밍</v>
      </c>
      <c r="I73" s="182"/>
      <c r="J73" s="182"/>
      <c r="K73" s="182"/>
      <c r="L73" s="105">
        <v>88</v>
      </c>
      <c r="M73" s="183" t="s">
        <v>1607</v>
      </c>
      <c r="N73" s="182"/>
      <c r="O73" s="103"/>
      <c r="P73" s="103"/>
      <c r="Q73" s="104"/>
      <c r="R73" s="187" t="s">
        <v>1747</v>
      </c>
      <c r="S73" s="182"/>
      <c r="T73" s="182"/>
      <c r="U73" s="182"/>
      <c r="V73" s="182"/>
      <c r="W73" s="182"/>
      <c r="X73" s="182"/>
      <c r="Y73" s="182"/>
      <c r="Z73" s="182"/>
      <c r="AA73" s="182"/>
      <c r="AB73" s="182"/>
      <c r="AC73" s="182"/>
      <c r="AD73" s="181" t="s">
        <v>1689</v>
      </c>
      <c r="AE73" s="182"/>
      <c r="AF73" s="184">
        <v>45989</v>
      </c>
      <c r="AG73" s="182"/>
      <c r="AH73" s="188" t="s">
        <v>1748</v>
      </c>
      <c r="AI73" s="186"/>
      <c r="AJ73" s="9"/>
    </row>
    <row r="74" spans="1:36" ht="12.75" x14ac:dyDescent="0.2">
      <c r="A74" s="91"/>
      <c r="B74" s="101">
        <f t="shared" si="3"/>
        <v>64</v>
      </c>
      <c r="C74" s="181" t="s">
        <v>1031</v>
      </c>
      <c r="D74" s="182"/>
      <c r="E74" s="102" t="str">
        <f>IFERROR(VLOOKUP(C74,'설문지 응답 시트1'!C:H,2,FALSE),"")</f>
        <v>여</v>
      </c>
      <c r="F74" s="181" t="str">
        <f>IFERROR(VLOOKUP(C74,'설문지 응답 시트1'!C:H,3,FALSE),"")</f>
        <v>38살(87년생)</v>
      </c>
      <c r="G74" s="182"/>
      <c r="H74" s="181" t="str">
        <f>IFERROR(VLOOKUP(C74,'설문지 응답 시트1'!C:H,6,FALSE),"")</f>
        <v>동아대 / 호텔컨벤션경영학과</v>
      </c>
      <c r="I74" s="182"/>
      <c r="J74" s="182"/>
      <c r="K74" s="182"/>
      <c r="L74" s="105">
        <v>83</v>
      </c>
      <c r="M74" s="183" t="s">
        <v>1607</v>
      </c>
      <c r="N74" s="182"/>
      <c r="O74" s="103"/>
      <c r="P74" s="103"/>
      <c r="Q74" s="104"/>
      <c r="R74" s="187" t="s">
        <v>1749</v>
      </c>
      <c r="S74" s="182"/>
      <c r="T74" s="182"/>
      <c r="U74" s="182"/>
      <c r="V74" s="182"/>
      <c r="W74" s="182"/>
      <c r="X74" s="182"/>
      <c r="Y74" s="182"/>
      <c r="Z74" s="182"/>
      <c r="AA74" s="182"/>
      <c r="AB74" s="182"/>
      <c r="AC74" s="182"/>
      <c r="AD74" s="181" t="s">
        <v>1689</v>
      </c>
      <c r="AE74" s="182"/>
      <c r="AF74" s="184">
        <v>45989</v>
      </c>
      <c r="AG74" s="182"/>
      <c r="AH74" s="188" t="s">
        <v>1750</v>
      </c>
      <c r="AI74" s="186"/>
      <c r="AJ74" s="9"/>
    </row>
    <row r="75" spans="1:36" ht="12.75" x14ac:dyDescent="0.2">
      <c r="A75" s="91"/>
      <c r="B75" s="101">
        <f t="shared" si="3"/>
        <v>65</v>
      </c>
      <c r="C75" s="181" t="s">
        <v>233</v>
      </c>
      <c r="D75" s="182"/>
      <c r="E75" s="102" t="str">
        <f>IFERROR(VLOOKUP(C75,'설문지 응답 시트1'!C:H,2,FALSE),"")</f>
        <v>남</v>
      </c>
      <c r="F75" s="181" t="str">
        <f>IFERROR(VLOOKUP(C75,'설문지 응답 시트1'!C:H,3,FALSE),"")</f>
        <v>24살(02년생)</v>
      </c>
      <c r="G75" s="182"/>
      <c r="H75" s="181" t="str">
        <f>IFERROR(VLOOKUP(C75,'설문지 응답 시트1'!C:H,6,FALSE),"")</f>
        <v>없음</v>
      </c>
      <c r="I75" s="182"/>
      <c r="J75" s="182"/>
      <c r="K75" s="182"/>
      <c r="L75" s="105">
        <v>80</v>
      </c>
      <c r="M75" s="183" t="s">
        <v>1621</v>
      </c>
      <c r="N75" s="182"/>
      <c r="O75" s="103"/>
      <c r="P75" s="103"/>
      <c r="Q75" s="104"/>
      <c r="R75" s="187" t="s">
        <v>1751</v>
      </c>
      <c r="S75" s="182"/>
      <c r="T75" s="182"/>
      <c r="U75" s="182"/>
      <c r="V75" s="182"/>
      <c r="W75" s="182"/>
      <c r="X75" s="182"/>
      <c r="Y75" s="182"/>
      <c r="Z75" s="182"/>
      <c r="AA75" s="182"/>
      <c r="AB75" s="182"/>
      <c r="AC75" s="182"/>
      <c r="AD75" s="181" t="s">
        <v>1619</v>
      </c>
      <c r="AE75" s="182"/>
      <c r="AF75" s="184">
        <v>45992</v>
      </c>
      <c r="AG75" s="182"/>
      <c r="AH75" s="188" t="s">
        <v>1752</v>
      </c>
      <c r="AI75" s="186"/>
      <c r="AJ75" s="9"/>
    </row>
    <row r="76" spans="1:36" ht="12.75" x14ac:dyDescent="0.2">
      <c r="A76" s="91"/>
      <c r="B76" s="101">
        <f t="shared" si="3"/>
        <v>66</v>
      </c>
      <c r="C76" s="181" t="s">
        <v>901</v>
      </c>
      <c r="D76" s="182"/>
      <c r="E76" s="102" t="str">
        <f>IFERROR(VLOOKUP(C76,'설문지 응답 시트1'!C:H,2,FALSE),"")</f>
        <v>남</v>
      </c>
      <c r="F76" s="181" t="str">
        <f>IFERROR(VLOOKUP(C76,'설문지 응답 시트1'!C:H,3,FALSE),"")</f>
        <v>26살(00년생)</v>
      </c>
      <c r="G76" s="182"/>
      <c r="H76" s="181" t="str">
        <f>IFERROR(VLOOKUP(C76,'설문지 응답 시트1'!C:H,6,FALSE),"")</f>
        <v>군산대학교/기계공학과</v>
      </c>
      <c r="I76" s="182"/>
      <c r="J76" s="182"/>
      <c r="K76" s="182"/>
      <c r="L76" s="105">
        <v>76</v>
      </c>
      <c r="M76" s="183" t="s">
        <v>1607</v>
      </c>
      <c r="N76" s="182"/>
      <c r="O76" s="103"/>
      <c r="P76" s="103"/>
      <c r="Q76" s="104"/>
      <c r="R76" s="187" t="s">
        <v>1753</v>
      </c>
      <c r="S76" s="182"/>
      <c r="T76" s="182"/>
      <c r="U76" s="182"/>
      <c r="V76" s="182"/>
      <c r="W76" s="182"/>
      <c r="X76" s="182"/>
      <c r="Y76" s="182"/>
      <c r="Z76" s="182"/>
      <c r="AA76" s="182"/>
      <c r="AB76" s="182"/>
      <c r="AC76" s="182"/>
      <c r="AD76" s="181" t="s">
        <v>1689</v>
      </c>
      <c r="AE76" s="182"/>
      <c r="AF76" s="184">
        <v>45992</v>
      </c>
      <c r="AG76" s="182"/>
      <c r="AH76" s="188" t="s">
        <v>1754</v>
      </c>
      <c r="AI76" s="186"/>
      <c r="AJ76" s="9"/>
    </row>
    <row r="77" spans="1:36" ht="12.75" x14ac:dyDescent="0.2">
      <c r="A77" s="91"/>
      <c r="B77" s="101">
        <f t="shared" si="3"/>
        <v>67</v>
      </c>
      <c r="C77" s="181" t="s">
        <v>253</v>
      </c>
      <c r="D77" s="182"/>
      <c r="E77" s="102" t="str">
        <f>IFERROR(VLOOKUP(C77,'설문지 응답 시트1'!C:H,2,FALSE),"")</f>
        <v>남</v>
      </c>
      <c r="F77" s="181" t="str">
        <f>IFERROR(VLOOKUP(C77,'설문지 응답 시트1'!C:H,3,FALSE),"")</f>
        <v>만 28살(97년생)</v>
      </c>
      <c r="G77" s="182"/>
      <c r="H77" s="181" t="str">
        <f>IFERROR(VLOOKUP(C77,'설문지 응답 시트1'!C:H,6,FALSE),"")</f>
        <v>한국외국어대학교 일본어전공 (방송 영상 뉴미디어 이중전공)</v>
      </c>
      <c r="I77" s="182"/>
      <c r="J77" s="182"/>
      <c r="K77" s="182"/>
      <c r="L77" s="105">
        <v>88</v>
      </c>
      <c r="M77" s="183" t="s">
        <v>1607</v>
      </c>
      <c r="N77" s="182"/>
      <c r="O77" s="103"/>
      <c r="P77" s="103"/>
      <c r="Q77" s="104"/>
      <c r="R77" s="187" t="s">
        <v>1755</v>
      </c>
      <c r="S77" s="182"/>
      <c r="T77" s="182"/>
      <c r="U77" s="182"/>
      <c r="V77" s="182"/>
      <c r="W77" s="182"/>
      <c r="X77" s="182"/>
      <c r="Y77" s="182"/>
      <c r="Z77" s="182"/>
      <c r="AA77" s="182"/>
      <c r="AB77" s="182"/>
      <c r="AC77" s="182"/>
      <c r="AD77" s="181" t="s">
        <v>1689</v>
      </c>
      <c r="AE77" s="182"/>
      <c r="AF77" s="184">
        <v>45992</v>
      </c>
      <c r="AG77" s="182"/>
      <c r="AH77" s="188" t="s">
        <v>1756</v>
      </c>
      <c r="AI77" s="186"/>
      <c r="AJ77" s="9"/>
    </row>
    <row r="78" spans="1:36" ht="12.75" x14ac:dyDescent="0.2">
      <c r="A78" s="91"/>
      <c r="B78" s="101">
        <f t="shared" si="3"/>
        <v>68</v>
      </c>
      <c r="C78" s="181" t="s">
        <v>489</v>
      </c>
      <c r="D78" s="182"/>
      <c r="E78" s="102" t="str">
        <f>IFERROR(VLOOKUP(C78,'설문지 응답 시트1'!C:H,2,FALSE),"")</f>
        <v>여</v>
      </c>
      <c r="F78" s="181" t="str">
        <f>IFERROR(VLOOKUP(C78,'설문지 응답 시트1'!C:H,3,FALSE),"")</f>
        <v>26살(00년생)</v>
      </c>
      <c r="G78" s="182"/>
      <c r="H78" s="181" t="str">
        <f>IFERROR(VLOOKUP(C78,'설문지 응답 시트1'!C:H,6,FALSE),"")</f>
        <v>연성대학교 시각디자인과</v>
      </c>
      <c r="I78" s="182"/>
      <c r="J78" s="182"/>
      <c r="K78" s="182"/>
      <c r="L78" s="105">
        <v>79</v>
      </c>
      <c r="M78" s="183" t="s">
        <v>1607</v>
      </c>
      <c r="N78" s="182"/>
      <c r="O78" s="103"/>
      <c r="P78" s="103"/>
      <c r="Q78" s="104"/>
      <c r="R78" s="187" t="s">
        <v>1757</v>
      </c>
      <c r="S78" s="182"/>
      <c r="T78" s="182"/>
      <c r="U78" s="182"/>
      <c r="V78" s="182"/>
      <c r="W78" s="182"/>
      <c r="X78" s="182"/>
      <c r="Y78" s="182"/>
      <c r="Z78" s="182"/>
      <c r="AA78" s="182"/>
      <c r="AB78" s="182"/>
      <c r="AC78" s="182"/>
      <c r="AD78" s="181" t="s">
        <v>1689</v>
      </c>
      <c r="AE78" s="182"/>
      <c r="AF78" s="184">
        <v>45992</v>
      </c>
      <c r="AG78" s="182"/>
      <c r="AH78" s="188" t="s">
        <v>1758</v>
      </c>
      <c r="AI78" s="186"/>
      <c r="AJ78" s="9"/>
    </row>
    <row r="79" spans="1:36" ht="12.75" x14ac:dyDescent="0.2">
      <c r="A79" s="91"/>
      <c r="B79" s="101">
        <f t="shared" si="3"/>
        <v>69</v>
      </c>
      <c r="C79" s="181" t="s">
        <v>1411</v>
      </c>
      <c r="D79" s="182"/>
      <c r="E79" s="102" t="str">
        <f>IFERROR(VLOOKUP(C79,'설문지 응답 시트1'!C:H,2,FALSE),"")</f>
        <v>남</v>
      </c>
      <c r="F79" s="181" t="str">
        <f>IFERROR(VLOOKUP(C79,'설문지 응답 시트1'!C:H,3,FALSE),"")</f>
        <v>28(98년생)</v>
      </c>
      <c r="G79" s="182"/>
      <c r="H79" s="181" t="str">
        <f>IFERROR(VLOOKUP(C79,'설문지 응답 시트1'!C:H,6,FALSE),"")</f>
        <v>완산고등학교 자연계</v>
      </c>
      <c r="I79" s="182"/>
      <c r="J79" s="182"/>
      <c r="K79" s="182"/>
      <c r="L79" s="105">
        <v>78</v>
      </c>
      <c r="M79" s="183" t="s">
        <v>1629</v>
      </c>
      <c r="N79" s="182"/>
      <c r="O79" s="103"/>
      <c r="P79" s="103"/>
      <c r="Q79" s="104"/>
      <c r="R79" s="187" t="s">
        <v>1759</v>
      </c>
      <c r="S79" s="182"/>
      <c r="T79" s="182"/>
      <c r="U79" s="182"/>
      <c r="V79" s="182"/>
      <c r="W79" s="182"/>
      <c r="X79" s="182"/>
      <c r="Y79" s="182"/>
      <c r="Z79" s="182"/>
      <c r="AA79" s="182"/>
      <c r="AB79" s="182"/>
      <c r="AC79" s="182"/>
      <c r="AD79" s="181" t="s">
        <v>1689</v>
      </c>
      <c r="AE79" s="182"/>
      <c r="AF79" s="184">
        <v>45993</v>
      </c>
      <c r="AG79" s="182"/>
      <c r="AH79" s="188" t="s">
        <v>1760</v>
      </c>
      <c r="AI79" s="186"/>
      <c r="AJ79" s="9"/>
    </row>
    <row r="80" spans="1:36" ht="12.75" x14ac:dyDescent="0.2">
      <c r="A80" s="91"/>
      <c r="B80" s="101">
        <f t="shared" si="3"/>
        <v>70</v>
      </c>
      <c r="C80" s="181" t="s">
        <v>401</v>
      </c>
      <c r="D80" s="182"/>
      <c r="E80" s="102" t="str">
        <f>IFERROR(VLOOKUP(C80,'설문지 응답 시트1'!C:H,2,FALSE),"")</f>
        <v>남</v>
      </c>
      <c r="F80" s="181">
        <f>IFERROR(VLOOKUP(C80,'설문지 응답 시트1'!C:H,3,FALSE),"")</f>
        <v>28</v>
      </c>
      <c r="G80" s="182"/>
      <c r="H80" s="181" t="str">
        <f>IFERROR(VLOOKUP(C80,'설문지 응답 시트1'!C:H,6,FALSE),"")</f>
        <v>서울호서직업전문학교 / 인테리어 디자인</v>
      </c>
      <c r="I80" s="182"/>
      <c r="J80" s="182"/>
      <c r="K80" s="182"/>
      <c r="L80" s="105">
        <v>64</v>
      </c>
      <c r="M80" s="183" t="s">
        <v>1621</v>
      </c>
      <c r="N80" s="182"/>
      <c r="O80" s="103"/>
      <c r="P80" s="103"/>
      <c r="Q80" s="104"/>
      <c r="R80" s="187" t="s">
        <v>1761</v>
      </c>
      <c r="S80" s="182"/>
      <c r="T80" s="182"/>
      <c r="U80" s="182"/>
      <c r="V80" s="182"/>
      <c r="W80" s="182"/>
      <c r="X80" s="182"/>
      <c r="Y80" s="182"/>
      <c r="Z80" s="182"/>
      <c r="AA80" s="182"/>
      <c r="AB80" s="182"/>
      <c r="AC80" s="182"/>
      <c r="AD80" s="181" t="s">
        <v>1689</v>
      </c>
      <c r="AE80" s="182"/>
      <c r="AF80" s="184">
        <v>45993</v>
      </c>
      <c r="AG80" s="182"/>
      <c r="AH80" s="188" t="s">
        <v>1762</v>
      </c>
      <c r="AI80" s="186"/>
      <c r="AJ80" s="9"/>
    </row>
    <row r="81" spans="1:36" ht="12.75" x14ac:dyDescent="0.2">
      <c r="A81" s="91"/>
      <c r="B81" s="101">
        <f t="shared" si="3"/>
        <v>71</v>
      </c>
      <c r="C81" s="181" t="s">
        <v>283</v>
      </c>
      <c r="D81" s="182"/>
      <c r="E81" s="102" t="str">
        <f>IFERROR(VLOOKUP(C81,'설문지 응답 시트1'!C:H,2,FALSE),"")</f>
        <v>남</v>
      </c>
      <c r="F81" s="181" t="str">
        <f>IFERROR(VLOOKUP(C81,'설문지 응답 시트1'!C:H,3,FALSE),"")</f>
        <v>30살(96년생)</v>
      </c>
      <c r="G81" s="182"/>
      <c r="H81" s="181" t="str">
        <f>IFERROR(VLOOKUP(C81,'설문지 응답 시트1'!C:H,6,FALSE),"")</f>
        <v>동신대,전기공학과</v>
      </c>
      <c r="I81" s="182"/>
      <c r="J81" s="182"/>
      <c r="K81" s="182"/>
      <c r="L81" s="105">
        <v>61</v>
      </c>
      <c r="M81" s="183" t="s">
        <v>1621</v>
      </c>
      <c r="N81" s="182"/>
      <c r="O81" s="103"/>
      <c r="P81" s="103"/>
      <c r="Q81" s="104"/>
      <c r="R81" s="187" t="s">
        <v>1763</v>
      </c>
      <c r="S81" s="182"/>
      <c r="T81" s="182"/>
      <c r="U81" s="182"/>
      <c r="V81" s="182"/>
      <c r="W81" s="182"/>
      <c r="X81" s="182"/>
      <c r="Y81" s="182"/>
      <c r="Z81" s="182"/>
      <c r="AA81" s="182"/>
      <c r="AB81" s="182"/>
      <c r="AC81" s="182"/>
      <c r="AD81" s="181" t="s">
        <v>1689</v>
      </c>
      <c r="AE81" s="182"/>
      <c r="AF81" s="184">
        <v>45993</v>
      </c>
      <c r="AG81" s="182"/>
      <c r="AH81" s="188" t="s">
        <v>1764</v>
      </c>
      <c r="AI81" s="186"/>
      <c r="AJ81" s="9"/>
    </row>
    <row r="82" spans="1:36" ht="12.75" x14ac:dyDescent="0.2">
      <c r="A82" s="91"/>
      <c r="B82" s="101">
        <f t="shared" si="3"/>
        <v>72</v>
      </c>
      <c r="C82" s="181" t="s">
        <v>1229</v>
      </c>
      <c r="D82" s="182"/>
      <c r="E82" s="102" t="str">
        <f>IFERROR(VLOOKUP(C82,'설문지 응답 시트1'!C:H,2,FALSE),"")</f>
        <v>남</v>
      </c>
      <c r="F82" s="181" t="str">
        <f>IFERROR(VLOOKUP(C82,'설문지 응답 시트1'!C:H,3,FALSE),"")</f>
        <v>29살(97년생)</v>
      </c>
      <c r="G82" s="182"/>
      <c r="H82" s="181" t="str">
        <f>IFERROR(VLOOKUP(C82,'설문지 응답 시트1'!C:H,6,FALSE),"")</f>
        <v>충청대학교 일본어 통역학과</v>
      </c>
      <c r="I82" s="182"/>
      <c r="J82" s="182"/>
      <c r="K82" s="182"/>
      <c r="L82" s="105">
        <v>84</v>
      </c>
      <c r="M82" s="183" t="s">
        <v>1607</v>
      </c>
      <c r="N82" s="182"/>
      <c r="O82" s="103"/>
      <c r="P82" s="103"/>
      <c r="Q82" s="104"/>
      <c r="R82" s="187" t="s">
        <v>1765</v>
      </c>
      <c r="S82" s="182"/>
      <c r="T82" s="182"/>
      <c r="U82" s="182"/>
      <c r="V82" s="182"/>
      <c r="W82" s="182"/>
      <c r="X82" s="182"/>
      <c r="Y82" s="182"/>
      <c r="Z82" s="182"/>
      <c r="AA82" s="182"/>
      <c r="AB82" s="182"/>
      <c r="AC82" s="182"/>
      <c r="AD82" s="181" t="s">
        <v>1689</v>
      </c>
      <c r="AE82" s="182"/>
      <c r="AF82" s="184">
        <v>45993</v>
      </c>
      <c r="AG82" s="182"/>
      <c r="AH82" s="188" t="s">
        <v>1766</v>
      </c>
      <c r="AI82" s="186"/>
      <c r="AJ82" s="9"/>
    </row>
    <row r="83" spans="1:36" ht="12.75" x14ac:dyDescent="0.2">
      <c r="A83" s="91"/>
      <c r="B83" s="101">
        <f t="shared" si="3"/>
        <v>73</v>
      </c>
      <c r="C83" s="181" t="s">
        <v>1022</v>
      </c>
      <c r="D83" s="182"/>
      <c r="E83" s="102" t="str">
        <f>IFERROR(VLOOKUP(C83,'설문지 응답 시트1'!C:H,2,FALSE),"")</f>
        <v>남</v>
      </c>
      <c r="F83" s="181" t="str">
        <f>IFERROR(VLOOKUP(C83,'설문지 응답 시트1'!C:H,3,FALSE),"")</f>
        <v>26살(00년생)</v>
      </c>
      <c r="G83" s="182"/>
      <c r="H83" s="181" t="str">
        <f>IFERROR(VLOOKUP(C83,'설문지 응답 시트1'!C:H,6,FALSE),"")</f>
        <v>수원대학교 융합화학산업학과</v>
      </c>
      <c r="I83" s="182"/>
      <c r="J83" s="182"/>
      <c r="K83" s="182"/>
      <c r="L83" s="105">
        <v>70</v>
      </c>
      <c r="M83" s="183" t="s">
        <v>1607</v>
      </c>
      <c r="N83" s="182"/>
      <c r="O83" s="103"/>
      <c r="P83" s="103"/>
      <c r="Q83" s="104"/>
      <c r="R83" s="187" t="s">
        <v>1767</v>
      </c>
      <c r="S83" s="182"/>
      <c r="T83" s="182"/>
      <c r="U83" s="182"/>
      <c r="V83" s="182"/>
      <c r="W83" s="182"/>
      <c r="X83" s="182"/>
      <c r="Y83" s="182"/>
      <c r="Z83" s="182"/>
      <c r="AA83" s="182"/>
      <c r="AB83" s="182"/>
      <c r="AC83" s="182"/>
      <c r="AD83" s="181" t="s">
        <v>1689</v>
      </c>
      <c r="AE83" s="182"/>
      <c r="AF83" s="184">
        <v>45994</v>
      </c>
      <c r="AG83" s="182"/>
      <c r="AH83" s="188" t="s">
        <v>1768</v>
      </c>
      <c r="AI83" s="186"/>
      <c r="AJ83" s="9"/>
    </row>
    <row r="84" spans="1:36" ht="12.75" x14ac:dyDescent="0.2">
      <c r="A84" s="91"/>
      <c r="B84" s="101">
        <f t="shared" si="3"/>
        <v>74</v>
      </c>
      <c r="C84" s="181" t="s">
        <v>1093</v>
      </c>
      <c r="D84" s="182"/>
      <c r="E84" s="102" t="str">
        <f>IFERROR(VLOOKUP(C84,'설문지 응답 시트1'!C:H,2,FALSE),"")</f>
        <v>남</v>
      </c>
      <c r="F84" s="181" t="str">
        <f>IFERROR(VLOOKUP(C84,'설문지 응답 시트1'!C:H,3,FALSE),"")</f>
        <v>26살(00년생)</v>
      </c>
      <c r="G84" s="182"/>
      <c r="H84" s="181" t="str">
        <f>IFERROR(VLOOKUP(C84,'설문지 응답 시트1'!C:H,6,FALSE),"")</f>
        <v>목원대학교 성악.뮤지컬학과</v>
      </c>
      <c r="I84" s="182"/>
      <c r="J84" s="182"/>
      <c r="K84" s="182"/>
      <c r="L84" s="105">
        <v>75</v>
      </c>
      <c r="M84" s="183" t="s">
        <v>1621</v>
      </c>
      <c r="N84" s="182"/>
      <c r="O84" s="103"/>
      <c r="P84" s="103"/>
      <c r="Q84" s="104"/>
      <c r="R84" s="187" t="s">
        <v>1769</v>
      </c>
      <c r="S84" s="182"/>
      <c r="T84" s="182"/>
      <c r="U84" s="182"/>
      <c r="V84" s="182"/>
      <c r="W84" s="182"/>
      <c r="X84" s="182"/>
      <c r="Y84" s="182"/>
      <c r="Z84" s="182"/>
      <c r="AA84" s="182"/>
      <c r="AB84" s="182"/>
      <c r="AC84" s="182"/>
      <c r="AD84" s="181" t="s">
        <v>1689</v>
      </c>
      <c r="AE84" s="182"/>
      <c r="AF84" s="184">
        <v>45994</v>
      </c>
      <c r="AG84" s="182"/>
      <c r="AH84" s="188" t="s">
        <v>1770</v>
      </c>
      <c r="AI84" s="186"/>
      <c r="AJ84" s="9"/>
    </row>
    <row r="85" spans="1:36" ht="12.75" x14ac:dyDescent="0.2">
      <c r="A85" s="91"/>
      <c r="B85" s="101">
        <f t="shared" si="3"/>
        <v>75</v>
      </c>
      <c r="C85" s="181" t="s">
        <v>961</v>
      </c>
      <c r="D85" s="182"/>
      <c r="E85" s="102" t="str">
        <f>IFERROR(VLOOKUP(C85,'설문지 응답 시트1'!C:H,2,FALSE),"")</f>
        <v>남</v>
      </c>
      <c r="F85" s="181" t="str">
        <f>IFERROR(VLOOKUP(C85,'설문지 응답 시트1'!C:H,3,FALSE),"")</f>
        <v>25살 (01년생)</v>
      </c>
      <c r="G85" s="182"/>
      <c r="H85" s="181" t="str">
        <f>IFERROR(VLOOKUP(C85,'설문지 응답 시트1'!C:H,6,FALSE),"")</f>
        <v>학점은행제 과정 컴퓨터공학과</v>
      </c>
      <c r="I85" s="182"/>
      <c r="J85" s="182"/>
      <c r="K85" s="182"/>
      <c r="L85" s="105">
        <v>97</v>
      </c>
      <c r="M85" s="183" t="s">
        <v>1607</v>
      </c>
      <c r="N85" s="182"/>
      <c r="O85" s="103"/>
      <c r="P85" s="103"/>
      <c r="Q85" s="104"/>
      <c r="R85" s="187" t="s">
        <v>1771</v>
      </c>
      <c r="S85" s="182"/>
      <c r="T85" s="182"/>
      <c r="U85" s="182"/>
      <c r="V85" s="182"/>
      <c r="W85" s="182"/>
      <c r="X85" s="182"/>
      <c r="Y85" s="182"/>
      <c r="Z85" s="182"/>
      <c r="AA85" s="182"/>
      <c r="AB85" s="182"/>
      <c r="AC85" s="182"/>
      <c r="AD85" s="181" t="s">
        <v>1689</v>
      </c>
      <c r="AE85" s="182"/>
      <c r="AF85" s="184">
        <v>45994</v>
      </c>
      <c r="AG85" s="182"/>
      <c r="AH85" s="188" t="s">
        <v>1772</v>
      </c>
      <c r="AI85" s="186"/>
      <c r="AJ85" s="9"/>
    </row>
    <row r="86" spans="1:36" ht="12.75" x14ac:dyDescent="0.2">
      <c r="A86" s="91"/>
      <c r="B86" s="101">
        <f t="shared" si="3"/>
        <v>76</v>
      </c>
      <c r="C86" s="181" t="s">
        <v>803</v>
      </c>
      <c r="D86" s="182"/>
      <c r="E86" s="102" t="str">
        <f>IFERROR(VLOOKUP(C86,'설문지 응답 시트1'!C:H,2,FALSE),"")</f>
        <v>여</v>
      </c>
      <c r="F86" s="181">
        <f>IFERROR(VLOOKUP(C86,'설문지 응답 시트1'!C:H,3,FALSE),"")</f>
        <v>36</v>
      </c>
      <c r="G86" s="182"/>
      <c r="H86" s="181" t="str">
        <f>IFERROR(VLOOKUP(C86,'설문지 응답 시트1'!C:H,6,FALSE),"")</f>
        <v>보건고등학교 간호조무사</v>
      </c>
      <c r="I86" s="182"/>
      <c r="J86" s="182"/>
      <c r="K86" s="182"/>
      <c r="L86" s="105">
        <v>47</v>
      </c>
      <c r="M86" s="183" t="s">
        <v>1629</v>
      </c>
      <c r="N86" s="182"/>
      <c r="O86" s="103"/>
      <c r="P86" s="103"/>
      <c r="Q86" s="104"/>
      <c r="R86" s="187" t="s">
        <v>1773</v>
      </c>
      <c r="S86" s="182"/>
      <c r="T86" s="182"/>
      <c r="U86" s="182"/>
      <c r="V86" s="182"/>
      <c r="W86" s="182"/>
      <c r="X86" s="182"/>
      <c r="Y86" s="182"/>
      <c r="Z86" s="182"/>
      <c r="AA86" s="182"/>
      <c r="AB86" s="182"/>
      <c r="AC86" s="182"/>
      <c r="AD86" s="181" t="s">
        <v>1619</v>
      </c>
      <c r="AE86" s="182"/>
      <c r="AF86" s="184">
        <v>45995</v>
      </c>
      <c r="AG86" s="182"/>
      <c r="AH86" s="188" t="s">
        <v>1774</v>
      </c>
      <c r="AI86" s="186"/>
      <c r="AJ86" s="9"/>
    </row>
    <row r="87" spans="1:36" ht="12.75" x14ac:dyDescent="0.2">
      <c r="A87" s="91"/>
      <c r="B87" s="101">
        <f t="shared" si="3"/>
        <v>77</v>
      </c>
      <c r="C87" s="181" t="s">
        <v>150</v>
      </c>
      <c r="D87" s="182"/>
      <c r="E87" s="102" t="str">
        <f>IFERROR(VLOOKUP(C87,'설문지 응답 시트1'!C:H,2,FALSE),"")</f>
        <v>남</v>
      </c>
      <c r="F87" s="181" t="str">
        <f>IFERROR(VLOOKUP(C87,'설문지 응답 시트1'!C:H,3,FALSE),"")</f>
        <v>22살(03년생)</v>
      </c>
      <c r="G87" s="182"/>
      <c r="H87" s="181" t="str">
        <f>IFERROR(VLOOKUP(C87,'설문지 응답 시트1'!C:H,6,FALSE),"")</f>
        <v>경남대학교입니다 전공은 컴퓨터공학부 입니다</v>
      </c>
      <c r="I87" s="182"/>
      <c r="J87" s="182"/>
      <c r="K87" s="182"/>
      <c r="L87" s="105">
        <v>39</v>
      </c>
      <c r="M87" s="183" t="s">
        <v>1629</v>
      </c>
      <c r="N87" s="182"/>
      <c r="O87" s="103"/>
      <c r="P87" s="103"/>
      <c r="Q87" s="104"/>
      <c r="R87" s="187" t="s">
        <v>1775</v>
      </c>
      <c r="S87" s="182"/>
      <c r="T87" s="182"/>
      <c r="U87" s="182"/>
      <c r="V87" s="182"/>
      <c r="W87" s="182"/>
      <c r="X87" s="182"/>
      <c r="Y87" s="182"/>
      <c r="Z87" s="182"/>
      <c r="AA87" s="182"/>
      <c r="AB87" s="182"/>
      <c r="AC87" s="182"/>
      <c r="AD87" s="181" t="s">
        <v>1625</v>
      </c>
      <c r="AE87" s="182"/>
      <c r="AF87" s="184">
        <v>45995</v>
      </c>
      <c r="AG87" s="182"/>
      <c r="AH87" s="188" t="s">
        <v>1776</v>
      </c>
      <c r="AI87" s="186"/>
      <c r="AJ87" s="9"/>
    </row>
    <row r="88" spans="1:36" ht="12.75" x14ac:dyDescent="0.2">
      <c r="A88" s="91"/>
      <c r="B88" s="101">
        <f t="shared" si="3"/>
        <v>78</v>
      </c>
      <c r="C88" s="181" t="s">
        <v>675</v>
      </c>
      <c r="D88" s="182"/>
      <c r="E88" s="102" t="str">
        <f>IFERROR(VLOOKUP(C88,'설문지 응답 시트1'!C:H,2,FALSE),"")</f>
        <v>남</v>
      </c>
      <c r="F88" s="181" t="str">
        <f>IFERROR(VLOOKUP(C88,'설문지 응답 시트1'!C:H,3,FALSE),"")</f>
        <v>31살(94년생)</v>
      </c>
      <c r="G88" s="182"/>
      <c r="H88" s="181" t="str">
        <f>IFERROR(VLOOKUP(C88,'설문지 응답 시트1'!C:H,6,FALSE),"")</f>
        <v>동아대 행정학과</v>
      </c>
      <c r="I88" s="182"/>
      <c r="J88" s="182"/>
      <c r="K88" s="182"/>
      <c r="L88" s="105">
        <v>88</v>
      </c>
      <c r="M88" s="183" t="s">
        <v>1607</v>
      </c>
      <c r="N88" s="182"/>
      <c r="O88" s="103"/>
      <c r="P88" s="103"/>
      <c r="Q88" s="104"/>
      <c r="R88" s="187" t="s">
        <v>1777</v>
      </c>
      <c r="S88" s="182"/>
      <c r="T88" s="182"/>
      <c r="U88" s="182"/>
      <c r="V88" s="182"/>
      <c r="W88" s="182"/>
      <c r="X88" s="182"/>
      <c r="Y88" s="182"/>
      <c r="Z88" s="182"/>
      <c r="AA88" s="182"/>
      <c r="AB88" s="182"/>
      <c r="AC88" s="182"/>
      <c r="AD88" s="181" t="s">
        <v>1689</v>
      </c>
      <c r="AE88" s="182"/>
      <c r="AF88" s="184">
        <v>45995</v>
      </c>
      <c r="AG88" s="182"/>
      <c r="AH88" s="188" t="s">
        <v>1778</v>
      </c>
      <c r="AI88" s="186"/>
      <c r="AJ88" s="9"/>
    </row>
    <row r="89" spans="1:36" ht="12.75" x14ac:dyDescent="0.2">
      <c r="A89" s="91"/>
      <c r="B89" s="101">
        <f t="shared" si="3"/>
        <v>79</v>
      </c>
      <c r="C89" s="181" t="s">
        <v>357</v>
      </c>
      <c r="D89" s="182"/>
      <c r="E89" s="102" t="str">
        <f>IFERROR(VLOOKUP(C89,'설문지 응답 시트1'!C:H,2,FALSE),"")</f>
        <v>남</v>
      </c>
      <c r="F89" s="181" t="str">
        <f>IFERROR(VLOOKUP(C89,'설문지 응답 시트1'!C:H,3,FALSE),"")</f>
        <v>28(98년생)</v>
      </c>
      <c r="G89" s="182"/>
      <c r="H89" s="181" t="str">
        <f>IFERROR(VLOOKUP(C89,'설문지 응답 시트1'!C:H,6,FALSE),"")</f>
        <v>메카트로닉스</v>
      </c>
      <c r="I89" s="182"/>
      <c r="J89" s="182"/>
      <c r="K89" s="182"/>
      <c r="L89" s="105">
        <v>57</v>
      </c>
      <c r="M89" s="183" t="s">
        <v>1607</v>
      </c>
      <c r="N89" s="182"/>
      <c r="O89" s="103"/>
      <c r="P89" s="103"/>
      <c r="Q89" s="104"/>
      <c r="R89" s="187" t="s">
        <v>1779</v>
      </c>
      <c r="S89" s="182"/>
      <c r="T89" s="182"/>
      <c r="U89" s="182"/>
      <c r="V89" s="182"/>
      <c r="W89" s="182"/>
      <c r="X89" s="182"/>
      <c r="Y89" s="182"/>
      <c r="Z89" s="182"/>
      <c r="AA89" s="182"/>
      <c r="AB89" s="182"/>
      <c r="AC89" s="182"/>
      <c r="AD89" s="181" t="s">
        <v>1689</v>
      </c>
      <c r="AE89" s="182"/>
      <c r="AF89" s="184">
        <v>45995</v>
      </c>
      <c r="AG89" s="182"/>
      <c r="AH89" s="188" t="s">
        <v>1780</v>
      </c>
      <c r="AI89" s="186"/>
      <c r="AJ89" s="9"/>
    </row>
    <row r="90" spans="1:36" ht="12.75" x14ac:dyDescent="0.2">
      <c r="A90" s="91"/>
      <c r="B90" s="101">
        <f t="shared" si="3"/>
        <v>80</v>
      </c>
      <c r="C90" s="181" t="s">
        <v>317</v>
      </c>
      <c r="D90" s="182"/>
      <c r="E90" s="102" t="str">
        <f>IFERROR(VLOOKUP(C90,'설문지 응답 시트1'!C:H,2,FALSE),"")</f>
        <v>남</v>
      </c>
      <c r="F90" s="181" t="str">
        <f>IFERROR(VLOOKUP(C90,'설문지 응답 시트1'!C:H,3,FALSE),"")</f>
        <v>25살(01년생)</v>
      </c>
      <c r="G90" s="182"/>
      <c r="H90" s="181" t="str">
        <f>IFERROR(VLOOKUP(C90,'설문지 응답 시트1'!C:H,6,FALSE),"")</f>
        <v>한신대학교 한중문화콘텐츠학과</v>
      </c>
      <c r="I90" s="182"/>
      <c r="J90" s="182"/>
      <c r="K90" s="182"/>
      <c r="L90" s="105">
        <v>94</v>
      </c>
      <c r="M90" s="183" t="s">
        <v>1607</v>
      </c>
      <c r="N90" s="182"/>
      <c r="O90" s="103"/>
      <c r="P90" s="103"/>
      <c r="Q90" s="104"/>
      <c r="R90" s="187" t="s">
        <v>1781</v>
      </c>
      <c r="S90" s="182"/>
      <c r="T90" s="182"/>
      <c r="U90" s="182"/>
      <c r="V90" s="182"/>
      <c r="W90" s="182"/>
      <c r="X90" s="182"/>
      <c r="Y90" s="182"/>
      <c r="Z90" s="182"/>
      <c r="AA90" s="182"/>
      <c r="AB90" s="182"/>
      <c r="AC90" s="182"/>
      <c r="AD90" s="181" t="s">
        <v>1689</v>
      </c>
      <c r="AE90" s="182"/>
      <c r="AF90" s="184">
        <v>45995</v>
      </c>
      <c r="AG90" s="182"/>
      <c r="AH90" s="188" t="s">
        <v>1782</v>
      </c>
      <c r="AI90" s="186"/>
      <c r="AJ90" s="9"/>
    </row>
    <row r="91" spans="1:36" ht="12.75" x14ac:dyDescent="0.2">
      <c r="A91" s="91"/>
      <c r="B91" s="101">
        <f t="shared" si="3"/>
        <v>81</v>
      </c>
      <c r="C91" s="181" t="s">
        <v>971</v>
      </c>
      <c r="D91" s="182"/>
      <c r="E91" s="102" t="str">
        <f>IFERROR(VLOOKUP(C91,'설문지 응답 시트1'!C:H,2,FALSE),"")</f>
        <v>남</v>
      </c>
      <c r="F91" s="181" t="str">
        <f>IFERROR(VLOOKUP(C91,'설문지 응답 시트1'!C:H,3,FALSE),"")</f>
        <v>35세 91년생</v>
      </c>
      <c r="G91" s="182"/>
      <c r="H91" s="181" t="str">
        <f>IFERROR(VLOOKUP(C91,'설문지 응답 시트1'!C:H,6,FALSE),"")</f>
        <v>의성공업고등학교 전자과</v>
      </c>
      <c r="I91" s="182"/>
      <c r="J91" s="182"/>
      <c r="K91" s="182"/>
      <c r="L91" s="105">
        <v>66</v>
      </c>
      <c r="M91" s="183" t="s">
        <v>1621</v>
      </c>
      <c r="N91" s="182"/>
      <c r="O91" s="103"/>
      <c r="P91" s="103"/>
      <c r="Q91" s="104"/>
      <c r="R91" s="187" t="s">
        <v>1783</v>
      </c>
      <c r="S91" s="182"/>
      <c r="T91" s="182"/>
      <c r="U91" s="182"/>
      <c r="V91" s="182"/>
      <c r="W91" s="182"/>
      <c r="X91" s="182"/>
      <c r="Y91" s="182"/>
      <c r="Z91" s="182"/>
      <c r="AA91" s="182"/>
      <c r="AB91" s="182"/>
      <c r="AC91" s="182"/>
      <c r="AD91" s="181" t="s">
        <v>1689</v>
      </c>
      <c r="AE91" s="182"/>
      <c r="AF91" s="184">
        <v>45995</v>
      </c>
      <c r="AG91" s="182"/>
      <c r="AH91" s="188" t="s">
        <v>1784</v>
      </c>
      <c r="AI91" s="186"/>
      <c r="AJ91" s="9"/>
    </row>
    <row r="92" spans="1:36" ht="12.75" x14ac:dyDescent="0.2">
      <c r="A92" s="91"/>
      <c r="B92" s="101">
        <f t="shared" si="3"/>
        <v>82</v>
      </c>
      <c r="C92" s="181" t="s">
        <v>992</v>
      </c>
      <c r="D92" s="182"/>
      <c r="E92" s="102" t="str">
        <f>IFERROR(VLOOKUP(C92,'설문지 응답 시트1'!C:H,2,FALSE),"")</f>
        <v>남</v>
      </c>
      <c r="F92" s="181" t="str">
        <f>IFERROR(VLOOKUP(C92,'설문지 응답 시트1'!C:H,3,FALSE),"")</f>
        <v>34살(92년생)</v>
      </c>
      <c r="G92" s="182"/>
      <c r="H92" s="181" t="str">
        <f>IFERROR(VLOOKUP(C92,'설문지 응답 시트1'!C:H,6,FALSE),"")</f>
        <v>사회복지학과 자퇴</v>
      </c>
      <c r="I92" s="182"/>
      <c r="J92" s="182"/>
      <c r="K92" s="182"/>
      <c r="L92" s="105">
        <v>69</v>
      </c>
      <c r="M92" s="183" t="s">
        <v>1607</v>
      </c>
      <c r="N92" s="182"/>
      <c r="O92" s="103"/>
      <c r="P92" s="103"/>
      <c r="Q92" s="104"/>
      <c r="R92" s="187" t="s">
        <v>1785</v>
      </c>
      <c r="S92" s="182"/>
      <c r="T92" s="182"/>
      <c r="U92" s="182"/>
      <c r="V92" s="182"/>
      <c r="W92" s="182"/>
      <c r="X92" s="182"/>
      <c r="Y92" s="182"/>
      <c r="Z92" s="182"/>
      <c r="AA92" s="182"/>
      <c r="AB92" s="182"/>
      <c r="AC92" s="182"/>
      <c r="AD92" s="181" t="s">
        <v>1689</v>
      </c>
      <c r="AE92" s="182"/>
      <c r="AF92" s="184">
        <v>45995</v>
      </c>
      <c r="AG92" s="182"/>
      <c r="AH92" s="188" t="s">
        <v>1786</v>
      </c>
      <c r="AI92" s="186"/>
      <c r="AJ92" s="9"/>
    </row>
    <row r="93" spans="1:36" ht="12.75" x14ac:dyDescent="0.2">
      <c r="A93" s="91"/>
      <c r="B93" s="101">
        <f t="shared" si="3"/>
        <v>83</v>
      </c>
      <c r="C93" s="181" t="s">
        <v>1159</v>
      </c>
      <c r="D93" s="182"/>
      <c r="E93" s="102" t="str">
        <f>IFERROR(VLOOKUP(C93,'설문지 응답 시트1'!C:H,2,FALSE),"")</f>
        <v>남</v>
      </c>
      <c r="F93" s="181" t="str">
        <f>IFERROR(VLOOKUP(C93,'설문지 응답 시트1'!C:H,3,FALSE),"")</f>
        <v>26살(99년생)</v>
      </c>
      <c r="G93" s="182"/>
      <c r="H93" s="181" t="str">
        <f>IFERROR(VLOOKUP(C93,'설문지 응답 시트1'!C:H,6,FALSE),"")</f>
        <v>선문대 it경영</v>
      </c>
      <c r="I93" s="182"/>
      <c r="J93" s="182"/>
      <c r="K93" s="182"/>
      <c r="L93" s="105">
        <v>83</v>
      </c>
      <c r="M93" s="183" t="s">
        <v>1621</v>
      </c>
      <c r="N93" s="182"/>
      <c r="O93" s="103"/>
      <c r="P93" s="103"/>
      <c r="Q93" s="104"/>
      <c r="R93" s="187" t="s">
        <v>1787</v>
      </c>
      <c r="S93" s="182"/>
      <c r="T93" s="182"/>
      <c r="U93" s="182"/>
      <c r="V93" s="182"/>
      <c r="W93" s="182"/>
      <c r="X93" s="182"/>
      <c r="Y93" s="182"/>
      <c r="Z93" s="182"/>
      <c r="AA93" s="182"/>
      <c r="AB93" s="182"/>
      <c r="AC93" s="182"/>
      <c r="AD93" s="181" t="s">
        <v>1689</v>
      </c>
      <c r="AE93" s="182"/>
      <c r="AF93" s="184">
        <v>45996</v>
      </c>
      <c r="AG93" s="182"/>
      <c r="AH93" s="188" t="s">
        <v>1788</v>
      </c>
      <c r="AI93" s="186"/>
      <c r="AJ93" s="9"/>
    </row>
    <row r="94" spans="1:36" ht="12.75" x14ac:dyDescent="0.2">
      <c r="A94" s="91"/>
      <c r="B94" s="101">
        <f t="shared" si="3"/>
        <v>84</v>
      </c>
      <c r="C94" s="181" t="s">
        <v>861</v>
      </c>
      <c r="D94" s="182"/>
      <c r="E94" s="102" t="str">
        <f>IFERROR(VLOOKUP(C94,'설문지 응답 시트1'!C:H,2,FALSE),"")</f>
        <v>남</v>
      </c>
      <c r="F94" s="181" t="str">
        <f>IFERROR(VLOOKUP(C94,'설문지 응답 시트1'!C:H,3,FALSE),"")</f>
        <v>28살(98년생)</v>
      </c>
      <c r="G94" s="182"/>
      <c r="H94" s="181" t="str">
        <f>IFERROR(VLOOKUP(C94,'설문지 응답 시트1'!C:H,6,FALSE),"")</f>
        <v>한국영상대학교 / 특수영상제작과</v>
      </c>
      <c r="I94" s="182"/>
      <c r="J94" s="182"/>
      <c r="K94" s="182"/>
      <c r="L94" s="105">
        <v>81</v>
      </c>
      <c r="M94" s="183" t="s">
        <v>1607</v>
      </c>
      <c r="N94" s="182"/>
      <c r="O94" s="103"/>
      <c r="P94" s="103"/>
      <c r="Q94" s="104"/>
      <c r="R94" s="187" t="s">
        <v>1789</v>
      </c>
      <c r="S94" s="182"/>
      <c r="T94" s="182"/>
      <c r="U94" s="182"/>
      <c r="V94" s="182"/>
      <c r="W94" s="182"/>
      <c r="X94" s="182"/>
      <c r="Y94" s="182"/>
      <c r="Z94" s="182"/>
      <c r="AA94" s="182"/>
      <c r="AB94" s="182"/>
      <c r="AC94" s="182"/>
      <c r="AD94" s="181" t="s">
        <v>1689</v>
      </c>
      <c r="AE94" s="182"/>
      <c r="AF94" s="184">
        <v>45996</v>
      </c>
      <c r="AG94" s="182"/>
      <c r="AH94" s="188" t="s">
        <v>1790</v>
      </c>
      <c r="AI94" s="186"/>
      <c r="AJ94" s="9"/>
    </row>
    <row r="95" spans="1:36" ht="12.75" x14ac:dyDescent="0.2">
      <c r="A95" s="91"/>
      <c r="B95" s="101">
        <f t="shared" si="3"/>
        <v>85</v>
      </c>
      <c r="C95" s="181" t="s">
        <v>1379</v>
      </c>
      <c r="D95" s="182"/>
      <c r="E95" s="102" t="str">
        <f>IFERROR(VLOOKUP(C95,'설문지 응답 시트1'!C:H,2,FALSE),"")</f>
        <v>남</v>
      </c>
      <c r="F95" s="181" t="str">
        <f>IFERROR(VLOOKUP(C95,'설문지 응답 시트1'!C:H,3,FALSE),"")</f>
        <v>25살(01년생)</v>
      </c>
      <c r="G95" s="182"/>
      <c r="H95" s="181" t="str">
        <f>IFERROR(VLOOKUP(C95,'설문지 응답 시트1'!C:H,6,FALSE),"")</f>
        <v>삼육대 경영학과</v>
      </c>
      <c r="I95" s="182"/>
      <c r="J95" s="182"/>
      <c r="K95" s="182"/>
      <c r="L95" s="105">
        <v>73</v>
      </c>
      <c r="M95" s="183" t="s">
        <v>1621</v>
      </c>
      <c r="N95" s="182"/>
      <c r="O95" s="103"/>
      <c r="P95" s="103"/>
      <c r="Q95" s="104"/>
      <c r="R95" s="187" t="s">
        <v>1791</v>
      </c>
      <c r="S95" s="182"/>
      <c r="T95" s="182"/>
      <c r="U95" s="182"/>
      <c r="V95" s="182"/>
      <c r="W95" s="182"/>
      <c r="X95" s="182"/>
      <c r="Y95" s="182"/>
      <c r="Z95" s="182"/>
      <c r="AA95" s="182"/>
      <c r="AB95" s="182"/>
      <c r="AC95" s="182"/>
      <c r="AD95" s="181" t="s">
        <v>1689</v>
      </c>
      <c r="AE95" s="182"/>
      <c r="AF95" s="184">
        <v>45996</v>
      </c>
      <c r="AG95" s="182"/>
      <c r="AH95" s="188" t="s">
        <v>1792</v>
      </c>
      <c r="AI95" s="186"/>
      <c r="AJ95" s="9"/>
    </row>
    <row r="96" spans="1:36" ht="12.75" x14ac:dyDescent="0.2">
      <c r="A96" s="91"/>
      <c r="B96" s="101">
        <f t="shared" si="3"/>
        <v>86</v>
      </c>
      <c r="C96" s="181" t="s">
        <v>816</v>
      </c>
      <c r="D96" s="182"/>
      <c r="E96" s="102" t="str">
        <f>IFERROR(VLOOKUP(C96,'설문지 응답 시트1'!C:H,2,FALSE),"")</f>
        <v>남</v>
      </c>
      <c r="F96" s="181" t="str">
        <f>IFERROR(VLOOKUP(C96,'설문지 응답 시트1'!C:H,3,FALSE),"")</f>
        <v>24살(02년생)</v>
      </c>
      <c r="G96" s="182"/>
      <c r="H96" s="181" t="str">
        <f>IFERROR(VLOOKUP(C96,'설문지 응답 시트1'!C:H,6,FALSE),"")</f>
        <v>비봉고등학교 디자인과</v>
      </c>
      <c r="I96" s="182"/>
      <c r="J96" s="182"/>
      <c r="K96" s="182"/>
      <c r="L96" s="105">
        <v>80</v>
      </c>
      <c r="M96" s="183" t="s">
        <v>1607</v>
      </c>
      <c r="N96" s="182"/>
      <c r="O96" s="103"/>
      <c r="P96" s="103"/>
      <c r="Q96" s="104"/>
      <c r="R96" s="187" t="s">
        <v>1793</v>
      </c>
      <c r="S96" s="182"/>
      <c r="T96" s="182"/>
      <c r="U96" s="182"/>
      <c r="V96" s="182"/>
      <c r="W96" s="182"/>
      <c r="X96" s="182"/>
      <c r="Y96" s="182"/>
      <c r="Z96" s="182"/>
      <c r="AA96" s="182"/>
      <c r="AB96" s="182"/>
      <c r="AC96" s="182"/>
      <c r="AD96" s="181" t="s">
        <v>1689</v>
      </c>
      <c r="AE96" s="182"/>
      <c r="AF96" s="184">
        <v>45996</v>
      </c>
      <c r="AG96" s="182"/>
      <c r="AH96" s="188" t="s">
        <v>1794</v>
      </c>
      <c r="AI96" s="186"/>
      <c r="AJ96" s="9"/>
    </row>
    <row r="97" spans="1:36" ht="12.75" x14ac:dyDescent="0.2">
      <c r="A97" s="91"/>
      <c r="B97" s="101">
        <f t="shared" si="3"/>
        <v>87</v>
      </c>
      <c r="C97" s="181" t="s">
        <v>1169</v>
      </c>
      <c r="D97" s="182"/>
      <c r="E97" s="102" t="str">
        <f>IFERROR(VLOOKUP(C97,'설문지 응답 시트1'!C:H,2,FALSE),"")</f>
        <v>남</v>
      </c>
      <c r="F97" s="181" t="str">
        <f>IFERROR(VLOOKUP(C97,'설문지 응답 시트1'!C:H,3,FALSE),"")</f>
        <v>28살(98년생)</v>
      </c>
      <c r="G97" s="182"/>
      <c r="H97" s="181" t="str">
        <f>IFERROR(VLOOKUP(C97,'설문지 응답 시트1'!C:H,6,FALSE),"")</f>
        <v>공주대학교 게임디자인학과</v>
      </c>
      <c r="I97" s="182"/>
      <c r="J97" s="182"/>
      <c r="K97" s="182"/>
      <c r="L97" s="105">
        <v>93</v>
      </c>
      <c r="M97" s="183" t="s">
        <v>1607</v>
      </c>
      <c r="N97" s="182"/>
      <c r="O97" s="103"/>
      <c r="P97" s="103"/>
      <c r="Q97" s="104"/>
      <c r="R97" s="187" t="s">
        <v>1795</v>
      </c>
      <c r="S97" s="182"/>
      <c r="T97" s="182"/>
      <c r="U97" s="182"/>
      <c r="V97" s="182"/>
      <c r="W97" s="182"/>
      <c r="X97" s="182"/>
      <c r="Y97" s="182"/>
      <c r="Z97" s="182"/>
      <c r="AA97" s="182"/>
      <c r="AB97" s="182"/>
      <c r="AC97" s="182"/>
      <c r="AD97" s="181" t="s">
        <v>1625</v>
      </c>
      <c r="AE97" s="182"/>
      <c r="AF97" s="184">
        <v>45996</v>
      </c>
      <c r="AG97" s="182"/>
      <c r="AH97" s="188" t="s">
        <v>1796</v>
      </c>
      <c r="AI97" s="186"/>
      <c r="AJ97" s="9"/>
    </row>
    <row r="98" spans="1:36" ht="12.75" x14ac:dyDescent="0.2">
      <c r="A98" s="91"/>
      <c r="B98" s="101">
        <f t="shared" si="3"/>
        <v>88</v>
      </c>
      <c r="C98" s="181" t="s">
        <v>274</v>
      </c>
      <c r="D98" s="182"/>
      <c r="E98" s="102" t="str">
        <f>IFERROR(VLOOKUP(C98,'설문지 응답 시트1'!C:H,2,FALSE),"")</f>
        <v>여</v>
      </c>
      <c r="F98" s="181" t="str">
        <f>IFERROR(VLOOKUP(C98,'설문지 응답 시트1'!C:H,3,FALSE),"")</f>
        <v>27(99년생)</v>
      </c>
      <c r="G98" s="182"/>
      <c r="H98" s="181" t="str">
        <f>IFERROR(VLOOKUP(C98,'설문지 응답 시트1'!C:H,6,FALSE),"")</f>
        <v>동서울대학교, 게임콘텐츠과</v>
      </c>
      <c r="I98" s="182"/>
      <c r="J98" s="182"/>
      <c r="K98" s="182"/>
      <c r="L98" s="105">
        <v>90</v>
      </c>
      <c r="M98" s="183" t="s">
        <v>1607</v>
      </c>
      <c r="N98" s="182"/>
      <c r="O98" s="103"/>
      <c r="P98" s="103"/>
      <c r="Q98" s="104"/>
      <c r="R98" s="187" t="s">
        <v>1797</v>
      </c>
      <c r="S98" s="182"/>
      <c r="T98" s="182"/>
      <c r="U98" s="182"/>
      <c r="V98" s="182"/>
      <c r="W98" s="182"/>
      <c r="X98" s="182"/>
      <c r="Y98" s="182"/>
      <c r="Z98" s="182"/>
      <c r="AA98" s="182"/>
      <c r="AB98" s="182"/>
      <c r="AC98" s="182"/>
      <c r="AD98" s="181" t="s">
        <v>1689</v>
      </c>
      <c r="AE98" s="182"/>
      <c r="AF98" s="184">
        <v>45996</v>
      </c>
      <c r="AG98" s="182"/>
      <c r="AH98" s="188" t="s">
        <v>1798</v>
      </c>
      <c r="AI98" s="186"/>
      <c r="AJ98" s="9"/>
    </row>
    <row r="99" spans="1:36" ht="12.75" x14ac:dyDescent="0.2">
      <c r="A99" s="91"/>
      <c r="B99" s="101">
        <f t="shared" si="3"/>
        <v>89</v>
      </c>
      <c r="C99" s="181" t="s">
        <v>1051</v>
      </c>
      <c r="D99" s="182"/>
      <c r="E99" s="102" t="str">
        <f>IFERROR(VLOOKUP(C99,'설문지 응답 시트1'!C:H,2,FALSE),"")</f>
        <v>남</v>
      </c>
      <c r="F99" s="181" t="str">
        <f>IFERROR(VLOOKUP(C99,'설문지 응답 시트1'!C:H,3,FALSE),"")</f>
        <v>34살(91년생)</v>
      </c>
      <c r="G99" s="182"/>
      <c r="H99" s="181" t="str">
        <f>IFERROR(VLOOKUP(C99,'설문지 응답 시트1'!C:H,6,FALSE),"")</f>
        <v>계명/문화정보학</v>
      </c>
      <c r="I99" s="182"/>
      <c r="J99" s="182"/>
      <c r="K99" s="182"/>
      <c r="L99" s="105">
        <v>84</v>
      </c>
      <c r="M99" s="183" t="s">
        <v>1607</v>
      </c>
      <c r="N99" s="182"/>
      <c r="O99" s="103"/>
      <c r="P99" s="103"/>
      <c r="Q99" s="104"/>
      <c r="R99" s="187" t="s">
        <v>1799</v>
      </c>
      <c r="S99" s="182"/>
      <c r="T99" s="182"/>
      <c r="U99" s="182"/>
      <c r="V99" s="182"/>
      <c r="W99" s="182"/>
      <c r="X99" s="182"/>
      <c r="Y99" s="182"/>
      <c r="Z99" s="182"/>
      <c r="AA99" s="182"/>
      <c r="AB99" s="182"/>
      <c r="AC99" s="182"/>
      <c r="AD99" s="181" t="s">
        <v>1689</v>
      </c>
      <c r="AE99" s="182"/>
      <c r="AF99" s="184">
        <v>45996</v>
      </c>
      <c r="AG99" s="182"/>
      <c r="AH99" s="188" t="s">
        <v>1800</v>
      </c>
      <c r="AI99" s="186"/>
      <c r="AJ99" s="9"/>
    </row>
    <row r="100" spans="1:36" ht="12.75" x14ac:dyDescent="0.2">
      <c r="A100" s="91"/>
      <c r="B100" s="101">
        <f t="shared" si="3"/>
        <v>90</v>
      </c>
      <c r="C100" s="181" t="s">
        <v>467</v>
      </c>
      <c r="D100" s="182"/>
      <c r="E100" s="102" t="str">
        <f>IFERROR(VLOOKUP(C100,'설문지 응답 시트1'!C:H,2,FALSE),"")</f>
        <v>남</v>
      </c>
      <c r="F100" s="181" t="str">
        <f>IFERROR(VLOOKUP(C100,'설문지 응답 시트1'!C:H,3,FALSE),"")</f>
        <v>29살 (97년생)</v>
      </c>
      <c r="G100" s="182"/>
      <c r="H100" s="181" t="str">
        <f>IFERROR(VLOOKUP(C100,'설문지 응답 시트1'!C:H,6,FALSE),"")</f>
        <v>시화공업고등학교 시스템제어전기과</v>
      </c>
      <c r="I100" s="182"/>
      <c r="J100" s="182"/>
      <c r="K100" s="182"/>
      <c r="L100" s="105">
        <v>81</v>
      </c>
      <c r="M100" s="183" t="s">
        <v>1607</v>
      </c>
      <c r="N100" s="182"/>
      <c r="O100" s="103"/>
      <c r="P100" s="103"/>
      <c r="Q100" s="104"/>
      <c r="R100" s="187" t="s">
        <v>1801</v>
      </c>
      <c r="S100" s="182"/>
      <c r="T100" s="182"/>
      <c r="U100" s="182"/>
      <c r="V100" s="182"/>
      <c r="W100" s="182"/>
      <c r="X100" s="182"/>
      <c r="Y100" s="182"/>
      <c r="Z100" s="182"/>
      <c r="AA100" s="182"/>
      <c r="AB100" s="182"/>
      <c r="AC100" s="182"/>
      <c r="AD100" s="181" t="s">
        <v>1689</v>
      </c>
      <c r="AE100" s="182"/>
      <c r="AF100" s="184">
        <v>45996</v>
      </c>
      <c r="AG100" s="182"/>
      <c r="AH100" s="188" t="s">
        <v>1802</v>
      </c>
      <c r="AI100" s="186"/>
      <c r="AJ100" s="9"/>
    </row>
    <row r="101" spans="1:36" ht="12.75" x14ac:dyDescent="0.2">
      <c r="A101" s="91"/>
      <c r="B101" s="101">
        <f t="shared" si="3"/>
        <v>91</v>
      </c>
      <c r="C101" s="181" t="s">
        <v>182</v>
      </c>
      <c r="D101" s="182"/>
      <c r="E101" s="102" t="str">
        <f>IFERROR(VLOOKUP(C101,'설문지 응답 시트1'!C:H,2,FALSE),"")</f>
        <v>남</v>
      </c>
      <c r="F101" s="181" t="str">
        <f>IFERROR(VLOOKUP(C101,'설문지 응답 시트1'!C:H,3,FALSE),"")</f>
        <v>33살(92년생)</v>
      </c>
      <c r="G101" s="182"/>
      <c r="H101" s="181" t="str">
        <f>IFERROR(VLOOKUP(C101,'설문지 응답 시트1'!C:H,6,FALSE),"")</f>
        <v>강릉원주대 법학과</v>
      </c>
      <c r="I101" s="182"/>
      <c r="J101" s="182"/>
      <c r="K101" s="182"/>
      <c r="L101" s="105">
        <v>78</v>
      </c>
      <c r="M101" s="183" t="s">
        <v>1607</v>
      </c>
      <c r="N101" s="182"/>
      <c r="O101" s="103"/>
      <c r="P101" s="103"/>
      <c r="Q101" s="104"/>
      <c r="R101" s="187" t="s">
        <v>1803</v>
      </c>
      <c r="S101" s="182"/>
      <c r="T101" s="182"/>
      <c r="U101" s="182"/>
      <c r="V101" s="182"/>
      <c r="W101" s="182"/>
      <c r="X101" s="182"/>
      <c r="Y101" s="182"/>
      <c r="Z101" s="182"/>
      <c r="AA101" s="182"/>
      <c r="AB101" s="182"/>
      <c r="AC101" s="182"/>
      <c r="AD101" s="181" t="s">
        <v>1689</v>
      </c>
      <c r="AE101" s="182"/>
      <c r="AF101" s="184">
        <v>45999</v>
      </c>
      <c r="AG101" s="182"/>
      <c r="AH101" s="188" t="s">
        <v>1804</v>
      </c>
      <c r="AI101" s="186"/>
      <c r="AJ101" s="9"/>
    </row>
    <row r="102" spans="1:36" ht="12.75" x14ac:dyDescent="0.2">
      <c r="A102" s="91"/>
      <c r="B102" s="101">
        <f t="shared" si="3"/>
        <v>92</v>
      </c>
      <c r="C102" s="181" t="s">
        <v>1131</v>
      </c>
      <c r="D102" s="182"/>
      <c r="E102" s="102" t="str">
        <f>IFERROR(VLOOKUP(C102,'설문지 응답 시트1'!C:H,2,FALSE),"")</f>
        <v>남</v>
      </c>
      <c r="F102" s="181" t="str">
        <f>IFERROR(VLOOKUP(C102,'설문지 응답 시트1'!C:H,3,FALSE),"")</f>
        <v>28살(98년생)</v>
      </c>
      <c r="G102" s="182"/>
      <c r="H102" s="181" t="str">
        <f>IFERROR(VLOOKUP(C102,'설문지 응답 시트1'!C:H,6,FALSE),"")</f>
        <v>서울과학기술대학교 기계자동차공학과</v>
      </c>
      <c r="I102" s="182"/>
      <c r="J102" s="182"/>
      <c r="K102" s="182"/>
      <c r="L102" s="105">
        <v>67</v>
      </c>
      <c r="M102" s="183" t="s">
        <v>1607</v>
      </c>
      <c r="N102" s="182"/>
      <c r="O102" s="103"/>
      <c r="P102" s="103"/>
      <c r="Q102" s="104"/>
      <c r="R102" s="187" t="s">
        <v>1805</v>
      </c>
      <c r="S102" s="182"/>
      <c r="T102" s="182"/>
      <c r="U102" s="182"/>
      <c r="V102" s="182"/>
      <c r="W102" s="182"/>
      <c r="X102" s="182"/>
      <c r="Y102" s="182"/>
      <c r="Z102" s="182"/>
      <c r="AA102" s="182"/>
      <c r="AB102" s="182"/>
      <c r="AC102" s="182"/>
      <c r="AD102" s="181" t="s">
        <v>1625</v>
      </c>
      <c r="AE102" s="182"/>
      <c r="AF102" s="184">
        <v>45999</v>
      </c>
      <c r="AG102" s="182"/>
      <c r="AH102" s="188" t="s">
        <v>1806</v>
      </c>
      <c r="AI102" s="186"/>
      <c r="AJ102" s="9"/>
    </row>
    <row r="103" spans="1:36" ht="12.75" x14ac:dyDescent="0.2">
      <c r="A103" s="91"/>
      <c r="B103" s="101">
        <f t="shared" si="3"/>
        <v>93</v>
      </c>
      <c r="C103" s="181" t="s">
        <v>1237</v>
      </c>
      <c r="D103" s="182"/>
      <c r="E103" s="102" t="str">
        <f>IFERROR(VLOOKUP(C103,'설문지 응답 시트1'!C:H,2,FALSE),"")</f>
        <v>남</v>
      </c>
      <c r="F103" s="181" t="str">
        <f>IFERROR(VLOOKUP(C103,'설문지 응답 시트1'!C:H,3,FALSE),"")</f>
        <v>32살(94년생)</v>
      </c>
      <c r="G103" s="182"/>
      <c r="H103" s="181" t="str">
        <f>IFERROR(VLOOKUP(C103,'설문지 응답 시트1'!C:H,6,FALSE),"")</f>
        <v>한국공학대학교 (구 한국산업기술대학교) 컴퓨터공학전공</v>
      </c>
      <c r="I103" s="182"/>
      <c r="J103" s="182"/>
      <c r="K103" s="182"/>
      <c r="L103" s="105">
        <v>87</v>
      </c>
      <c r="M103" s="183" t="s">
        <v>1607</v>
      </c>
      <c r="N103" s="182"/>
      <c r="O103" s="103"/>
      <c r="P103" s="103"/>
      <c r="Q103" s="104"/>
      <c r="R103" s="187" t="s">
        <v>1807</v>
      </c>
      <c r="S103" s="182"/>
      <c r="T103" s="182"/>
      <c r="U103" s="182"/>
      <c r="V103" s="182"/>
      <c r="W103" s="182"/>
      <c r="X103" s="182"/>
      <c r="Y103" s="182"/>
      <c r="Z103" s="182"/>
      <c r="AA103" s="182"/>
      <c r="AB103" s="182"/>
      <c r="AC103" s="182"/>
      <c r="AD103" s="181" t="s">
        <v>1689</v>
      </c>
      <c r="AE103" s="182"/>
      <c r="AF103" s="184">
        <v>45999</v>
      </c>
      <c r="AG103" s="182"/>
      <c r="AH103" s="188" t="s">
        <v>1808</v>
      </c>
      <c r="AI103" s="186"/>
      <c r="AJ103" s="9"/>
    </row>
    <row r="104" spans="1:36" ht="12.75" x14ac:dyDescent="0.2">
      <c r="A104" s="91"/>
      <c r="B104" s="101">
        <f t="shared" si="3"/>
        <v>94</v>
      </c>
      <c r="C104" s="181" t="s">
        <v>870</v>
      </c>
      <c r="D104" s="182"/>
      <c r="E104" s="102" t="str">
        <f>IFERROR(VLOOKUP(C104,'설문지 응답 시트1'!C:H,2,FALSE),"")</f>
        <v>남</v>
      </c>
      <c r="F104" s="181" t="str">
        <f>IFERROR(VLOOKUP(C104,'설문지 응답 시트1'!C:H,3,FALSE),"")</f>
        <v>32살(93년생)</v>
      </c>
      <c r="G104" s="182"/>
      <c r="H104" s="181" t="str">
        <f>IFERROR(VLOOKUP(C104,'설문지 응답 시트1'!C:H,6,FALSE),"")</f>
        <v>국제패션디자인학교 - 패션디자인학</v>
      </c>
      <c r="I104" s="182"/>
      <c r="J104" s="182"/>
      <c r="K104" s="182"/>
      <c r="L104" s="105">
        <v>75</v>
      </c>
      <c r="M104" s="183" t="s">
        <v>1607</v>
      </c>
      <c r="N104" s="182"/>
      <c r="O104" s="103"/>
      <c r="P104" s="103"/>
      <c r="Q104" s="104"/>
      <c r="R104" s="187" t="s">
        <v>1809</v>
      </c>
      <c r="S104" s="182"/>
      <c r="T104" s="182"/>
      <c r="U104" s="182"/>
      <c r="V104" s="182"/>
      <c r="W104" s="182"/>
      <c r="X104" s="182"/>
      <c r="Y104" s="182"/>
      <c r="Z104" s="182"/>
      <c r="AA104" s="182"/>
      <c r="AB104" s="182"/>
      <c r="AC104" s="182"/>
      <c r="AD104" s="181" t="s">
        <v>1619</v>
      </c>
      <c r="AE104" s="182"/>
      <c r="AF104" s="184">
        <v>45999</v>
      </c>
      <c r="AG104" s="182"/>
      <c r="AH104" s="188" t="s">
        <v>1810</v>
      </c>
      <c r="AI104" s="186"/>
      <c r="AJ104" s="9"/>
    </row>
    <row r="105" spans="1:36" ht="12.75" x14ac:dyDescent="0.2">
      <c r="A105" s="91"/>
      <c r="B105" s="101">
        <f t="shared" si="3"/>
        <v>95</v>
      </c>
      <c r="C105" s="181" t="s">
        <v>1209</v>
      </c>
      <c r="D105" s="182"/>
      <c r="E105" s="102" t="str">
        <f>IFERROR(VLOOKUP(C105,'설문지 응답 시트1'!C:H,2,FALSE),"")</f>
        <v>남</v>
      </c>
      <c r="F105" s="181" t="str">
        <f>IFERROR(VLOOKUP(C105,'설문지 응답 시트1'!C:H,3,FALSE),"")</f>
        <v>30살(96년생)</v>
      </c>
      <c r="G105" s="182"/>
      <c r="H105" s="181" t="str">
        <f>IFERROR(VLOOKUP(C105,'설문지 응답 시트1'!C:H,6,FALSE),"")</f>
        <v>서울대학교 수학교육과 / 방송통신대학교 컴퓨터과학과</v>
      </c>
      <c r="I105" s="182"/>
      <c r="J105" s="182"/>
      <c r="K105" s="182"/>
      <c r="L105" s="105">
        <v>85</v>
      </c>
      <c r="M105" s="183" t="s">
        <v>1621</v>
      </c>
      <c r="N105" s="182"/>
      <c r="O105" s="103"/>
      <c r="P105" s="103"/>
      <c r="Q105" s="104"/>
      <c r="R105" s="187" t="s">
        <v>1811</v>
      </c>
      <c r="S105" s="182"/>
      <c r="T105" s="182"/>
      <c r="U105" s="182"/>
      <c r="V105" s="182"/>
      <c r="W105" s="182"/>
      <c r="X105" s="182"/>
      <c r="Y105" s="182"/>
      <c r="Z105" s="182"/>
      <c r="AA105" s="182"/>
      <c r="AB105" s="182"/>
      <c r="AC105" s="182"/>
      <c r="AD105" s="181" t="s">
        <v>1625</v>
      </c>
      <c r="AE105" s="182"/>
      <c r="AF105" s="184">
        <v>46000</v>
      </c>
      <c r="AG105" s="182"/>
      <c r="AH105" s="188" t="s">
        <v>1812</v>
      </c>
      <c r="AI105" s="186"/>
      <c r="AJ105" s="9"/>
    </row>
    <row r="106" spans="1:36" ht="12.75" x14ac:dyDescent="0.2">
      <c r="A106" s="91"/>
      <c r="B106" s="101">
        <f t="shared" si="3"/>
        <v>96</v>
      </c>
      <c r="C106" s="181" t="s">
        <v>910</v>
      </c>
      <c r="D106" s="182"/>
      <c r="E106" s="102" t="str">
        <f>IFERROR(VLOOKUP(C106,'설문지 응답 시트1'!C:H,2,FALSE),"")</f>
        <v>남</v>
      </c>
      <c r="F106" s="181" t="str">
        <f>IFERROR(VLOOKUP(C106,'설문지 응답 시트1'!C:H,3,FALSE),"")</f>
        <v>25살</v>
      </c>
      <c r="G106" s="182"/>
      <c r="H106" s="181" t="str">
        <f>IFERROR(VLOOKUP(C106,'설문지 응답 시트1'!C:H,6,FALSE),"")</f>
        <v>전주교육대학교/초등교육과</v>
      </c>
      <c r="I106" s="182"/>
      <c r="J106" s="182"/>
      <c r="K106" s="182"/>
      <c r="L106" s="105">
        <v>75</v>
      </c>
      <c r="M106" s="183" t="s">
        <v>1607</v>
      </c>
      <c r="N106" s="182"/>
      <c r="O106" s="103"/>
      <c r="P106" s="103"/>
      <c r="Q106" s="104"/>
      <c r="R106" s="187" t="s">
        <v>1813</v>
      </c>
      <c r="S106" s="182"/>
      <c r="T106" s="182"/>
      <c r="U106" s="182"/>
      <c r="V106" s="182"/>
      <c r="W106" s="182"/>
      <c r="X106" s="182"/>
      <c r="Y106" s="182"/>
      <c r="Z106" s="182"/>
      <c r="AA106" s="182"/>
      <c r="AB106" s="182"/>
      <c r="AC106" s="182"/>
      <c r="AD106" s="181" t="s">
        <v>1625</v>
      </c>
      <c r="AE106" s="182"/>
      <c r="AF106" s="184">
        <v>46000</v>
      </c>
      <c r="AG106" s="182"/>
      <c r="AH106" s="188" t="s">
        <v>1814</v>
      </c>
      <c r="AI106" s="186"/>
      <c r="AJ106" s="9"/>
    </row>
    <row r="107" spans="1:36" ht="12.75" x14ac:dyDescent="0.2">
      <c r="A107" s="91"/>
      <c r="B107" s="101">
        <f t="shared" si="3"/>
        <v>97</v>
      </c>
      <c r="C107" s="181" t="s">
        <v>419</v>
      </c>
      <c r="D107" s="182"/>
      <c r="E107" s="102" t="str">
        <f>IFERROR(VLOOKUP(C107,'설문지 응답 시트1'!C:H,2,FALSE),"")</f>
        <v>남</v>
      </c>
      <c r="F107" s="181" t="str">
        <f>IFERROR(VLOOKUP(C107,'설문지 응답 시트1'!C:H,3,FALSE),"")</f>
        <v>만 24살 (2001년생)</v>
      </c>
      <c r="G107" s="182"/>
      <c r="H107" s="181" t="str">
        <f>IFERROR(VLOOKUP(C107,'설문지 응답 시트1'!C:H,6,FALSE),"")</f>
        <v>충청대학교 바이오분석학과</v>
      </c>
      <c r="I107" s="182"/>
      <c r="J107" s="182"/>
      <c r="K107" s="182"/>
      <c r="L107" s="105">
        <v>86</v>
      </c>
      <c r="M107" s="183" t="s">
        <v>1621</v>
      </c>
      <c r="N107" s="182"/>
      <c r="O107" s="103"/>
      <c r="P107" s="103"/>
      <c r="Q107" s="104"/>
      <c r="R107" s="187" t="s">
        <v>1815</v>
      </c>
      <c r="S107" s="182"/>
      <c r="T107" s="182"/>
      <c r="U107" s="182"/>
      <c r="V107" s="182"/>
      <c r="W107" s="182"/>
      <c r="X107" s="182"/>
      <c r="Y107" s="182"/>
      <c r="Z107" s="182"/>
      <c r="AA107" s="182"/>
      <c r="AB107" s="182"/>
      <c r="AC107" s="182"/>
      <c r="AD107" s="181" t="s">
        <v>1689</v>
      </c>
      <c r="AE107" s="182"/>
      <c r="AF107" s="184">
        <v>46000</v>
      </c>
      <c r="AG107" s="182"/>
      <c r="AH107" s="188" t="s">
        <v>1816</v>
      </c>
      <c r="AI107" s="186"/>
      <c r="AJ107" s="9"/>
    </row>
    <row r="108" spans="1:36" ht="12.75" x14ac:dyDescent="0.2">
      <c r="A108" s="91"/>
      <c r="B108" s="101">
        <f t="shared" si="3"/>
        <v>98</v>
      </c>
      <c r="C108" s="181" t="s">
        <v>776</v>
      </c>
      <c r="D108" s="182"/>
      <c r="E108" s="102" t="str">
        <f>IFERROR(VLOOKUP(C108,'설문지 응답 시트1'!C:H,2,FALSE),"")</f>
        <v>남</v>
      </c>
      <c r="F108" s="181" t="str">
        <f>IFERROR(VLOOKUP(C108,'설문지 응답 시트1'!C:H,3,FALSE),"")</f>
        <v>29세(96년생)</v>
      </c>
      <c r="G108" s="182"/>
      <c r="H108" s="181" t="str">
        <f>IFERROR(VLOOKUP(C108,'설문지 응답 시트1'!C:H,6,FALSE),"")</f>
        <v>한양대 콘서바토리(실용음악과 보컬,작곡)</v>
      </c>
      <c r="I108" s="182"/>
      <c r="J108" s="182"/>
      <c r="K108" s="182"/>
      <c r="L108" s="105">
        <v>72</v>
      </c>
      <c r="M108" s="183" t="s">
        <v>1607</v>
      </c>
      <c r="N108" s="182"/>
      <c r="O108" s="103"/>
      <c r="P108" s="103"/>
      <c r="Q108" s="104"/>
      <c r="R108" s="187" t="s">
        <v>1817</v>
      </c>
      <c r="S108" s="182"/>
      <c r="T108" s="182"/>
      <c r="U108" s="182"/>
      <c r="V108" s="182"/>
      <c r="W108" s="182"/>
      <c r="X108" s="182"/>
      <c r="Y108" s="182"/>
      <c r="Z108" s="182"/>
      <c r="AA108" s="182"/>
      <c r="AB108" s="182"/>
      <c r="AC108" s="182"/>
      <c r="AD108" s="181" t="s">
        <v>1625</v>
      </c>
      <c r="AE108" s="182"/>
      <c r="AF108" s="184">
        <v>46000</v>
      </c>
      <c r="AG108" s="182"/>
      <c r="AH108" s="188" t="s">
        <v>1818</v>
      </c>
      <c r="AI108" s="186"/>
      <c r="AJ108" s="9"/>
    </row>
    <row r="109" spans="1:36" ht="12.75" x14ac:dyDescent="0.2">
      <c r="A109" s="91"/>
      <c r="B109" s="101">
        <f t="shared" si="3"/>
        <v>99</v>
      </c>
      <c r="C109" s="181" t="s">
        <v>409</v>
      </c>
      <c r="D109" s="182"/>
      <c r="E109" s="102" t="str">
        <f>IFERROR(VLOOKUP(C109,'설문지 응답 시트1'!C:H,2,FALSE),"")</f>
        <v>남</v>
      </c>
      <c r="F109" s="181" t="str">
        <f>IFERROR(VLOOKUP(C109,'설문지 응답 시트1'!C:H,3,FALSE),"")</f>
        <v>27살(98년생)</v>
      </c>
      <c r="G109" s="182"/>
      <c r="H109" s="181" t="str">
        <f>IFERROR(VLOOKUP(C109,'설문지 응답 시트1'!C:H,6,FALSE),"")</f>
        <v>건국대학교 컴퓨터공학</v>
      </c>
      <c r="I109" s="182"/>
      <c r="J109" s="182"/>
      <c r="K109" s="182"/>
      <c r="L109" s="105">
        <v>74</v>
      </c>
      <c r="M109" s="183" t="s">
        <v>1607</v>
      </c>
      <c r="N109" s="182"/>
      <c r="O109" s="103"/>
      <c r="P109" s="103"/>
      <c r="Q109" s="104"/>
      <c r="R109" s="187" t="s">
        <v>1819</v>
      </c>
      <c r="S109" s="182"/>
      <c r="T109" s="182"/>
      <c r="U109" s="182"/>
      <c r="V109" s="182"/>
      <c r="W109" s="182"/>
      <c r="X109" s="182"/>
      <c r="Y109" s="182"/>
      <c r="Z109" s="182"/>
      <c r="AA109" s="182"/>
      <c r="AB109" s="182"/>
      <c r="AC109" s="182"/>
      <c r="AD109" s="181" t="s">
        <v>1689</v>
      </c>
      <c r="AE109" s="182"/>
      <c r="AF109" s="184">
        <v>46001</v>
      </c>
      <c r="AG109" s="182"/>
      <c r="AH109" s="188" t="s">
        <v>1820</v>
      </c>
      <c r="AI109" s="186"/>
      <c r="AJ109" s="9"/>
    </row>
    <row r="110" spans="1:36" ht="12.75" x14ac:dyDescent="0.2">
      <c r="A110" s="91"/>
      <c r="B110" s="101">
        <f t="shared" si="3"/>
        <v>100</v>
      </c>
      <c r="C110" s="181" t="s">
        <v>742</v>
      </c>
      <c r="D110" s="182"/>
      <c r="E110" s="102" t="str">
        <f>IFERROR(VLOOKUP(C110,'설문지 응답 시트1'!C:H,2,FALSE),"")</f>
        <v>남</v>
      </c>
      <c r="F110" s="181" t="str">
        <f>IFERROR(VLOOKUP(C110,'설문지 응답 시트1'!C:H,3,FALSE),"")</f>
        <v>28살(98년생)</v>
      </c>
      <c r="G110" s="182"/>
      <c r="H110" s="181" t="str">
        <f>IFERROR(VLOOKUP(C110,'설문지 응답 시트1'!C:H,6,FALSE),"")</f>
        <v>항공대학교 기계공학과</v>
      </c>
      <c r="I110" s="182"/>
      <c r="J110" s="182"/>
      <c r="K110" s="182"/>
      <c r="L110" s="105">
        <v>74</v>
      </c>
      <c r="M110" s="183" t="s">
        <v>1621</v>
      </c>
      <c r="N110" s="182"/>
      <c r="O110" s="103"/>
      <c r="P110" s="103"/>
      <c r="Q110" s="104"/>
      <c r="R110" s="187" t="s">
        <v>1821</v>
      </c>
      <c r="S110" s="182"/>
      <c r="T110" s="182"/>
      <c r="U110" s="182"/>
      <c r="V110" s="182"/>
      <c r="W110" s="182"/>
      <c r="X110" s="182"/>
      <c r="Y110" s="182"/>
      <c r="Z110" s="182"/>
      <c r="AA110" s="182"/>
      <c r="AB110" s="182"/>
      <c r="AC110" s="182"/>
      <c r="AD110" s="181" t="s">
        <v>1625</v>
      </c>
      <c r="AE110" s="182"/>
      <c r="AF110" s="184">
        <v>46001</v>
      </c>
      <c r="AG110" s="182"/>
      <c r="AH110" s="188" t="s">
        <v>1822</v>
      </c>
      <c r="AI110" s="186"/>
      <c r="AJ110" s="9"/>
    </row>
    <row r="111" spans="1:36" ht="12.75" x14ac:dyDescent="0.2">
      <c r="A111" s="91"/>
      <c r="B111" s="101">
        <f t="shared" si="3"/>
        <v>101</v>
      </c>
      <c r="C111" s="181" t="s">
        <v>724</v>
      </c>
      <c r="D111" s="182"/>
      <c r="E111" s="102" t="str">
        <f>IFERROR(VLOOKUP(C111,'설문지 응답 시트1'!C:H,2,FALSE),"")</f>
        <v>남</v>
      </c>
      <c r="F111" s="181" t="str">
        <f>IFERROR(VLOOKUP(C111,'설문지 응답 시트1'!C:H,3,FALSE),"")</f>
        <v>26살(00년생)</v>
      </c>
      <c r="G111" s="182"/>
      <c r="H111" s="181" t="str">
        <f>IFERROR(VLOOKUP(C111,'설문지 응답 시트1'!C:H,6,FALSE),"")</f>
        <v>상업고등학교(스마트콘텐츠과)</v>
      </c>
      <c r="I111" s="182"/>
      <c r="J111" s="182"/>
      <c r="K111" s="182"/>
      <c r="L111" s="105">
        <v>85</v>
      </c>
      <c r="M111" s="183" t="s">
        <v>1607</v>
      </c>
      <c r="N111" s="182"/>
      <c r="O111" s="103"/>
      <c r="P111" s="103"/>
      <c r="Q111" s="104"/>
      <c r="R111" s="187" t="s">
        <v>1823</v>
      </c>
      <c r="S111" s="182"/>
      <c r="T111" s="182"/>
      <c r="U111" s="182"/>
      <c r="V111" s="182"/>
      <c r="W111" s="182"/>
      <c r="X111" s="182"/>
      <c r="Y111" s="182"/>
      <c r="Z111" s="182"/>
      <c r="AA111" s="182"/>
      <c r="AB111" s="182"/>
      <c r="AC111" s="182"/>
      <c r="AD111" s="181" t="s">
        <v>1625</v>
      </c>
      <c r="AE111" s="182"/>
      <c r="AF111" s="184">
        <v>46002</v>
      </c>
      <c r="AG111" s="182"/>
      <c r="AH111" s="188" t="s">
        <v>1824</v>
      </c>
      <c r="AI111" s="186"/>
      <c r="AJ111" s="9"/>
    </row>
    <row r="112" spans="1:36" ht="12.75" x14ac:dyDescent="0.2">
      <c r="A112" s="91"/>
      <c r="B112" s="101">
        <f t="shared" si="3"/>
        <v>102</v>
      </c>
      <c r="C112" s="181" t="s">
        <v>1246</v>
      </c>
      <c r="D112" s="182"/>
      <c r="E112" s="102" t="str">
        <f>IFERROR(VLOOKUP(C112,'설문지 응답 시트1'!C:H,2,FALSE),"")</f>
        <v>여</v>
      </c>
      <c r="F112" s="181" t="str">
        <f>IFERROR(VLOOKUP(C112,'설문지 응답 시트1'!C:H,3,FALSE),"")</f>
        <v>28살(98년생)</v>
      </c>
      <c r="G112" s="182"/>
      <c r="H112" s="181" t="str">
        <f>IFERROR(VLOOKUP(C112,'설문지 응답 시트1'!C:H,6,FALSE),"")</f>
        <v>계명문화대학교 경찰행정과</v>
      </c>
      <c r="I112" s="182"/>
      <c r="J112" s="182"/>
      <c r="K112" s="182"/>
      <c r="L112" s="105">
        <v>35</v>
      </c>
      <c r="M112" s="183" t="s">
        <v>1621</v>
      </c>
      <c r="N112" s="182"/>
      <c r="O112" s="103"/>
      <c r="P112" s="103"/>
      <c r="Q112" s="104"/>
      <c r="R112" s="187" t="s">
        <v>1825</v>
      </c>
      <c r="S112" s="182"/>
      <c r="T112" s="182"/>
      <c r="U112" s="182"/>
      <c r="V112" s="182"/>
      <c r="W112" s="182"/>
      <c r="X112" s="182"/>
      <c r="Y112" s="182"/>
      <c r="Z112" s="182"/>
      <c r="AA112" s="182"/>
      <c r="AB112" s="182"/>
      <c r="AC112" s="182"/>
      <c r="AD112" s="181" t="s">
        <v>1625</v>
      </c>
      <c r="AE112" s="182"/>
      <c r="AF112" s="184">
        <v>46003</v>
      </c>
      <c r="AG112" s="182"/>
      <c r="AH112" s="188" t="s">
        <v>1826</v>
      </c>
      <c r="AI112" s="186"/>
      <c r="AJ112" s="9"/>
    </row>
    <row r="113" spans="1:36" ht="12.75" x14ac:dyDescent="0.2">
      <c r="A113" s="91"/>
      <c r="B113" s="101">
        <f t="shared" si="3"/>
        <v>103</v>
      </c>
      <c r="C113" s="181" t="s">
        <v>1444</v>
      </c>
      <c r="D113" s="182"/>
      <c r="E113" s="102" t="str">
        <f>IFERROR(VLOOKUP(C113,'설문지 응답 시트1'!C:H,2,FALSE),"")</f>
        <v>여</v>
      </c>
      <c r="F113" s="181" t="str">
        <f>IFERROR(VLOOKUP(C113,'설문지 응답 시트1'!C:H,3,FALSE),"")</f>
        <v>34살(92년생)</v>
      </c>
      <c r="G113" s="182"/>
      <c r="H113" s="181" t="str">
        <f>IFERROR(VLOOKUP(C113,'설문지 응답 시트1'!C:H,6,FALSE),"")</f>
        <v>대구예술대학교 한국미술컨텐츠학과</v>
      </c>
      <c r="I113" s="182"/>
      <c r="J113" s="182"/>
      <c r="K113" s="182"/>
      <c r="L113" s="105">
        <v>75</v>
      </c>
      <c r="M113" s="183" t="s">
        <v>1607</v>
      </c>
      <c r="N113" s="182"/>
      <c r="O113" s="103"/>
      <c r="P113" s="103"/>
      <c r="Q113" s="104"/>
      <c r="R113" s="187" t="s">
        <v>1827</v>
      </c>
      <c r="S113" s="182"/>
      <c r="T113" s="182"/>
      <c r="U113" s="182"/>
      <c r="V113" s="182"/>
      <c r="W113" s="182"/>
      <c r="X113" s="182"/>
      <c r="Y113" s="182"/>
      <c r="Z113" s="182"/>
      <c r="AA113" s="182"/>
      <c r="AB113" s="182"/>
      <c r="AC113" s="182"/>
      <c r="AD113" s="181" t="s">
        <v>1625</v>
      </c>
      <c r="AE113" s="182"/>
      <c r="AF113" s="184">
        <v>46003</v>
      </c>
      <c r="AG113" s="182"/>
      <c r="AH113" s="188" t="s">
        <v>1828</v>
      </c>
      <c r="AI113" s="186"/>
      <c r="AJ113" s="9"/>
    </row>
    <row r="114" spans="1:36" ht="12.75" x14ac:dyDescent="0.2">
      <c r="A114" s="91"/>
      <c r="B114" s="101">
        <f t="shared" si="3"/>
        <v>104</v>
      </c>
      <c r="C114" s="181" t="s">
        <v>1302</v>
      </c>
      <c r="D114" s="182"/>
      <c r="E114" s="102" t="str">
        <f>IFERROR(VLOOKUP(C114,'설문지 응답 시트1'!C:H,2,FALSE),"")</f>
        <v>여</v>
      </c>
      <c r="F114" s="181" t="str">
        <f>IFERROR(VLOOKUP(C114,'설문지 응답 시트1'!C:H,3,FALSE),"")</f>
        <v>26살</v>
      </c>
      <c r="G114" s="182"/>
      <c r="H114" s="181" t="str">
        <f>IFERROR(VLOOKUP(C114,'설문지 응답 시트1'!C:H,6,FALSE),"")</f>
        <v>전남대학교, 자율전공, 경제학과</v>
      </c>
      <c r="I114" s="182"/>
      <c r="J114" s="182"/>
      <c r="K114" s="182"/>
      <c r="L114" s="105">
        <v>78</v>
      </c>
      <c r="M114" s="183" t="s">
        <v>1621</v>
      </c>
      <c r="N114" s="182"/>
      <c r="O114" s="103"/>
      <c r="P114" s="103"/>
      <c r="Q114" s="104"/>
      <c r="R114" s="187" t="s">
        <v>1829</v>
      </c>
      <c r="S114" s="182"/>
      <c r="T114" s="182"/>
      <c r="U114" s="182"/>
      <c r="V114" s="182"/>
      <c r="W114" s="182"/>
      <c r="X114" s="182"/>
      <c r="Y114" s="182"/>
      <c r="Z114" s="182"/>
      <c r="AA114" s="182"/>
      <c r="AB114" s="182"/>
      <c r="AC114" s="182"/>
      <c r="AD114" s="181" t="s">
        <v>1625</v>
      </c>
      <c r="AE114" s="182"/>
      <c r="AF114" s="184">
        <v>46003</v>
      </c>
      <c r="AG114" s="182"/>
      <c r="AH114" s="188" t="s">
        <v>1830</v>
      </c>
      <c r="AI114" s="186"/>
      <c r="AJ114" s="9"/>
    </row>
    <row r="115" spans="1:36" ht="12.75" x14ac:dyDescent="0.2">
      <c r="A115" s="91"/>
      <c r="B115" s="101">
        <f t="shared" si="3"/>
        <v>105</v>
      </c>
      <c r="C115" s="181" t="s">
        <v>263</v>
      </c>
      <c r="D115" s="182"/>
      <c r="E115" s="102" t="str">
        <f>IFERROR(VLOOKUP(C115,'설문지 응답 시트1'!C:H,2,FALSE),"")</f>
        <v>남</v>
      </c>
      <c r="F115" s="181" t="str">
        <f>IFERROR(VLOOKUP(C115,'설문지 응답 시트1'!C:H,3,FALSE),"")</f>
        <v>37살(89년생)</v>
      </c>
      <c r="G115" s="182"/>
      <c r="H115" s="181" t="str">
        <f>IFERROR(VLOOKUP(C115,'설문지 응답 시트1'!C:H,6,FALSE),"")</f>
        <v>가천대학교 컴퓨터공학과</v>
      </c>
      <c r="I115" s="182"/>
      <c r="J115" s="182"/>
      <c r="K115" s="182"/>
      <c r="L115" s="105">
        <v>86</v>
      </c>
      <c r="M115" s="183" t="s">
        <v>1607</v>
      </c>
      <c r="N115" s="182"/>
      <c r="O115" s="103"/>
      <c r="P115" s="103"/>
      <c r="Q115" s="104"/>
      <c r="R115" s="187" t="s">
        <v>1831</v>
      </c>
      <c r="S115" s="182"/>
      <c r="T115" s="182"/>
      <c r="U115" s="182"/>
      <c r="V115" s="182"/>
      <c r="W115" s="182"/>
      <c r="X115" s="182"/>
      <c r="Y115" s="182"/>
      <c r="Z115" s="182"/>
      <c r="AA115" s="182"/>
      <c r="AB115" s="182"/>
      <c r="AC115" s="182"/>
      <c r="AD115" s="181" t="s">
        <v>1625</v>
      </c>
      <c r="AE115" s="182"/>
      <c r="AF115" s="184">
        <v>46006</v>
      </c>
      <c r="AG115" s="182"/>
      <c r="AH115" s="188" t="s">
        <v>1832</v>
      </c>
      <c r="AI115" s="186"/>
      <c r="AJ115" s="9"/>
    </row>
    <row r="116" spans="1:36" ht="12.75" x14ac:dyDescent="0.2">
      <c r="A116" s="91"/>
      <c r="B116" s="101">
        <f t="shared" si="3"/>
        <v>106</v>
      </c>
      <c r="C116" s="181" t="s">
        <v>537</v>
      </c>
      <c r="D116" s="182"/>
      <c r="E116" s="102" t="str">
        <f>IFERROR(VLOOKUP(C116,'설문지 응답 시트1'!C:H,2,FALSE),"")</f>
        <v>남</v>
      </c>
      <c r="F116" s="181" t="str">
        <f>IFERROR(VLOOKUP(C116,'설문지 응답 시트1'!C:H,3,FALSE),"")</f>
        <v>22세(04년생)</v>
      </c>
      <c r="G116" s="182"/>
      <c r="H116" s="181" t="str">
        <f>IFERROR(VLOOKUP(C116,'설문지 응답 시트1'!C:H,6,FALSE),"")</f>
        <v>백석문화대학교 웹툰애니메이션 학부 웹툰과</v>
      </c>
      <c r="I116" s="182"/>
      <c r="J116" s="182"/>
      <c r="K116" s="182"/>
      <c r="L116" s="105">
        <v>93</v>
      </c>
      <c r="M116" s="183" t="s">
        <v>1607</v>
      </c>
      <c r="N116" s="182"/>
      <c r="O116" s="103"/>
      <c r="P116" s="103"/>
      <c r="Q116" s="104"/>
      <c r="R116" s="187" t="s">
        <v>1833</v>
      </c>
      <c r="S116" s="182"/>
      <c r="T116" s="182"/>
      <c r="U116" s="182"/>
      <c r="V116" s="182"/>
      <c r="W116" s="182"/>
      <c r="X116" s="182"/>
      <c r="Y116" s="182"/>
      <c r="Z116" s="182"/>
      <c r="AA116" s="182"/>
      <c r="AB116" s="182"/>
      <c r="AC116" s="182"/>
      <c r="AD116" s="181" t="s">
        <v>1625</v>
      </c>
      <c r="AE116" s="182"/>
      <c r="AF116" s="184">
        <v>46008</v>
      </c>
      <c r="AG116" s="182"/>
      <c r="AH116" s="188" t="s">
        <v>1834</v>
      </c>
      <c r="AI116" s="186"/>
      <c r="AJ116" s="9"/>
    </row>
    <row r="117" spans="1:36" ht="12.75" x14ac:dyDescent="0.2">
      <c r="A117" s="91"/>
      <c r="B117" s="101">
        <f t="shared" si="3"/>
        <v>107</v>
      </c>
      <c r="C117" s="181" t="s">
        <v>419</v>
      </c>
      <c r="D117" s="182"/>
      <c r="E117" s="102" t="str">
        <f>IFERROR(VLOOKUP(C117,'설문지 응답 시트1'!C:H,2,FALSE),"")</f>
        <v>남</v>
      </c>
      <c r="F117" s="181" t="str">
        <f>IFERROR(VLOOKUP(C117,'설문지 응답 시트1'!C:H,3,FALSE),"")</f>
        <v>만 24살 (2001년생)</v>
      </c>
      <c r="G117" s="182"/>
      <c r="H117" s="181" t="str">
        <f>IFERROR(VLOOKUP(C117,'설문지 응답 시트1'!C:H,6,FALSE),"")</f>
        <v>충청대학교 바이오분석학과</v>
      </c>
      <c r="I117" s="182"/>
      <c r="J117" s="182"/>
      <c r="K117" s="182"/>
      <c r="L117" s="105">
        <v>83</v>
      </c>
      <c r="M117" s="183" t="s">
        <v>1607</v>
      </c>
      <c r="N117" s="182"/>
      <c r="O117" s="103"/>
      <c r="P117" s="103"/>
      <c r="Q117" s="104"/>
      <c r="R117" s="187" t="s">
        <v>1835</v>
      </c>
      <c r="S117" s="182"/>
      <c r="T117" s="182"/>
      <c r="U117" s="182"/>
      <c r="V117" s="182"/>
      <c r="W117" s="182"/>
      <c r="X117" s="182"/>
      <c r="Y117" s="182"/>
      <c r="Z117" s="182"/>
      <c r="AA117" s="182"/>
      <c r="AB117" s="182"/>
      <c r="AC117" s="182"/>
      <c r="AD117" s="181" t="s">
        <v>1625</v>
      </c>
      <c r="AE117" s="182"/>
      <c r="AF117" s="184">
        <v>46009</v>
      </c>
      <c r="AG117" s="182"/>
      <c r="AH117" s="188" t="s">
        <v>1836</v>
      </c>
      <c r="AI117" s="186"/>
      <c r="AJ117" s="9"/>
    </row>
    <row r="118" spans="1:36" ht="12.75" x14ac:dyDescent="0.2">
      <c r="A118" s="91"/>
      <c r="B118" s="101">
        <f t="shared" si="3"/>
        <v>108</v>
      </c>
      <c r="C118" s="181" t="s">
        <v>1219</v>
      </c>
      <c r="D118" s="182"/>
      <c r="E118" s="102" t="str">
        <f>IFERROR(VLOOKUP(C118,'설문지 응답 시트1'!C:H,2,FALSE),"")</f>
        <v>남</v>
      </c>
      <c r="F118" s="181" t="str">
        <f>IFERROR(VLOOKUP(C118,'설문지 응답 시트1'!C:H,3,FALSE),"")</f>
        <v>39세(86년생)</v>
      </c>
      <c r="G118" s="182"/>
      <c r="H118" s="181" t="str">
        <f>IFERROR(VLOOKUP(C118,'설문지 응답 시트1'!C:H,6,FALSE),"")</f>
        <v>한양대 경제학부</v>
      </c>
      <c r="I118" s="182"/>
      <c r="J118" s="182"/>
      <c r="K118" s="182"/>
      <c r="L118" s="105">
        <v>89</v>
      </c>
      <c r="M118" s="183" t="s">
        <v>1607</v>
      </c>
      <c r="N118" s="182"/>
      <c r="O118" s="103"/>
      <c r="P118" s="103"/>
      <c r="Q118" s="104"/>
      <c r="R118" s="187" t="s">
        <v>1837</v>
      </c>
      <c r="S118" s="182"/>
      <c r="T118" s="182"/>
      <c r="U118" s="182"/>
      <c r="V118" s="182"/>
      <c r="W118" s="182"/>
      <c r="X118" s="182"/>
      <c r="Y118" s="182"/>
      <c r="Z118" s="182"/>
      <c r="AA118" s="182"/>
      <c r="AB118" s="182"/>
      <c r="AC118" s="182"/>
      <c r="AD118" s="181" t="s">
        <v>1689</v>
      </c>
      <c r="AE118" s="182"/>
      <c r="AF118" s="184">
        <v>46009</v>
      </c>
      <c r="AG118" s="182"/>
      <c r="AH118" s="188" t="s">
        <v>1838</v>
      </c>
      <c r="AI118" s="186"/>
      <c r="AJ118" s="9"/>
    </row>
    <row r="119" spans="1:36" ht="12.75" x14ac:dyDescent="0.2">
      <c r="A119" s="91"/>
      <c r="B119" s="101">
        <f t="shared" si="3"/>
        <v>109</v>
      </c>
      <c r="C119" s="181" t="s">
        <v>558</v>
      </c>
      <c r="D119" s="182"/>
      <c r="E119" s="102" t="str">
        <f>IFERROR(VLOOKUP(C119,'설문지 응답 시트1'!C:H,2,FALSE),"")</f>
        <v>여</v>
      </c>
      <c r="F119" s="181" t="str">
        <f>IFERROR(VLOOKUP(C119,'설문지 응답 시트1'!C:H,3,FALSE),"")</f>
        <v>34살(92년생)</v>
      </c>
      <c r="G119" s="182"/>
      <c r="H119" s="181" t="str">
        <f>IFERROR(VLOOKUP(C119,'설문지 응답 시트1'!C:H,6,FALSE),"")</f>
        <v>서울대학교 의학과</v>
      </c>
      <c r="I119" s="182"/>
      <c r="J119" s="182"/>
      <c r="K119" s="182"/>
      <c r="L119" s="105">
        <v>43</v>
      </c>
      <c r="M119" s="183" t="s">
        <v>1621</v>
      </c>
      <c r="N119" s="182"/>
      <c r="O119" s="103"/>
      <c r="P119" s="103"/>
      <c r="Q119" s="104"/>
      <c r="R119" s="187" t="s">
        <v>1839</v>
      </c>
      <c r="S119" s="182"/>
      <c r="T119" s="182"/>
      <c r="U119" s="182"/>
      <c r="V119" s="182"/>
      <c r="W119" s="182"/>
      <c r="X119" s="182"/>
      <c r="Y119" s="182"/>
      <c r="Z119" s="182"/>
      <c r="AA119" s="182"/>
      <c r="AB119" s="182"/>
      <c r="AC119" s="182"/>
      <c r="AD119" s="181" t="s">
        <v>1625</v>
      </c>
      <c r="AE119" s="182"/>
      <c r="AF119" s="184">
        <v>46009</v>
      </c>
      <c r="AG119" s="182"/>
      <c r="AH119" s="188" t="s">
        <v>1840</v>
      </c>
      <c r="AI119" s="186"/>
      <c r="AJ119" s="9"/>
    </row>
    <row r="120" spans="1:36" ht="12.75" x14ac:dyDescent="0.2">
      <c r="A120" s="91"/>
      <c r="B120" s="101">
        <f t="shared" si="3"/>
        <v>110</v>
      </c>
      <c r="C120" s="181" t="s">
        <v>633</v>
      </c>
      <c r="D120" s="182"/>
      <c r="E120" s="102" t="str">
        <f>IFERROR(VLOOKUP(C120,'설문지 응답 시트1'!C:H,2,FALSE),"")</f>
        <v>남</v>
      </c>
      <c r="F120" s="181" t="str">
        <f>IFERROR(VLOOKUP(C120,'설문지 응답 시트1'!C:H,3,FALSE),"")</f>
        <v>28살(98년생)</v>
      </c>
      <c r="G120" s="182"/>
      <c r="H120" s="181" t="str">
        <f>IFERROR(VLOOKUP(C120,'설문지 응답 시트1'!C:H,6,FALSE),"")</f>
        <v>중부대학교 게임소프트웨어학과</v>
      </c>
      <c r="I120" s="182"/>
      <c r="J120" s="182"/>
      <c r="K120" s="182"/>
      <c r="L120" s="105">
        <v>93</v>
      </c>
      <c r="M120" s="183" t="s">
        <v>1607</v>
      </c>
      <c r="N120" s="182"/>
      <c r="O120" s="103"/>
      <c r="P120" s="103"/>
      <c r="Q120" s="104"/>
      <c r="R120" s="187" t="s">
        <v>1841</v>
      </c>
      <c r="S120" s="182"/>
      <c r="T120" s="182"/>
      <c r="U120" s="182"/>
      <c r="V120" s="182"/>
      <c r="W120" s="182"/>
      <c r="X120" s="182"/>
      <c r="Y120" s="182"/>
      <c r="Z120" s="182"/>
      <c r="AA120" s="182"/>
      <c r="AB120" s="182"/>
      <c r="AC120" s="182"/>
      <c r="AD120" s="181" t="s">
        <v>1689</v>
      </c>
      <c r="AE120" s="182"/>
      <c r="AF120" s="184">
        <v>46009</v>
      </c>
      <c r="AG120" s="182"/>
      <c r="AH120" s="188" t="s">
        <v>1842</v>
      </c>
      <c r="AI120" s="186"/>
      <c r="AJ120" s="9"/>
    </row>
    <row r="121" spans="1:36" ht="12.75" x14ac:dyDescent="0.2">
      <c r="A121" s="91"/>
      <c r="B121" s="101">
        <f t="shared" si="3"/>
        <v>111</v>
      </c>
      <c r="C121" s="181" t="s">
        <v>1141</v>
      </c>
      <c r="D121" s="182"/>
      <c r="E121" s="102" t="str">
        <f>IFERROR(VLOOKUP(C121,'설문지 응답 시트1'!C:H,2,FALSE),"")</f>
        <v>여</v>
      </c>
      <c r="F121" s="181" t="str">
        <f>IFERROR(VLOOKUP(C121,'설문지 응답 시트1'!C:H,3,FALSE),"")</f>
        <v>24살 (02년생)</v>
      </c>
      <c r="G121" s="182"/>
      <c r="H121" s="181" t="str">
        <f>IFERROR(VLOOKUP(C121,'설문지 응답 시트1'!C:H,6,FALSE),"")</f>
        <v>예림디자인고등학교 웹디자인과</v>
      </c>
      <c r="I121" s="182"/>
      <c r="J121" s="182"/>
      <c r="K121" s="182"/>
      <c r="L121" s="105">
        <v>85</v>
      </c>
      <c r="M121" s="183" t="s">
        <v>1607</v>
      </c>
      <c r="N121" s="182"/>
      <c r="O121" s="103"/>
      <c r="P121" s="103"/>
      <c r="Q121" s="104"/>
      <c r="R121" s="187" t="s">
        <v>1843</v>
      </c>
      <c r="S121" s="182"/>
      <c r="T121" s="182"/>
      <c r="U121" s="182"/>
      <c r="V121" s="182"/>
      <c r="W121" s="182"/>
      <c r="X121" s="182"/>
      <c r="Y121" s="182"/>
      <c r="Z121" s="182"/>
      <c r="AA121" s="182"/>
      <c r="AB121" s="182"/>
      <c r="AC121" s="182"/>
      <c r="AD121" s="181" t="s">
        <v>1625</v>
      </c>
      <c r="AE121" s="182"/>
      <c r="AF121" s="184">
        <v>46010</v>
      </c>
      <c r="AG121" s="182"/>
      <c r="AH121" s="188" t="s">
        <v>1844</v>
      </c>
      <c r="AI121" s="186"/>
      <c r="AJ121" s="9"/>
    </row>
    <row r="122" spans="1:36" ht="12.75" x14ac:dyDescent="0.2">
      <c r="A122" s="91"/>
      <c r="B122" s="101">
        <f t="shared" si="3"/>
        <v>112</v>
      </c>
      <c r="C122" s="181" t="s">
        <v>172</v>
      </c>
      <c r="D122" s="182"/>
      <c r="E122" s="102" t="str">
        <f>IFERROR(VLOOKUP(C122,'설문지 응답 시트1'!C:H,2,FALSE),"")</f>
        <v>여</v>
      </c>
      <c r="F122" s="181" t="str">
        <f>IFERROR(VLOOKUP(C122,'설문지 응답 시트1'!C:H,3,FALSE),"")</f>
        <v>27(99년생)</v>
      </c>
      <c r="G122" s="182"/>
      <c r="H122" s="181" t="str">
        <f>IFERROR(VLOOKUP(C122,'설문지 응답 시트1'!C:H,6,FALSE),"")</f>
        <v>국민대학교 영상디자인학과</v>
      </c>
      <c r="I122" s="182"/>
      <c r="J122" s="182"/>
      <c r="K122" s="182"/>
      <c r="L122" s="105">
        <v>92</v>
      </c>
      <c r="M122" s="183" t="s">
        <v>1607</v>
      </c>
      <c r="N122" s="182"/>
      <c r="O122" s="103"/>
      <c r="P122" s="103"/>
      <c r="Q122" s="104"/>
      <c r="R122" s="187" t="s">
        <v>1845</v>
      </c>
      <c r="S122" s="182"/>
      <c r="T122" s="182"/>
      <c r="U122" s="182"/>
      <c r="V122" s="182"/>
      <c r="W122" s="182"/>
      <c r="X122" s="182"/>
      <c r="Y122" s="182"/>
      <c r="Z122" s="182"/>
      <c r="AA122" s="182"/>
      <c r="AB122" s="182"/>
      <c r="AC122" s="182"/>
      <c r="AD122" s="181" t="s">
        <v>1689</v>
      </c>
      <c r="AE122" s="182"/>
      <c r="AF122" s="184">
        <v>46013</v>
      </c>
      <c r="AG122" s="182"/>
      <c r="AH122" s="188" t="s">
        <v>1846</v>
      </c>
      <c r="AI122" s="186"/>
      <c r="AJ122" s="9"/>
    </row>
    <row r="123" spans="1:36" ht="12.75" x14ac:dyDescent="0.2">
      <c r="A123" s="91"/>
      <c r="B123" s="101">
        <f t="shared" si="3"/>
        <v>113</v>
      </c>
      <c r="C123" s="181"/>
      <c r="D123" s="182"/>
      <c r="E123" s="102" t="str">
        <f>IFERROR(VLOOKUP(C123,'설문지 응답 시트1'!C:H,2,FALSE),"")</f>
        <v/>
      </c>
      <c r="F123" s="181" t="str">
        <f>IFERROR(VLOOKUP(C123,'설문지 응답 시트1'!C:H,3,FALSE),"")</f>
        <v/>
      </c>
      <c r="G123" s="182"/>
      <c r="H123" s="181" t="str">
        <f>IFERROR(VLOOKUP(C123,'설문지 응답 시트1'!C:H,6,FALSE),"")</f>
        <v/>
      </c>
      <c r="I123" s="182"/>
      <c r="J123" s="182"/>
      <c r="K123" s="182"/>
      <c r="L123" s="105"/>
      <c r="M123" s="183"/>
      <c r="N123" s="182"/>
      <c r="O123" s="103"/>
      <c r="P123" s="103"/>
      <c r="Q123" s="104"/>
      <c r="R123" s="187"/>
      <c r="S123" s="182"/>
      <c r="T123" s="182"/>
      <c r="U123" s="182"/>
      <c r="V123" s="182"/>
      <c r="W123" s="182"/>
      <c r="X123" s="182"/>
      <c r="Y123" s="182"/>
      <c r="Z123" s="182"/>
      <c r="AA123" s="182"/>
      <c r="AB123" s="182"/>
      <c r="AC123" s="182"/>
      <c r="AD123" s="181"/>
      <c r="AE123" s="182"/>
      <c r="AF123" s="184"/>
      <c r="AG123" s="182"/>
      <c r="AH123" s="185"/>
      <c r="AI123" s="186"/>
      <c r="AJ123" s="9"/>
    </row>
    <row r="124" spans="1:36" ht="12.75" x14ac:dyDescent="0.2">
      <c r="A124" s="91"/>
      <c r="B124" s="101">
        <f t="shared" si="3"/>
        <v>114</v>
      </c>
      <c r="C124" s="181"/>
      <c r="D124" s="182"/>
      <c r="E124" s="102" t="str">
        <f>IFERROR(VLOOKUP(C124,'설문지 응답 시트1'!C:H,2,FALSE),"")</f>
        <v/>
      </c>
      <c r="F124" s="181" t="str">
        <f>IFERROR(VLOOKUP(C124,'설문지 응답 시트1'!C:H,3,FALSE),"")</f>
        <v/>
      </c>
      <c r="G124" s="182"/>
      <c r="H124" s="181" t="str">
        <f>IFERROR(VLOOKUP(C124,'설문지 응답 시트1'!C:H,6,FALSE),"")</f>
        <v/>
      </c>
      <c r="I124" s="182"/>
      <c r="J124" s="182"/>
      <c r="K124" s="182"/>
      <c r="L124" s="105"/>
      <c r="M124" s="183"/>
      <c r="N124" s="182"/>
      <c r="O124" s="103"/>
      <c r="P124" s="103"/>
      <c r="Q124" s="104"/>
      <c r="R124" s="187"/>
      <c r="S124" s="182"/>
      <c r="T124" s="182"/>
      <c r="U124" s="182"/>
      <c r="V124" s="182"/>
      <c r="W124" s="182"/>
      <c r="X124" s="182"/>
      <c r="Y124" s="182"/>
      <c r="Z124" s="182"/>
      <c r="AA124" s="182"/>
      <c r="AB124" s="182"/>
      <c r="AC124" s="182"/>
      <c r="AD124" s="181"/>
      <c r="AE124" s="182"/>
      <c r="AF124" s="184"/>
      <c r="AG124" s="182"/>
      <c r="AH124" s="185"/>
      <c r="AI124" s="186"/>
      <c r="AJ124" s="9"/>
    </row>
    <row r="125" spans="1:36" ht="12.75" x14ac:dyDescent="0.2">
      <c r="A125" s="91"/>
      <c r="B125" s="101">
        <f t="shared" si="3"/>
        <v>115</v>
      </c>
      <c r="C125" s="181"/>
      <c r="D125" s="182"/>
      <c r="E125" s="102" t="str">
        <f>IFERROR(VLOOKUP(C125,'설문지 응답 시트1'!C:H,2,FALSE),"")</f>
        <v/>
      </c>
      <c r="F125" s="181" t="str">
        <f>IFERROR(VLOOKUP(C125,'설문지 응답 시트1'!C:H,3,FALSE),"")</f>
        <v/>
      </c>
      <c r="G125" s="182"/>
      <c r="H125" s="181" t="str">
        <f>IFERROR(VLOOKUP(C125,'설문지 응답 시트1'!C:H,6,FALSE),"")</f>
        <v/>
      </c>
      <c r="I125" s="182"/>
      <c r="J125" s="182"/>
      <c r="K125" s="182"/>
      <c r="L125" s="105"/>
      <c r="M125" s="183"/>
      <c r="N125" s="182"/>
      <c r="O125" s="103"/>
      <c r="P125" s="103"/>
      <c r="Q125" s="104"/>
      <c r="R125" s="187"/>
      <c r="S125" s="182"/>
      <c r="T125" s="182"/>
      <c r="U125" s="182"/>
      <c r="V125" s="182"/>
      <c r="W125" s="182"/>
      <c r="X125" s="182"/>
      <c r="Y125" s="182"/>
      <c r="Z125" s="182"/>
      <c r="AA125" s="182"/>
      <c r="AB125" s="182"/>
      <c r="AC125" s="182"/>
      <c r="AD125" s="181"/>
      <c r="AE125" s="182"/>
      <c r="AF125" s="184"/>
      <c r="AG125" s="182"/>
      <c r="AH125" s="185"/>
      <c r="AI125" s="186"/>
      <c r="AJ125" s="9"/>
    </row>
    <row r="126" spans="1:36" ht="12.75" x14ac:dyDescent="0.2">
      <c r="A126" s="91"/>
      <c r="B126" s="101">
        <f t="shared" si="3"/>
        <v>116</v>
      </c>
      <c r="C126" s="181"/>
      <c r="D126" s="182"/>
      <c r="E126" s="102" t="str">
        <f>IFERROR(VLOOKUP(C126,'설문지 응답 시트1'!C:H,2,FALSE),"")</f>
        <v/>
      </c>
      <c r="F126" s="181" t="str">
        <f>IFERROR(VLOOKUP(C126,'설문지 응답 시트1'!C:H,3,FALSE),"")</f>
        <v/>
      </c>
      <c r="G126" s="182"/>
      <c r="H126" s="181" t="str">
        <f>IFERROR(VLOOKUP(C126,'설문지 응답 시트1'!C:H,6,FALSE),"")</f>
        <v/>
      </c>
      <c r="I126" s="182"/>
      <c r="J126" s="182"/>
      <c r="K126" s="182"/>
      <c r="L126" s="105"/>
      <c r="M126" s="183"/>
      <c r="N126" s="182"/>
      <c r="O126" s="103"/>
      <c r="P126" s="103"/>
      <c r="Q126" s="104"/>
      <c r="R126" s="187"/>
      <c r="S126" s="182"/>
      <c r="T126" s="182"/>
      <c r="U126" s="182"/>
      <c r="V126" s="182"/>
      <c r="W126" s="182"/>
      <c r="X126" s="182"/>
      <c r="Y126" s="182"/>
      <c r="Z126" s="182"/>
      <c r="AA126" s="182"/>
      <c r="AB126" s="182"/>
      <c r="AC126" s="182"/>
      <c r="AD126" s="181"/>
      <c r="AE126" s="182"/>
      <c r="AF126" s="184"/>
      <c r="AG126" s="182"/>
      <c r="AH126" s="185"/>
      <c r="AI126" s="186"/>
      <c r="AJ126" s="9"/>
    </row>
    <row r="127" spans="1:36" ht="12.75" x14ac:dyDescent="0.2">
      <c r="A127" s="91"/>
      <c r="B127" s="101">
        <f t="shared" si="3"/>
        <v>117</v>
      </c>
      <c r="C127" s="181"/>
      <c r="D127" s="182"/>
      <c r="E127" s="102" t="str">
        <f>IFERROR(VLOOKUP(C127,'설문지 응답 시트1'!C:H,2,FALSE),"")</f>
        <v/>
      </c>
      <c r="F127" s="181" t="str">
        <f>IFERROR(VLOOKUP(C127,'설문지 응답 시트1'!C:H,3,FALSE),"")</f>
        <v/>
      </c>
      <c r="G127" s="182"/>
      <c r="H127" s="181" t="str">
        <f>IFERROR(VLOOKUP(C127,'설문지 응답 시트1'!C:H,6,FALSE),"")</f>
        <v/>
      </c>
      <c r="I127" s="182"/>
      <c r="J127" s="182"/>
      <c r="K127" s="182"/>
      <c r="L127" s="105"/>
      <c r="M127" s="183"/>
      <c r="N127" s="182"/>
      <c r="O127" s="103"/>
      <c r="P127" s="103"/>
      <c r="Q127" s="104"/>
      <c r="R127" s="187"/>
      <c r="S127" s="182"/>
      <c r="T127" s="182"/>
      <c r="U127" s="182"/>
      <c r="V127" s="182"/>
      <c r="W127" s="182"/>
      <c r="X127" s="182"/>
      <c r="Y127" s="182"/>
      <c r="Z127" s="182"/>
      <c r="AA127" s="182"/>
      <c r="AB127" s="182"/>
      <c r="AC127" s="182"/>
      <c r="AD127" s="181"/>
      <c r="AE127" s="182"/>
      <c r="AF127" s="184"/>
      <c r="AG127" s="182"/>
      <c r="AH127" s="185"/>
      <c r="AI127" s="186"/>
      <c r="AJ127" s="9"/>
    </row>
    <row r="128" spans="1:36" ht="12.75" x14ac:dyDescent="0.2">
      <c r="A128" s="91"/>
      <c r="B128" s="101">
        <f t="shared" si="3"/>
        <v>118</v>
      </c>
      <c r="C128" s="181"/>
      <c r="D128" s="182"/>
      <c r="E128" s="102" t="str">
        <f>IFERROR(VLOOKUP(C128,'설문지 응답 시트1'!C:H,2,FALSE),"")</f>
        <v/>
      </c>
      <c r="F128" s="181" t="str">
        <f>IFERROR(VLOOKUP(C128,'설문지 응답 시트1'!C:H,3,FALSE),"")</f>
        <v/>
      </c>
      <c r="G128" s="182"/>
      <c r="H128" s="181" t="str">
        <f>IFERROR(VLOOKUP(C128,'설문지 응답 시트1'!C:H,6,FALSE),"")</f>
        <v/>
      </c>
      <c r="I128" s="182"/>
      <c r="J128" s="182"/>
      <c r="K128" s="182"/>
      <c r="L128" s="105"/>
      <c r="M128" s="183"/>
      <c r="N128" s="182"/>
      <c r="O128" s="103"/>
      <c r="P128" s="103"/>
      <c r="Q128" s="104"/>
      <c r="R128" s="187"/>
      <c r="S128" s="182"/>
      <c r="T128" s="182"/>
      <c r="U128" s="182"/>
      <c r="V128" s="182"/>
      <c r="W128" s="182"/>
      <c r="X128" s="182"/>
      <c r="Y128" s="182"/>
      <c r="Z128" s="182"/>
      <c r="AA128" s="182"/>
      <c r="AB128" s="182"/>
      <c r="AC128" s="182"/>
      <c r="AD128" s="181"/>
      <c r="AE128" s="182"/>
      <c r="AF128" s="184"/>
      <c r="AG128" s="182"/>
      <c r="AH128" s="185"/>
      <c r="AI128" s="186"/>
      <c r="AJ128" s="9"/>
    </row>
    <row r="129" spans="1:36" ht="12.75" x14ac:dyDescent="0.2">
      <c r="A129" s="91"/>
      <c r="B129" s="101">
        <f t="shared" si="3"/>
        <v>119</v>
      </c>
      <c r="C129" s="181"/>
      <c r="D129" s="182"/>
      <c r="E129" s="102" t="str">
        <f>IFERROR(VLOOKUP(C129,'설문지 응답 시트1'!C:H,2,FALSE),"")</f>
        <v/>
      </c>
      <c r="F129" s="181" t="str">
        <f>IFERROR(VLOOKUP(C129,'설문지 응답 시트1'!C:H,3,FALSE),"")</f>
        <v/>
      </c>
      <c r="G129" s="182"/>
      <c r="H129" s="181" t="str">
        <f>IFERROR(VLOOKUP(C129,'설문지 응답 시트1'!C:H,6,FALSE),"")</f>
        <v/>
      </c>
      <c r="I129" s="182"/>
      <c r="J129" s="182"/>
      <c r="K129" s="182"/>
      <c r="L129" s="105"/>
      <c r="M129" s="183"/>
      <c r="N129" s="182"/>
      <c r="O129" s="103"/>
      <c r="P129" s="103"/>
      <c r="Q129" s="104"/>
      <c r="R129" s="187"/>
      <c r="S129" s="182"/>
      <c r="T129" s="182"/>
      <c r="U129" s="182"/>
      <c r="V129" s="182"/>
      <c r="W129" s="182"/>
      <c r="X129" s="182"/>
      <c r="Y129" s="182"/>
      <c r="Z129" s="182"/>
      <c r="AA129" s="182"/>
      <c r="AB129" s="182"/>
      <c r="AC129" s="182"/>
      <c r="AD129" s="181"/>
      <c r="AE129" s="182"/>
      <c r="AF129" s="184"/>
      <c r="AG129" s="182"/>
      <c r="AH129" s="185"/>
      <c r="AI129" s="186"/>
      <c r="AJ129" s="9"/>
    </row>
    <row r="130" spans="1:36" ht="12.75" x14ac:dyDescent="0.2">
      <c r="A130" s="91"/>
      <c r="B130" s="101">
        <f t="shared" si="3"/>
        <v>120</v>
      </c>
      <c r="C130" s="181"/>
      <c r="D130" s="182"/>
      <c r="E130" s="102" t="str">
        <f>IFERROR(VLOOKUP(C130,'설문지 응답 시트1'!C:H,2,FALSE),"")</f>
        <v/>
      </c>
      <c r="F130" s="181" t="str">
        <f>IFERROR(VLOOKUP(C130,'설문지 응답 시트1'!C:H,3,FALSE),"")</f>
        <v/>
      </c>
      <c r="G130" s="182"/>
      <c r="H130" s="181" t="str">
        <f>IFERROR(VLOOKUP(C130,'설문지 응답 시트1'!C:H,6,FALSE),"")</f>
        <v/>
      </c>
      <c r="I130" s="182"/>
      <c r="J130" s="182"/>
      <c r="K130" s="182"/>
      <c r="L130" s="105"/>
      <c r="M130" s="183"/>
      <c r="N130" s="182"/>
      <c r="O130" s="103"/>
      <c r="P130" s="103"/>
      <c r="Q130" s="104"/>
      <c r="R130" s="187"/>
      <c r="S130" s="182"/>
      <c r="T130" s="182"/>
      <c r="U130" s="182"/>
      <c r="V130" s="182"/>
      <c r="W130" s="182"/>
      <c r="X130" s="182"/>
      <c r="Y130" s="182"/>
      <c r="Z130" s="182"/>
      <c r="AA130" s="182"/>
      <c r="AB130" s="182"/>
      <c r="AC130" s="182"/>
      <c r="AD130" s="181"/>
      <c r="AE130" s="182"/>
      <c r="AF130" s="184"/>
      <c r="AG130" s="182"/>
      <c r="AH130" s="185"/>
      <c r="AI130" s="186"/>
      <c r="AJ130" s="9"/>
    </row>
    <row r="131" spans="1:36" ht="12.75" x14ac:dyDescent="0.2">
      <c r="A131" s="91"/>
      <c r="B131" s="101">
        <f t="shared" si="3"/>
        <v>121</v>
      </c>
      <c r="C131" s="181"/>
      <c r="D131" s="182"/>
      <c r="E131" s="102" t="str">
        <f>IFERROR(VLOOKUP(C131,'설문지 응답 시트1'!C:H,2,FALSE),"")</f>
        <v/>
      </c>
      <c r="F131" s="181" t="str">
        <f>IFERROR(VLOOKUP(C131,'설문지 응답 시트1'!C:H,3,FALSE),"")</f>
        <v/>
      </c>
      <c r="G131" s="182"/>
      <c r="H131" s="181" t="str">
        <f>IFERROR(VLOOKUP(C131,'설문지 응답 시트1'!C:H,6,FALSE),"")</f>
        <v/>
      </c>
      <c r="I131" s="182"/>
      <c r="J131" s="182"/>
      <c r="K131" s="182"/>
      <c r="L131" s="105"/>
      <c r="M131" s="183"/>
      <c r="N131" s="182"/>
      <c r="O131" s="103"/>
      <c r="P131" s="103"/>
      <c r="Q131" s="104"/>
      <c r="R131" s="187"/>
      <c r="S131" s="182"/>
      <c r="T131" s="182"/>
      <c r="U131" s="182"/>
      <c r="V131" s="182"/>
      <c r="W131" s="182"/>
      <c r="X131" s="182"/>
      <c r="Y131" s="182"/>
      <c r="Z131" s="182"/>
      <c r="AA131" s="182"/>
      <c r="AB131" s="182"/>
      <c r="AC131" s="182"/>
      <c r="AD131" s="181"/>
      <c r="AE131" s="182"/>
      <c r="AF131" s="184"/>
      <c r="AG131" s="182"/>
      <c r="AH131" s="185"/>
      <c r="AI131" s="186"/>
      <c r="AJ131" s="9"/>
    </row>
    <row r="132" spans="1:36" ht="12.75" x14ac:dyDescent="0.2">
      <c r="A132" s="91"/>
      <c r="B132" s="101">
        <f t="shared" si="3"/>
        <v>122</v>
      </c>
      <c r="C132" s="181"/>
      <c r="D132" s="182"/>
      <c r="E132" s="102" t="str">
        <f>IFERROR(VLOOKUP(C132,'설문지 응답 시트1'!C:H,2,FALSE),"")</f>
        <v/>
      </c>
      <c r="F132" s="181" t="str">
        <f>IFERROR(VLOOKUP(C132,'설문지 응답 시트1'!C:H,3,FALSE),"")</f>
        <v/>
      </c>
      <c r="G132" s="182"/>
      <c r="H132" s="181" t="str">
        <f>IFERROR(VLOOKUP(C132,'설문지 응답 시트1'!C:H,6,FALSE),"")</f>
        <v/>
      </c>
      <c r="I132" s="182"/>
      <c r="J132" s="182"/>
      <c r="K132" s="182"/>
      <c r="L132" s="105"/>
      <c r="M132" s="183"/>
      <c r="N132" s="182"/>
      <c r="O132" s="103"/>
      <c r="P132" s="103"/>
      <c r="Q132" s="104"/>
      <c r="R132" s="187"/>
      <c r="S132" s="182"/>
      <c r="T132" s="182"/>
      <c r="U132" s="182"/>
      <c r="V132" s="182"/>
      <c r="W132" s="182"/>
      <c r="X132" s="182"/>
      <c r="Y132" s="182"/>
      <c r="Z132" s="182"/>
      <c r="AA132" s="182"/>
      <c r="AB132" s="182"/>
      <c r="AC132" s="182"/>
      <c r="AD132" s="181"/>
      <c r="AE132" s="182"/>
      <c r="AF132" s="184"/>
      <c r="AG132" s="182"/>
      <c r="AH132" s="185"/>
      <c r="AI132" s="186"/>
      <c r="AJ132" s="9"/>
    </row>
    <row r="133" spans="1:36" ht="12.75" x14ac:dyDescent="0.2">
      <c r="A133" s="91"/>
      <c r="B133" s="101">
        <f t="shared" si="3"/>
        <v>123</v>
      </c>
      <c r="C133" s="181"/>
      <c r="D133" s="182"/>
      <c r="E133" s="102" t="str">
        <f>IFERROR(VLOOKUP(C133,'설문지 응답 시트1'!C:H,2,FALSE),"")</f>
        <v/>
      </c>
      <c r="F133" s="181" t="str">
        <f>IFERROR(VLOOKUP(C133,'설문지 응답 시트1'!C:H,3,FALSE),"")</f>
        <v/>
      </c>
      <c r="G133" s="182"/>
      <c r="H133" s="181" t="str">
        <f>IFERROR(VLOOKUP(C133,'설문지 응답 시트1'!C:H,6,FALSE),"")</f>
        <v/>
      </c>
      <c r="I133" s="182"/>
      <c r="J133" s="182"/>
      <c r="K133" s="182"/>
      <c r="L133" s="105"/>
      <c r="M133" s="183"/>
      <c r="N133" s="182"/>
      <c r="O133" s="103"/>
      <c r="P133" s="103"/>
      <c r="Q133" s="104"/>
      <c r="R133" s="187"/>
      <c r="S133" s="182"/>
      <c r="T133" s="182"/>
      <c r="U133" s="182"/>
      <c r="V133" s="182"/>
      <c r="W133" s="182"/>
      <c r="X133" s="182"/>
      <c r="Y133" s="182"/>
      <c r="Z133" s="182"/>
      <c r="AA133" s="182"/>
      <c r="AB133" s="182"/>
      <c r="AC133" s="182"/>
      <c r="AD133" s="181"/>
      <c r="AE133" s="182"/>
      <c r="AF133" s="184"/>
      <c r="AG133" s="182"/>
      <c r="AH133" s="185"/>
      <c r="AI133" s="186"/>
      <c r="AJ133" s="9"/>
    </row>
    <row r="134" spans="1:36" ht="12.75" x14ac:dyDescent="0.2">
      <c r="A134" s="91"/>
      <c r="B134" s="101">
        <f t="shared" si="3"/>
        <v>124</v>
      </c>
      <c r="C134" s="181"/>
      <c r="D134" s="182"/>
      <c r="E134" s="102" t="str">
        <f>IFERROR(VLOOKUP(C134,'설문지 응답 시트1'!C:H,2,FALSE),"")</f>
        <v/>
      </c>
      <c r="F134" s="181" t="str">
        <f>IFERROR(VLOOKUP(C134,'설문지 응답 시트1'!C:H,3,FALSE),"")</f>
        <v/>
      </c>
      <c r="G134" s="182"/>
      <c r="H134" s="181" t="str">
        <f>IFERROR(VLOOKUP(C134,'설문지 응답 시트1'!C:H,6,FALSE),"")</f>
        <v/>
      </c>
      <c r="I134" s="182"/>
      <c r="J134" s="182"/>
      <c r="K134" s="182"/>
      <c r="L134" s="105"/>
      <c r="M134" s="183"/>
      <c r="N134" s="182"/>
      <c r="O134" s="103"/>
      <c r="P134" s="103"/>
      <c r="Q134" s="104"/>
      <c r="R134" s="187"/>
      <c r="S134" s="182"/>
      <c r="T134" s="182"/>
      <c r="U134" s="182"/>
      <c r="V134" s="182"/>
      <c r="W134" s="182"/>
      <c r="X134" s="182"/>
      <c r="Y134" s="182"/>
      <c r="Z134" s="182"/>
      <c r="AA134" s="182"/>
      <c r="AB134" s="182"/>
      <c r="AC134" s="182"/>
      <c r="AD134" s="181"/>
      <c r="AE134" s="182"/>
      <c r="AF134" s="184"/>
      <c r="AG134" s="182"/>
      <c r="AH134" s="185"/>
      <c r="AI134" s="186"/>
      <c r="AJ134" s="9"/>
    </row>
    <row r="135" spans="1:36" ht="12.75" x14ac:dyDescent="0.2">
      <c r="A135" s="91"/>
      <c r="B135" s="101">
        <f t="shared" si="3"/>
        <v>125</v>
      </c>
      <c r="C135" s="181"/>
      <c r="D135" s="182"/>
      <c r="E135" s="102" t="str">
        <f>IFERROR(VLOOKUP(C135,'설문지 응답 시트1'!C:H,2,FALSE),"")</f>
        <v/>
      </c>
      <c r="F135" s="181" t="str">
        <f>IFERROR(VLOOKUP(C135,'설문지 응답 시트1'!C:H,3,FALSE),"")</f>
        <v/>
      </c>
      <c r="G135" s="182"/>
      <c r="H135" s="181" t="str">
        <f>IFERROR(VLOOKUP(C135,'설문지 응답 시트1'!C:H,6,FALSE),"")</f>
        <v/>
      </c>
      <c r="I135" s="182"/>
      <c r="J135" s="182"/>
      <c r="K135" s="182"/>
      <c r="L135" s="105"/>
      <c r="M135" s="183"/>
      <c r="N135" s="182"/>
      <c r="O135" s="103"/>
      <c r="P135" s="103"/>
      <c r="Q135" s="104"/>
      <c r="R135" s="187"/>
      <c r="S135" s="182"/>
      <c r="T135" s="182"/>
      <c r="U135" s="182"/>
      <c r="V135" s="182"/>
      <c r="W135" s="182"/>
      <c r="X135" s="182"/>
      <c r="Y135" s="182"/>
      <c r="Z135" s="182"/>
      <c r="AA135" s="182"/>
      <c r="AB135" s="182"/>
      <c r="AC135" s="182"/>
      <c r="AD135" s="181"/>
      <c r="AE135" s="182"/>
      <c r="AF135" s="184"/>
      <c r="AG135" s="182"/>
      <c r="AH135" s="185"/>
      <c r="AI135" s="186"/>
      <c r="AJ135" s="9"/>
    </row>
    <row r="136" spans="1:36" ht="12.75" x14ac:dyDescent="0.2">
      <c r="A136" s="91"/>
      <c r="B136" s="101">
        <f t="shared" si="3"/>
        <v>126</v>
      </c>
      <c r="C136" s="181"/>
      <c r="D136" s="182"/>
      <c r="E136" s="102" t="str">
        <f>IFERROR(VLOOKUP(C136,'설문지 응답 시트1'!C:H,2,FALSE),"")</f>
        <v/>
      </c>
      <c r="F136" s="181" t="str">
        <f>IFERROR(VLOOKUP(C136,'설문지 응답 시트1'!C:H,3,FALSE),"")</f>
        <v/>
      </c>
      <c r="G136" s="182"/>
      <c r="H136" s="181" t="str">
        <f>IFERROR(VLOOKUP(C136,'설문지 응답 시트1'!C:H,6,FALSE),"")</f>
        <v/>
      </c>
      <c r="I136" s="182"/>
      <c r="J136" s="182"/>
      <c r="K136" s="182"/>
      <c r="L136" s="105"/>
      <c r="M136" s="183"/>
      <c r="N136" s="182"/>
      <c r="O136" s="103"/>
      <c r="P136" s="103"/>
      <c r="Q136" s="104"/>
      <c r="R136" s="187"/>
      <c r="S136" s="182"/>
      <c r="T136" s="182"/>
      <c r="U136" s="182"/>
      <c r="V136" s="182"/>
      <c r="W136" s="182"/>
      <c r="X136" s="182"/>
      <c r="Y136" s="182"/>
      <c r="Z136" s="182"/>
      <c r="AA136" s="182"/>
      <c r="AB136" s="182"/>
      <c r="AC136" s="182"/>
      <c r="AD136" s="181"/>
      <c r="AE136" s="182"/>
      <c r="AF136" s="184"/>
      <c r="AG136" s="182"/>
      <c r="AH136" s="185"/>
      <c r="AI136" s="186"/>
      <c r="AJ136" s="9"/>
    </row>
    <row r="137" spans="1:36" ht="12.75" x14ac:dyDescent="0.2">
      <c r="A137" s="91"/>
      <c r="B137" s="101">
        <f t="shared" si="3"/>
        <v>127</v>
      </c>
      <c r="C137" s="181"/>
      <c r="D137" s="182"/>
      <c r="E137" s="102" t="str">
        <f>IFERROR(VLOOKUP(C137,'설문지 응답 시트1'!C:H,2,FALSE),"")</f>
        <v/>
      </c>
      <c r="F137" s="181" t="str">
        <f>IFERROR(VLOOKUP(C137,'설문지 응답 시트1'!C:H,3,FALSE),"")</f>
        <v/>
      </c>
      <c r="G137" s="182"/>
      <c r="H137" s="181" t="str">
        <f>IFERROR(VLOOKUP(C137,'설문지 응답 시트1'!C:H,6,FALSE),"")</f>
        <v/>
      </c>
      <c r="I137" s="182"/>
      <c r="J137" s="182"/>
      <c r="K137" s="182"/>
      <c r="L137" s="105"/>
      <c r="M137" s="183"/>
      <c r="N137" s="182"/>
      <c r="O137" s="103"/>
      <c r="P137" s="103"/>
      <c r="Q137" s="104"/>
      <c r="R137" s="187"/>
      <c r="S137" s="182"/>
      <c r="T137" s="182"/>
      <c r="U137" s="182"/>
      <c r="V137" s="182"/>
      <c r="W137" s="182"/>
      <c r="X137" s="182"/>
      <c r="Y137" s="182"/>
      <c r="Z137" s="182"/>
      <c r="AA137" s="182"/>
      <c r="AB137" s="182"/>
      <c r="AC137" s="182"/>
      <c r="AD137" s="181"/>
      <c r="AE137" s="182"/>
      <c r="AF137" s="184"/>
      <c r="AG137" s="182"/>
      <c r="AH137" s="185"/>
      <c r="AI137" s="186"/>
      <c r="AJ137" s="9"/>
    </row>
    <row r="138" spans="1:36" ht="12.75" x14ac:dyDescent="0.2">
      <c r="A138" s="91"/>
      <c r="B138" s="101">
        <f t="shared" si="3"/>
        <v>128</v>
      </c>
      <c r="C138" s="181"/>
      <c r="D138" s="182"/>
      <c r="E138" s="102" t="str">
        <f>IFERROR(VLOOKUP(C138,'설문지 응답 시트1'!C:H,2,FALSE),"")</f>
        <v/>
      </c>
      <c r="F138" s="181" t="str">
        <f>IFERROR(VLOOKUP(C138,'설문지 응답 시트1'!C:H,3,FALSE),"")</f>
        <v/>
      </c>
      <c r="G138" s="182"/>
      <c r="H138" s="181" t="str">
        <f>IFERROR(VLOOKUP(C138,'설문지 응답 시트1'!C:H,6,FALSE),"")</f>
        <v/>
      </c>
      <c r="I138" s="182"/>
      <c r="J138" s="182"/>
      <c r="K138" s="182"/>
      <c r="L138" s="105"/>
      <c r="M138" s="183"/>
      <c r="N138" s="182"/>
      <c r="O138" s="103"/>
      <c r="P138" s="103"/>
      <c r="Q138" s="104"/>
      <c r="R138" s="187"/>
      <c r="S138" s="182"/>
      <c r="T138" s="182"/>
      <c r="U138" s="182"/>
      <c r="V138" s="182"/>
      <c r="W138" s="182"/>
      <c r="X138" s="182"/>
      <c r="Y138" s="182"/>
      <c r="Z138" s="182"/>
      <c r="AA138" s="182"/>
      <c r="AB138" s="182"/>
      <c r="AC138" s="182"/>
      <c r="AD138" s="181"/>
      <c r="AE138" s="182"/>
      <c r="AF138" s="184"/>
      <c r="AG138" s="182"/>
      <c r="AH138" s="185"/>
      <c r="AI138" s="186"/>
      <c r="AJ138" s="9"/>
    </row>
    <row r="139" spans="1:36" ht="12.75" x14ac:dyDescent="0.2">
      <c r="A139" s="91"/>
      <c r="B139" s="101">
        <f t="shared" si="3"/>
        <v>129</v>
      </c>
      <c r="C139" s="181"/>
      <c r="D139" s="182"/>
      <c r="E139" s="102" t="str">
        <f>IFERROR(VLOOKUP(C139,'설문지 응답 시트1'!C:H,2,FALSE),"")</f>
        <v/>
      </c>
      <c r="F139" s="181" t="str">
        <f>IFERROR(VLOOKUP(C139,'설문지 응답 시트1'!C:H,3,FALSE),"")</f>
        <v/>
      </c>
      <c r="G139" s="182"/>
      <c r="H139" s="181" t="str">
        <f>IFERROR(VLOOKUP(C139,'설문지 응답 시트1'!C:H,6,FALSE),"")</f>
        <v/>
      </c>
      <c r="I139" s="182"/>
      <c r="J139" s="182"/>
      <c r="K139" s="182"/>
      <c r="L139" s="105"/>
      <c r="M139" s="183"/>
      <c r="N139" s="182"/>
      <c r="O139" s="103"/>
      <c r="P139" s="103"/>
      <c r="Q139" s="104"/>
      <c r="R139" s="187"/>
      <c r="S139" s="182"/>
      <c r="T139" s="182"/>
      <c r="U139" s="182"/>
      <c r="V139" s="182"/>
      <c r="W139" s="182"/>
      <c r="X139" s="182"/>
      <c r="Y139" s="182"/>
      <c r="Z139" s="182"/>
      <c r="AA139" s="182"/>
      <c r="AB139" s="182"/>
      <c r="AC139" s="182"/>
      <c r="AD139" s="181"/>
      <c r="AE139" s="182"/>
      <c r="AF139" s="184"/>
      <c r="AG139" s="182"/>
      <c r="AH139" s="185"/>
      <c r="AI139" s="186"/>
      <c r="AJ139" s="9"/>
    </row>
    <row r="140" spans="1:36" ht="12.75" x14ac:dyDescent="0.2">
      <c r="A140" s="91"/>
      <c r="B140" s="101">
        <f t="shared" si="3"/>
        <v>130</v>
      </c>
      <c r="C140" s="181"/>
      <c r="D140" s="182"/>
      <c r="E140" s="102" t="str">
        <f>IFERROR(VLOOKUP(C140,'설문지 응답 시트1'!C:H,2,FALSE),"")</f>
        <v/>
      </c>
      <c r="F140" s="181" t="str">
        <f>IFERROR(VLOOKUP(C140,'설문지 응답 시트1'!C:H,3,FALSE),"")</f>
        <v/>
      </c>
      <c r="G140" s="182"/>
      <c r="H140" s="181" t="str">
        <f>IFERROR(VLOOKUP(C140,'설문지 응답 시트1'!C:H,6,FALSE),"")</f>
        <v/>
      </c>
      <c r="I140" s="182"/>
      <c r="J140" s="182"/>
      <c r="K140" s="182"/>
      <c r="L140" s="105"/>
      <c r="M140" s="183"/>
      <c r="N140" s="182"/>
      <c r="O140" s="103"/>
      <c r="P140" s="103"/>
      <c r="Q140" s="104"/>
      <c r="R140" s="187"/>
      <c r="S140" s="182"/>
      <c r="T140" s="182"/>
      <c r="U140" s="182"/>
      <c r="V140" s="182"/>
      <c r="W140" s="182"/>
      <c r="X140" s="182"/>
      <c r="Y140" s="182"/>
      <c r="Z140" s="182"/>
      <c r="AA140" s="182"/>
      <c r="AB140" s="182"/>
      <c r="AC140" s="182"/>
      <c r="AD140" s="181"/>
      <c r="AE140" s="182"/>
      <c r="AF140" s="184"/>
      <c r="AG140" s="182"/>
      <c r="AH140" s="185"/>
      <c r="AI140" s="186"/>
      <c r="AJ140" s="9"/>
    </row>
    <row r="141" spans="1:36" ht="12.75" x14ac:dyDescent="0.2">
      <c r="A141" s="91"/>
      <c r="B141" s="101">
        <f t="shared" si="3"/>
        <v>131</v>
      </c>
      <c r="C141" s="181"/>
      <c r="D141" s="182"/>
      <c r="E141" s="102" t="str">
        <f>IFERROR(VLOOKUP(C141,'설문지 응답 시트1'!C:H,2,FALSE),"")</f>
        <v/>
      </c>
      <c r="F141" s="181" t="str">
        <f>IFERROR(VLOOKUP(C141,'설문지 응답 시트1'!C:H,3,FALSE),"")</f>
        <v/>
      </c>
      <c r="G141" s="182"/>
      <c r="H141" s="181" t="str">
        <f>IFERROR(VLOOKUP(C141,'설문지 응답 시트1'!C:H,6,FALSE),"")</f>
        <v/>
      </c>
      <c r="I141" s="182"/>
      <c r="J141" s="182"/>
      <c r="K141" s="182"/>
      <c r="L141" s="105"/>
      <c r="M141" s="183"/>
      <c r="N141" s="182"/>
      <c r="O141" s="103"/>
      <c r="P141" s="103"/>
      <c r="Q141" s="104"/>
      <c r="R141" s="187"/>
      <c r="S141" s="182"/>
      <c r="T141" s="182"/>
      <c r="U141" s="182"/>
      <c r="V141" s="182"/>
      <c r="W141" s="182"/>
      <c r="X141" s="182"/>
      <c r="Y141" s="182"/>
      <c r="Z141" s="182"/>
      <c r="AA141" s="182"/>
      <c r="AB141" s="182"/>
      <c r="AC141" s="182"/>
      <c r="AD141" s="181"/>
      <c r="AE141" s="182"/>
      <c r="AF141" s="184"/>
      <c r="AG141" s="182"/>
      <c r="AH141" s="185"/>
      <c r="AI141" s="186"/>
      <c r="AJ141" s="9"/>
    </row>
    <row r="142" spans="1:36" ht="12.75" x14ac:dyDescent="0.2">
      <c r="A142" s="91"/>
      <c r="B142" s="101">
        <f t="shared" si="3"/>
        <v>132</v>
      </c>
      <c r="C142" s="181"/>
      <c r="D142" s="182"/>
      <c r="E142" s="102" t="str">
        <f>IFERROR(VLOOKUP(C142,'설문지 응답 시트1'!C:H,2,FALSE),"")</f>
        <v/>
      </c>
      <c r="F142" s="181" t="str">
        <f>IFERROR(VLOOKUP(C142,'설문지 응답 시트1'!C:H,3,FALSE),"")</f>
        <v/>
      </c>
      <c r="G142" s="182"/>
      <c r="H142" s="181" t="str">
        <f>IFERROR(VLOOKUP(C142,'설문지 응답 시트1'!C:H,6,FALSE),"")</f>
        <v/>
      </c>
      <c r="I142" s="182"/>
      <c r="J142" s="182"/>
      <c r="K142" s="182"/>
      <c r="L142" s="105"/>
      <c r="M142" s="183"/>
      <c r="N142" s="182"/>
      <c r="O142" s="103"/>
      <c r="P142" s="103"/>
      <c r="Q142" s="104"/>
      <c r="R142" s="187"/>
      <c r="S142" s="182"/>
      <c r="T142" s="182"/>
      <c r="U142" s="182"/>
      <c r="V142" s="182"/>
      <c r="W142" s="182"/>
      <c r="X142" s="182"/>
      <c r="Y142" s="182"/>
      <c r="Z142" s="182"/>
      <c r="AA142" s="182"/>
      <c r="AB142" s="182"/>
      <c r="AC142" s="182"/>
      <c r="AD142" s="181"/>
      <c r="AE142" s="182"/>
      <c r="AF142" s="184"/>
      <c r="AG142" s="182"/>
      <c r="AH142" s="185"/>
      <c r="AI142" s="186"/>
      <c r="AJ142" s="9"/>
    </row>
    <row r="143" spans="1:36" ht="12.75" x14ac:dyDescent="0.2">
      <c r="A143" s="91"/>
      <c r="B143" s="101">
        <f t="shared" si="3"/>
        <v>133</v>
      </c>
      <c r="C143" s="181"/>
      <c r="D143" s="182"/>
      <c r="E143" s="102" t="str">
        <f>IFERROR(VLOOKUP(C143,'설문지 응답 시트1'!C:H,2,FALSE),"")</f>
        <v/>
      </c>
      <c r="F143" s="181" t="str">
        <f>IFERROR(VLOOKUP(C143,'설문지 응답 시트1'!C:H,3,FALSE),"")</f>
        <v/>
      </c>
      <c r="G143" s="182"/>
      <c r="H143" s="181" t="str">
        <f>IFERROR(VLOOKUP(C143,'설문지 응답 시트1'!C:H,6,FALSE),"")</f>
        <v/>
      </c>
      <c r="I143" s="182"/>
      <c r="J143" s="182"/>
      <c r="K143" s="182"/>
      <c r="L143" s="105"/>
      <c r="M143" s="183"/>
      <c r="N143" s="182"/>
      <c r="O143" s="103"/>
      <c r="P143" s="103"/>
      <c r="Q143" s="104"/>
      <c r="R143" s="187"/>
      <c r="S143" s="182"/>
      <c r="T143" s="182"/>
      <c r="U143" s="182"/>
      <c r="V143" s="182"/>
      <c r="W143" s="182"/>
      <c r="X143" s="182"/>
      <c r="Y143" s="182"/>
      <c r="Z143" s="182"/>
      <c r="AA143" s="182"/>
      <c r="AB143" s="182"/>
      <c r="AC143" s="182"/>
      <c r="AD143" s="181"/>
      <c r="AE143" s="182"/>
      <c r="AF143" s="184"/>
      <c r="AG143" s="182"/>
      <c r="AH143" s="185"/>
      <c r="AI143" s="186"/>
      <c r="AJ143" s="9"/>
    </row>
    <row r="144" spans="1:36" ht="12.75" x14ac:dyDescent="0.2">
      <c r="A144" s="91"/>
      <c r="B144" s="101">
        <f t="shared" si="3"/>
        <v>134</v>
      </c>
      <c r="C144" s="181"/>
      <c r="D144" s="182"/>
      <c r="E144" s="102" t="str">
        <f>IFERROR(VLOOKUP(C144,'설문지 응답 시트1'!C:H,2,FALSE),"")</f>
        <v/>
      </c>
      <c r="F144" s="181" t="str">
        <f>IFERROR(VLOOKUP(C144,'설문지 응답 시트1'!C:H,3,FALSE),"")</f>
        <v/>
      </c>
      <c r="G144" s="182"/>
      <c r="H144" s="181" t="str">
        <f>IFERROR(VLOOKUP(C144,'설문지 응답 시트1'!C:H,6,FALSE),"")</f>
        <v/>
      </c>
      <c r="I144" s="182"/>
      <c r="J144" s="182"/>
      <c r="K144" s="182"/>
      <c r="L144" s="105"/>
      <c r="M144" s="183"/>
      <c r="N144" s="182"/>
      <c r="O144" s="103"/>
      <c r="P144" s="103"/>
      <c r="Q144" s="104"/>
      <c r="R144" s="187"/>
      <c r="S144" s="182"/>
      <c r="T144" s="182"/>
      <c r="U144" s="182"/>
      <c r="V144" s="182"/>
      <c r="W144" s="182"/>
      <c r="X144" s="182"/>
      <c r="Y144" s="182"/>
      <c r="Z144" s="182"/>
      <c r="AA144" s="182"/>
      <c r="AB144" s="182"/>
      <c r="AC144" s="182"/>
      <c r="AD144" s="181"/>
      <c r="AE144" s="182"/>
      <c r="AF144" s="184"/>
      <c r="AG144" s="182"/>
      <c r="AH144" s="185"/>
      <c r="AI144" s="186"/>
      <c r="AJ144" s="9"/>
    </row>
    <row r="145" spans="1:36" ht="12.75" x14ac:dyDescent="0.2">
      <c r="A145" s="91"/>
      <c r="B145" s="101">
        <f t="shared" si="3"/>
        <v>135</v>
      </c>
      <c r="C145" s="181"/>
      <c r="D145" s="182"/>
      <c r="E145" s="102" t="str">
        <f>IFERROR(VLOOKUP(C145,'설문지 응답 시트1'!C:H,2,FALSE),"")</f>
        <v/>
      </c>
      <c r="F145" s="181" t="str">
        <f>IFERROR(VLOOKUP(C145,'설문지 응답 시트1'!C:H,3,FALSE),"")</f>
        <v/>
      </c>
      <c r="G145" s="182"/>
      <c r="H145" s="181" t="str">
        <f>IFERROR(VLOOKUP(C145,'설문지 응답 시트1'!C:H,6,FALSE),"")</f>
        <v/>
      </c>
      <c r="I145" s="182"/>
      <c r="J145" s="182"/>
      <c r="K145" s="182"/>
      <c r="L145" s="105"/>
      <c r="M145" s="183"/>
      <c r="N145" s="182"/>
      <c r="O145" s="103"/>
      <c r="P145" s="103"/>
      <c r="Q145" s="104"/>
      <c r="R145" s="187"/>
      <c r="S145" s="182"/>
      <c r="T145" s="182"/>
      <c r="U145" s="182"/>
      <c r="V145" s="182"/>
      <c r="W145" s="182"/>
      <c r="X145" s="182"/>
      <c r="Y145" s="182"/>
      <c r="Z145" s="182"/>
      <c r="AA145" s="182"/>
      <c r="AB145" s="182"/>
      <c r="AC145" s="182"/>
      <c r="AD145" s="181"/>
      <c r="AE145" s="182"/>
      <c r="AF145" s="184"/>
      <c r="AG145" s="182"/>
      <c r="AH145" s="185"/>
      <c r="AI145" s="186"/>
      <c r="AJ145" s="9"/>
    </row>
    <row r="146" spans="1:36" ht="12.75" x14ac:dyDescent="0.2">
      <c r="A146" s="91"/>
      <c r="B146" s="101">
        <f t="shared" si="3"/>
        <v>136</v>
      </c>
      <c r="C146" s="181"/>
      <c r="D146" s="182"/>
      <c r="E146" s="102" t="str">
        <f>IFERROR(VLOOKUP(C146,'설문지 응답 시트1'!C:H,2,FALSE),"")</f>
        <v/>
      </c>
      <c r="F146" s="181" t="str">
        <f>IFERROR(VLOOKUP(C146,'설문지 응답 시트1'!C:H,3,FALSE),"")</f>
        <v/>
      </c>
      <c r="G146" s="182"/>
      <c r="H146" s="181" t="str">
        <f>IFERROR(VLOOKUP(C146,'설문지 응답 시트1'!C:H,6,FALSE),"")</f>
        <v/>
      </c>
      <c r="I146" s="182"/>
      <c r="J146" s="182"/>
      <c r="K146" s="182"/>
      <c r="L146" s="105"/>
      <c r="M146" s="183"/>
      <c r="N146" s="182"/>
      <c r="O146" s="103"/>
      <c r="P146" s="103"/>
      <c r="Q146" s="104"/>
      <c r="R146" s="187"/>
      <c r="S146" s="182"/>
      <c r="T146" s="182"/>
      <c r="U146" s="182"/>
      <c r="V146" s="182"/>
      <c r="W146" s="182"/>
      <c r="X146" s="182"/>
      <c r="Y146" s="182"/>
      <c r="Z146" s="182"/>
      <c r="AA146" s="182"/>
      <c r="AB146" s="182"/>
      <c r="AC146" s="182"/>
      <c r="AD146" s="181"/>
      <c r="AE146" s="182"/>
      <c r="AF146" s="184"/>
      <c r="AG146" s="182"/>
      <c r="AH146" s="185"/>
      <c r="AI146" s="186"/>
      <c r="AJ146" s="9"/>
    </row>
    <row r="147" spans="1:36" ht="12.75" x14ac:dyDescent="0.2">
      <c r="A147" s="91"/>
      <c r="B147" s="101">
        <f t="shared" si="3"/>
        <v>137</v>
      </c>
      <c r="C147" s="181"/>
      <c r="D147" s="182"/>
      <c r="E147" s="102" t="str">
        <f>IFERROR(VLOOKUP(C147,'설문지 응답 시트1'!C:H,2,FALSE),"")</f>
        <v/>
      </c>
      <c r="F147" s="181" t="str">
        <f>IFERROR(VLOOKUP(C147,'설문지 응답 시트1'!C:H,3,FALSE),"")</f>
        <v/>
      </c>
      <c r="G147" s="182"/>
      <c r="H147" s="181" t="str">
        <f>IFERROR(VLOOKUP(C147,'설문지 응답 시트1'!C:H,6,FALSE),"")</f>
        <v/>
      </c>
      <c r="I147" s="182"/>
      <c r="J147" s="182"/>
      <c r="K147" s="182"/>
      <c r="L147" s="105"/>
      <c r="M147" s="183"/>
      <c r="N147" s="182"/>
      <c r="O147" s="103"/>
      <c r="P147" s="103"/>
      <c r="Q147" s="104"/>
      <c r="R147" s="187"/>
      <c r="S147" s="182"/>
      <c r="T147" s="182"/>
      <c r="U147" s="182"/>
      <c r="V147" s="182"/>
      <c r="W147" s="182"/>
      <c r="X147" s="182"/>
      <c r="Y147" s="182"/>
      <c r="Z147" s="182"/>
      <c r="AA147" s="182"/>
      <c r="AB147" s="182"/>
      <c r="AC147" s="182"/>
      <c r="AD147" s="181"/>
      <c r="AE147" s="182"/>
      <c r="AF147" s="184"/>
      <c r="AG147" s="182"/>
      <c r="AH147" s="185"/>
      <c r="AI147" s="186"/>
      <c r="AJ147" s="9"/>
    </row>
    <row r="148" spans="1:36" ht="12.75" x14ac:dyDescent="0.2">
      <c r="A148" s="91"/>
      <c r="B148" s="101">
        <f t="shared" si="3"/>
        <v>138</v>
      </c>
      <c r="C148" s="181"/>
      <c r="D148" s="182"/>
      <c r="E148" s="102" t="str">
        <f>IFERROR(VLOOKUP(C148,'설문지 응답 시트1'!C:H,2,FALSE),"")</f>
        <v/>
      </c>
      <c r="F148" s="181" t="str">
        <f>IFERROR(VLOOKUP(C148,'설문지 응답 시트1'!C:H,3,FALSE),"")</f>
        <v/>
      </c>
      <c r="G148" s="182"/>
      <c r="H148" s="181" t="str">
        <f>IFERROR(VLOOKUP(C148,'설문지 응답 시트1'!C:H,6,FALSE),"")</f>
        <v/>
      </c>
      <c r="I148" s="182"/>
      <c r="J148" s="182"/>
      <c r="K148" s="182"/>
      <c r="L148" s="105"/>
      <c r="M148" s="183"/>
      <c r="N148" s="182"/>
      <c r="O148" s="103"/>
      <c r="P148" s="103"/>
      <c r="Q148" s="104"/>
      <c r="R148" s="187"/>
      <c r="S148" s="182"/>
      <c r="T148" s="182"/>
      <c r="U148" s="182"/>
      <c r="V148" s="182"/>
      <c r="W148" s="182"/>
      <c r="X148" s="182"/>
      <c r="Y148" s="182"/>
      <c r="Z148" s="182"/>
      <c r="AA148" s="182"/>
      <c r="AB148" s="182"/>
      <c r="AC148" s="182"/>
      <c r="AD148" s="181"/>
      <c r="AE148" s="182"/>
      <c r="AF148" s="184"/>
      <c r="AG148" s="182"/>
      <c r="AH148" s="185"/>
      <c r="AI148" s="186"/>
      <c r="AJ148" s="9"/>
    </row>
    <row r="149" spans="1:36" ht="12.75" x14ac:dyDescent="0.2">
      <c r="A149" s="91"/>
      <c r="B149" s="101">
        <f t="shared" si="3"/>
        <v>139</v>
      </c>
      <c r="C149" s="181"/>
      <c r="D149" s="182"/>
      <c r="E149" s="102" t="str">
        <f>IFERROR(VLOOKUP(C149,'설문지 응답 시트1'!C:H,2,FALSE),"")</f>
        <v/>
      </c>
      <c r="F149" s="181" t="str">
        <f>IFERROR(VLOOKUP(C149,'설문지 응답 시트1'!C:H,3,FALSE),"")</f>
        <v/>
      </c>
      <c r="G149" s="182"/>
      <c r="H149" s="181" t="str">
        <f>IFERROR(VLOOKUP(C149,'설문지 응답 시트1'!C:H,6,FALSE),"")</f>
        <v/>
      </c>
      <c r="I149" s="182"/>
      <c r="J149" s="182"/>
      <c r="K149" s="182"/>
      <c r="L149" s="105"/>
      <c r="M149" s="183"/>
      <c r="N149" s="182"/>
      <c r="O149" s="103"/>
      <c r="P149" s="103"/>
      <c r="Q149" s="104"/>
      <c r="R149" s="187"/>
      <c r="S149" s="182"/>
      <c r="T149" s="182"/>
      <c r="U149" s="182"/>
      <c r="V149" s="182"/>
      <c r="W149" s="182"/>
      <c r="X149" s="182"/>
      <c r="Y149" s="182"/>
      <c r="Z149" s="182"/>
      <c r="AA149" s="182"/>
      <c r="AB149" s="182"/>
      <c r="AC149" s="182"/>
      <c r="AD149" s="181"/>
      <c r="AE149" s="182"/>
      <c r="AF149" s="184"/>
      <c r="AG149" s="182"/>
      <c r="AH149" s="185"/>
      <c r="AI149" s="186"/>
      <c r="AJ149" s="9"/>
    </row>
    <row r="150" spans="1:36" ht="12.75" x14ac:dyDescent="0.2">
      <c r="A150" s="91"/>
      <c r="B150" s="101">
        <f t="shared" si="3"/>
        <v>140</v>
      </c>
      <c r="C150" s="181"/>
      <c r="D150" s="182"/>
      <c r="E150" s="102" t="str">
        <f>IFERROR(VLOOKUP(C150,'설문지 응답 시트1'!C:H,2,FALSE),"")</f>
        <v/>
      </c>
      <c r="F150" s="181" t="str">
        <f>IFERROR(VLOOKUP(C150,'설문지 응답 시트1'!C:H,3,FALSE),"")</f>
        <v/>
      </c>
      <c r="G150" s="182"/>
      <c r="H150" s="181" t="str">
        <f>IFERROR(VLOOKUP(C150,'설문지 응답 시트1'!C:H,6,FALSE),"")</f>
        <v/>
      </c>
      <c r="I150" s="182"/>
      <c r="J150" s="182"/>
      <c r="K150" s="182"/>
      <c r="L150" s="105"/>
      <c r="M150" s="183"/>
      <c r="N150" s="182"/>
      <c r="O150" s="103"/>
      <c r="P150" s="103"/>
      <c r="Q150" s="104"/>
      <c r="R150" s="187"/>
      <c r="S150" s="182"/>
      <c r="T150" s="182"/>
      <c r="U150" s="182"/>
      <c r="V150" s="182"/>
      <c r="W150" s="182"/>
      <c r="X150" s="182"/>
      <c r="Y150" s="182"/>
      <c r="Z150" s="182"/>
      <c r="AA150" s="182"/>
      <c r="AB150" s="182"/>
      <c r="AC150" s="182"/>
      <c r="AD150" s="181"/>
      <c r="AE150" s="182"/>
      <c r="AF150" s="184"/>
      <c r="AG150" s="182"/>
      <c r="AH150" s="185"/>
      <c r="AI150" s="186"/>
      <c r="AJ150" s="9"/>
    </row>
    <row r="151" spans="1:36" ht="12.75" x14ac:dyDescent="0.2">
      <c r="A151" s="91"/>
      <c r="B151" s="101">
        <f t="shared" si="3"/>
        <v>141</v>
      </c>
      <c r="C151" s="181"/>
      <c r="D151" s="182"/>
      <c r="E151" s="102" t="str">
        <f>IFERROR(VLOOKUP(C151,'설문지 응답 시트1'!C:H,2,FALSE),"")</f>
        <v/>
      </c>
      <c r="F151" s="181" t="str">
        <f>IFERROR(VLOOKUP(C151,'설문지 응답 시트1'!C:H,3,FALSE),"")</f>
        <v/>
      </c>
      <c r="G151" s="182"/>
      <c r="H151" s="181" t="str">
        <f>IFERROR(VLOOKUP(C151,'설문지 응답 시트1'!C:H,6,FALSE),"")</f>
        <v/>
      </c>
      <c r="I151" s="182"/>
      <c r="J151" s="182"/>
      <c r="K151" s="182"/>
      <c r="L151" s="105"/>
      <c r="M151" s="183"/>
      <c r="N151" s="182"/>
      <c r="O151" s="103"/>
      <c r="P151" s="103"/>
      <c r="Q151" s="104"/>
      <c r="R151" s="187"/>
      <c r="S151" s="182"/>
      <c r="T151" s="182"/>
      <c r="U151" s="182"/>
      <c r="V151" s="182"/>
      <c r="W151" s="182"/>
      <c r="X151" s="182"/>
      <c r="Y151" s="182"/>
      <c r="Z151" s="182"/>
      <c r="AA151" s="182"/>
      <c r="AB151" s="182"/>
      <c r="AC151" s="182"/>
      <c r="AD151" s="181"/>
      <c r="AE151" s="182"/>
      <c r="AF151" s="184"/>
      <c r="AG151" s="182"/>
      <c r="AH151" s="185"/>
      <c r="AI151" s="186"/>
      <c r="AJ151" s="9"/>
    </row>
    <row r="152" spans="1:36" ht="12.75" x14ac:dyDescent="0.2">
      <c r="A152" s="91"/>
      <c r="B152" s="101">
        <f t="shared" si="3"/>
        <v>142</v>
      </c>
      <c r="C152" s="181"/>
      <c r="D152" s="182"/>
      <c r="E152" s="102" t="str">
        <f>IFERROR(VLOOKUP(C152,'설문지 응답 시트1'!C:H,2,FALSE),"")</f>
        <v/>
      </c>
      <c r="F152" s="181" t="str">
        <f>IFERROR(VLOOKUP(C152,'설문지 응답 시트1'!C:H,3,FALSE),"")</f>
        <v/>
      </c>
      <c r="G152" s="182"/>
      <c r="H152" s="181" t="str">
        <f>IFERROR(VLOOKUP(C152,'설문지 응답 시트1'!C:H,6,FALSE),"")</f>
        <v/>
      </c>
      <c r="I152" s="182"/>
      <c r="J152" s="182"/>
      <c r="K152" s="182"/>
      <c r="L152" s="105"/>
      <c r="M152" s="183"/>
      <c r="N152" s="182"/>
      <c r="O152" s="103"/>
      <c r="P152" s="103"/>
      <c r="Q152" s="104"/>
      <c r="R152" s="187"/>
      <c r="S152" s="182"/>
      <c r="T152" s="182"/>
      <c r="U152" s="182"/>
      <c r="V152" s="182"/>
      <c r="W152" s="182"/>
      <c r="X152" s="182"/>
      <c r="Y152" s="182"/>
      <c r="Z152" s="182"/>
      <c r="AA152" s="182"/>
      <c r="AB152" s="182"/>
      <c r="AC152" s="182"/>
      <c r="AD152" s="181"/>
      <c r="AE152" s="182"/>
      <c r="AF152" s="184"/>
      <c r="AG152" s="182"/>
      <c r="AH152" s="185"/>
      <c r="AI152" s="186"/>
      <c r="AJ152" s="9"/>
    </row>
    <row r="153" spans="1:36" ht="12.75" x14ac:dyDescent="0.2">
      <c r="A153" s="91"/>
      <c r="B153" s="101">
        <f t="shared" si="3"/>
        <v>143</v>
      </c>
      <c r="C153" s="181"/>
      <c r="D153" s="182"/>
      <c r="E153" s="102" t="str">
        <f>IFERROR(VLOOKUP(C153,'설문지 응답 시트1'!C:H,2,FALSE),"")</f>
        <v/>
      </c>
      <c r="F153" s="181" t="str">
        <f>IFERROR(VLOOKUP(C153,'설문지 응답 시트1'!C:H,3,FALSE),"")</f>
        <v/>
      </c>
      <c r="G153" s="182"/>
      <c r="H153" s="181" t="str">
        <f>IFERROR(VLOOKUP(C153,'설문지 응답 시트1'!C:H,6,FALSE),"")</f>
        <v/>
      </c>
      <c r="I153" s="182"/>
      <c r="J153" s="182"/>
      <c r="K153" s="182"/>
      <c r="L153" s="105"/>
      <c r="M153" s="183"/>
      <c r="N153" s="182"/>
      <c r="O153" s="103"/>
      <c r="P153" s="103"/>
      <c r="Q153" s="104"/>
      <c r="R153" s="187"/>
      <c r="S153" s="182"/>
      <c r="T153" s="182"/>
      <c r="U153" s="182"/>
      <c r="V153" s="182"/>
      <c r="W153" s="182"/>
      <c r="X153" s="182"/>
      <c r="Y153" s="182"/>
      <c r="Z153" s="182"/>
      <c r="AA153" s="182"/>
      <c r="AB153" s="182"/>
      <c r="AC153" s="182"/>
      <c r="AD153" s="181"/>
      <c r="AE153" s="182"/>
      <c r="AF153" s="184"/>
      <c r="AG153" s="182"/>
      <c r="AH153" s="185"/>
      <c r="AI153" s="186"/>
      <c r="AJ153" s="9"/>
    </row>
    <row r="154" spans="1:36" ht="12.75" x14ac:dyDescent="0.2">
      <c r="A154" s="91"/>
      <c r="B154" s="101">
        <f t="shared" si="3"/>
        <v>144</v>
      </c>
      <c r="C154" s="181"/>
      <c r="D154" s="182"/>
      <c r="E154" s="102" t="str">
        <f>IFERROR(VLOOKUP(C154,'설문지 응답 시트1'!C:H,2,FALSE),"")</f>
        <v/>
      </c>
      <c r="F154" s="181" t="str">
        <f>IFERROR(VLOOKUP(C154,'설문지 응답 시트1'!C:H,3,FALSE),"")</f>
        <v/>
      </c>
      <c r="G154" s="182"/>
      <c r="H154" s="181" t="str">
        <f>IFERROR(VLOOKUP(C154,'설문지 응답 시트1'!C:H,6,FALSE),"")</f>
        <v/>
      </c>
      <c r="I154" s="182"/>
      <c r="J154" s="182"/>
      <c r="K154" s="182"/>
      <c r="L154" s="105"/>
      <c r="M154" s="183"/>
      <c r="N154" s="182"/>
      <c r="O154" s="103"/>
      <c r="P154" s="103"/>
      <c r="Q154" s="104"/>
      <c r="R154" s="187"/>
      <c r="S154" s="182"/>
      <c r="T154" s="182"/>
      <c r="U154" s="182"/>
      <c r="V154" s="182"/>
      <c r="W154" s="182"/>
      <c r="X154" s="182"/>
      <c r="Y154" s="182"/>
      <c r="Z154" s="182"/>
      <c r="AA154" s="182"/>
      <c r="AB154" s="182"/>
      <c r="AC154" s="182"/>
      <c r="AD154" s="181"/>
      <c r="AE154" s="182"/>
      <c r="AF154" s="184"/>
      <c r="AG154" s="182"/>
      <c r="AH154" s="185"/>
      <c r="AI154" s="186"/>
      <c r="AJ154" s="9"/>
    </row>
    <row r="155" spans="1:36" ht="12.75" x14ac:dyDescent="0.2">
      <c r="A155" s="91"/>
      <c r="B155" s="101">
        <f t="shared" si="3"/>
        <v>145</v>
      </c>
      <c r="C155" s="181"/>
      <c r="D155" s="182"/>
      <c r="E155" s="102" t="str">
        <f>IFERROR(VLOOKUP(C155,'설문지 응답 시트1'!C:H,2,FALSE),"")</f>
        <v/>
      </c>
      <c r="F155" s="181" t="str">
        <f>IFERROR(VLOOKUP(C155,'설문지 응답 시트1'!C:H,3,FALSE),"")</f>
        <v/>
      </c>
      <c r="G155" s="182"/>
      <c r="H155" s="181" t="str">
        <f>IFERROR(VLOOKUP(C155,'설문지 응답 시트1'!C:H,6,FALSE),"")</f>
        <v/>
      </c>
      <c r="I155" s="182"/>
      <c r="J155" s="182"/>
      <c r="K155" s="182"/>
      <c r="L155" s="105"/>
      <c r="M155" s="183"/>
      <c r="N155" s="182"/>
      <c r="O155" s="103"/>
      <c r="P155" s="103"/>
      <c r="Q155" s="104"/>
      <c r="R155" s="187"/>
      <c r="S155" s="182"/>
      <c r="T155" s="182"/>
      <c r="U155" s="182"/>
      <c r="V155" s="182"/>
      <c r="W155" s="182"/>
      <c r="X155" s="182"/>
      <c r="Y155" s="182"/>
      <c r="Z155" s="182"/>
      <c r="AA155" s="182"/>
      <c r="AB155" s="182"/>
      <c r="AC155" s="182"/>
      <c r="AD155" s="181"/>
      <c r="AE155" s="182"/>
      <c r="AF155" s="184"/>
      <c r="AG155" s="182"/>
      <c r="AH155" s="185"/>
      <c r="AI155" s="186"/>
      <c r="AJ155" s="9"/>
    </row>
    <row r="156" spans="1:36" ht="12.75" x14ac:dyDescent="0.2">
      <c r="A156" s="91"/>
      <c r="B156" s="101">
        <f t="shared" si="3"/>
        <v>146</v>
      </c>
      <c r="C156" s="181"/>
      <c r="D156" s="182"/>
      <c r="E156" s="102" t="str">
        <f>IFERROR(VLOOKUP(C156,'설문지 응답 시트1'!C:H,2,FALSE),"")</f>
        <v/>
      </c>
      <c r="F156" s="181" t="str">
        <f>IFERROR(VLOOKUP(C156,'설문지 응답 시트1'!C:H,3,FALSE),"")</f>
        <v/>
      </c>
      <c r="G156" s="182"/>
      <c r="H156" s="181" t="str">
        <f>IFERROR(VLOOKUP(C156,'설문지 응답 시트1'!C:H,6,FALSE),"")</f>
        <v/>
      </c>
      <c r="I156" s="182"/>
      <c r="J156" s="182"/>
      <c r="K156" s="182"/>
      <c r="L156" s="105"/>
      <c r="M156" s="183"/>
      <c r="N156" s="182"/>
      <c r="O156" s="103"/>
      <c r="P156" s="103"/>
      <c r="Q156" s="104"/>
      <c r="R156" s="187"/>
      <c r="S156" s="182"/>
      <c r="T156" s="182"/>
      <c r="U156" s="182"/>
      <c r="V156" s="182"/>
      <c r="W156" s="182"/>
      <c r="X156" s="182"/>
      <c r="Y156" s="182"/>
      <c r="Z156" s="182"/>
      <c r="AA156" s="182"/>
      <c r="AB156" s="182"/>
      <c r="AC156" s="182"/>
      <c r="AD156" s="181"/>
      <c r="AE156" s="182"/>
      <c r="AF156" s="184"/>
      <c r="AG156" s="182"/>
      <c r="AH156" s="185"/>
      <c r="AI156" s="186"/>
      <c r="AJ156" s="9"/>
    </row>
    <row r="157" spans="1:36" ht="12.75" x14ac:dyDescent="0.2">
      <c r="A157" s="91"/>
      <c r="B157" s="101">
        <f t="shared" si="3"/>
        <v>147</v>
      </c>
      <c r="C157" s="181"/>
      <c r="D157" s="182"/>
      <c r="E157" s="102" t="str">
        <f>IFERROR(VLOOKUP(C157,'설문지 응답 시트1'!C:H,2,FALSE),"")</f>
        <v/>
      </c>
      <c r="F157" s="181" t="str">
        <f>IFERROR(VLOOKUP(C157,'설문지 응답 시트1'!C:H,3,FALSE),"")</f>
        <v/>
      </c>
      <c r="G157" s="182"/>
      <c r="H157" s="181" t="str">
        <f>IFERROR(VLOOKUP(C157,'설문지 응답 시트1'!C:H,6,FALSE),"")</f>
        <v/>
      </c>
      <c r="I157" s="182"/>
      <c r="J157" s="182"/>
      <c r="K157" s="182"/>
      <c r="L157" s="105"/>
      <c r="M157" s="183"/>
      <c r="N157" s="182"/>
      <c r="O157" s="103"/>
      <c r="P157" s="103"/>
      <c r="Q157" s="104"/>
      <c r="R157" s="187"/>
      <c r="S157" s="182"/>
      <c r="T157" s="182"/>
      <c r="U157" s="182"/>
      <c r="V157" s="182"/>
      <c r="W157" s="182"/>
      <c r="X157" s="182"/>
      <c r="Y157" s="182"/>
      <c r="Z157" s="182"/>
      <c r="AA157" s="182"/>
      <c r="AB157" s="182"/>
      <c r="AC157" s="182"/>
      <c r="AD157" s="181"/>
      <c r="AE157" s="182"/>
      <c r="AF157" s="184"/>
      <c r="AG157" s="182"/>
      <c r="AH157" s="185"/>
      <c r="AI157" s="186"/>
      <c r="AJ157" s="9"/>
    </row>
    <row r="158" spans="1:36" ht="12.75" x14ac:dyDescent="0.2">
      <c r="A158" s="91"/>
      <c r="B158" s="101">
        <f t="shared" si="3"/>
        <v>148</v>
      </c>
      <c r="C158" s="181"/>
      <c r="D158" s="182"/>
      <c r="E158" s="102" t="str">
        <f>IFERROR(VLOOKUP(C158,'설문지 응답 시트1'!C:H,2,FALSE),"")</f>
        <v/>
      </c>
      <c r="F158" s="181" t="str">
        <f>IFERROR(VLOOKUP(C158,'설문지 응답 시트1'!C:H,3,FALSE),"")</f>
        <v/>
      </c>
      <c r="G158" s="182"/>
      <c r="H158" s="181" t="str">
        <f>IFERROR(VLOOKUP(C158,'설문지 응답 시트1'!C:H,6,FALSE),"")</f>
        <v/>
      </c>
      <c r="I158" s="182"/>
      <c r="J158" s="182"/>
      <c r="K158" s="182"/>
      <c r="L158" s="105"/>
      <c r="M158" s="183"/>
      <c r="N158" s="182"/>
      <c r="O158" s="103"/>
      <c r="P158" s="103"/>
      <c r="Q158" s="104"/>
      <c r="R158" s="187"/>
      <c r="S158" s="182"/>
      <c r="T158" s="182"/>
      <c r="U158" s="182"/>
      <c r="V158" s="182"/>
      <c r="W158" s="182"/>
      <c r="X158" s="182"/>
      <c r="Y158" s="182"/>
      <c r="Z158" s="182"/>
      <c r="AA158" s="182"/>
      <c r="AB158" s="182"/>
      <c r="AC158" s="182"/>
      <c r="AD158" s="181"/>
      <c r="AE158" s="182"/>
      <c r="AF158" s="184"/>
      <c r="AG158" s="182"/>
      <c r="AH158" s="185"/>
      <c r="AI158" s="186"/>
      <c r="AJ158" s="9"/>
    </row>
    <row r="159" spans="1:36" ht="12.75" x14ac:dyDescent="0.2">
      <c r="A159" s="91"/>
      <c r="B159" s="101">
        <f t="shared" si="3"/>
        <v>149</v>
      </c>
      <c r="C159" s="181"/>
      <c r="D159" s="182"/>
      <c r="E159" s="102" t="str">
        <f>IFERROR(VLOOKUP(C159,'설문지 응답 시트1'!C:H,2,FALSE),"")</f>
        <v/>
      </c>
      <c r="F159" s="181" t="str">
        <f>IFERROR(VLOOKUP(C159,'설문지 응답 시트1'!C:H,3,FALSE),"")</f>
        <v/>
      </c>
      <c r="G159" s="182"/>
      <c r="H159" s="181" t="str">
        <f>IFERROR(VLOOKUP(C159,'설문지 응답 시트1'!C:H,6,FALSE),"")</f>
        <v/>
      </c>
      <c r="I159" s="182"/>
      <c r="J159" s="182"/>
      <c r="K159" s="182"/>
      <c r="L159" s="105"/>
      <c r="M159" s="183"/>
      <c r="N159" s="182"/>
      <c r="O159" s="103"/>
      <c r="P159" s="103"/>
      <c r="Q159" s="104"/>
      <c r="R159" s="187"/>
      <c r="S159" s="182"/>
      <c r="T159" s="182"/>
      <c r="U159" s="182"/>
      <c r="V159" s="182"/>
      <c r="W159" s="182"/>
      <c r="X159" s="182"/>
      <c r="Y159" s="182"/>
      <c r="Z159" s="182"/>
      <c r="AA159" s="182"/>
      <c r="AB159" s="182"/>
      <c r="AC159" s="182"/>
      <c r="AD159" s="181"/>
      <c r="AE159" s="182"/>
      <c r="AF159" s="184"/>
      <c r="AG159" s="182"/>
      <c r="AH159" s="185"/>
      <c r="AI159" s="186"/>
      <c r="AJ159" s="9"/>
    </row>
    <row r="160" spans="1:36" ht="12.75" x14ac:dyDescent="0.2">
      <c r="A160" s="91"/>
      <c r="B160" s="101">
        <f t="shared" si="3"/>
        <v>150</v>
      </c>
      <c r="C160" s="181"/>
      <c r="D160" s="182"/>
      <c r="E160" s="102" t="str">
        <f>IFERROR(VLOOKUP(C160,'설문지 응답 시트1'!C:H,2,FALSE),"")</f>
        <v/>
      </c>
      <c r="F160" s="181" t="str">
        <f>IFERROR(VLOOKUP(C160,'설문지 응답 시트1'!C:H,3,FALSE),"")</f>
        <v/>
      </c>
      <c r="G160" s="182"/>
      <c r="H160" s="181" t="str">
        <f>IFERROR(VLOOKUP(C160,'설문지 응답 시트1'!C:H,6,FALSE),"")</f>
        <v/>
      </c>
      <c r="I160" s="182"/>
      <c r="J160" s="182"/>
      <c r="K160" s="182"/>
      <c r="L160" s="105"/>
      <c r="M160" s="183"/>
      <c r="N160" s="182"/>
      <c r="O160" s="103"/>
      <c r="P160" s="103"/>
      <c r="Q160" s="104"/>
      <c r="R160" s="187"/>
      <c r="S160" s="182"/>
      <c r="T160" s="182"/>
      <c r="U160" s="182"/>
      <c r="V160" s="182"/>
      <c r="W160" s="182"/>
      <c r="X160" s="182"/>
      <c r="Y160" s="182"/>
      <c r="Z160" s="182"/>
      <c r="AA160" s="182"/>
      <c r="AB160" s="182"/>
      <c r="AC160" s="182"/>
      <c r="AD160" s="181"/>
      <c r="AE160" s="182"/>
      <c r="AF160" s="184"/>
      <c r="AG160" s="182"/>
      <c r="AH160" s="185"/>
      <c r="AI160" s="186"/>
      <c r="AJ160" s="9"/>
    </row>
    <row r="161" spans="1:36" ht="12.75" x14ac:dyDescent="0.2">
      <c r="A161" s="91"/>
      <c r="B161" s="101">
        <f t="shared" si="3"/>
        <v>151</v>
      </c>
      <c r="C161" s="181"/>
      <c r="D161" s="182"/>
      <c r="E161" s="102" t="str">
        <f>IFERROR(VLOOKUP(C161,'설문지 응답 시트1'!C:H,2,FALSE),"")</f>
        <v/>
      </c>
      <c r="F161" s="181" t="str">
        <f>IFERROR(VLOOKUP(C161,'설문지 응답 시트1'!C:H,3,FALSE),"")</f>
        <v/>
      </c>
      <c r="G161" s="182"/>
      <c r="H161" s="181" t="str">
        <f>IFERROR(VLOOKUP(C161,'설문지 응답 시트1'!C:H,6,FALSE),"")</f>
        <v/>
      </c>
      <c r="I161" s="182"/>
      <c r="J161" s="182"/>
      <c r="K161" s="182"/>
      <c r="L161" s="105"/>
      <c r="M161" s="183"/>
      <c r="N161" s="182"/>
      <c r="O161" s="103"/>
      <c r="P161" s="103"/>
      <c r="Q161" s="104"/>
      <c r="R161" s="187"/>
      <c r="S161" s="182"/>
      <c r="T161" s="182"/>
      <c r="U161" s="182"/>
      <c r="V161" s="182"/>
      <c r="W161" s="182"/>
      <c r="X161" s="182"/>
      <c r="Y161" s="182"/>
      <c r="Z161" s="182"/>
      <c r="AA161" s="182"/>
      <c r="AB161" s="182"/>
      <c r="AC161" s="182"/>
      <c r="AD161" s="181"/>
      <c r="AE161" s="182"/>
      <c r="AF161" s="184"/>
      <c r="AG161" s="182"/>
      <c r="AH161" s="185"/>
      <c r="AI161" s="186"/>
      <c r="AJ161" s="9"/>
    </row>
    <row r="162" spans="1:36" ht="12.75" x14ac:dyDescent="0.2">
      <c r="A162" s="91"/>
      <c r="B162" s="101">
        <f t="shared" si="3"/>
        <v>152</v>
      </c>
      <c r="C162" s="181"/>
      <c r="D162" s="182"/>
      <c r="E162" s="102" t="str">
        <f>IFERROR(VLOOKUP(C162,'설문지 응답 시트1'!C:H,2,FALSE),"")</f>
        <v/>
      </c>
      <c r="F162" s="181" t="str">
        <f>IFERROR(VLOOKUP(C162,'설문지 응답 시트1'!C:H,3,FALSE),"")</f>
        <v/>
      </c>
      <c r="G162" s="182"/>
      <c r="H162" s="181" t="str">
        <f>IFERROR(VLOOKUP(C162,'설문지 응답 시트1'!C:H,6,FALSE),"")</f>
        <v/>
      </c>
      <c r="I162" s="182"/>
      <c r="J162" s="182"/>
      <c r="K162" s="182"/>
      <c r="L162" s="105"/>
      <c r="M162" s="183"/>
      <c r="N162" s="182"/>
      <c r="O162" s="103"/>
      <c r="P162" s="103"/>
      <c r="Q162" s="104"/>
      <c r="R162" s="187"/>
      <c r="S162" s="182"/>
      <c r="T162" s="182"/>
      <c r="U162" s="182"/>
      <c r="V162" s="182"/>
      <c r="W162" s="182"/>
      <c r="X162" s="182"/>
      <c r="Y162" s="182"/>
      <c r="Z162" s="182"/>
      <c r="AA162" s="182"/>
      <c r="AB162" s="182"/>
      <c r="AC162" s="182"/>
      <c r="AD162" s="181"/>
      <c r="AE162" s="182"/>
      <c r="AF162" s="184"/>
      <c r="AG162" s="182"/>
      <c r="AH162" s="185"/>
      <c r="AI162" s="186"/>
      <c r="AJ162" s="9"/>
    </row>
    <row r="163" spans="1:36" ht="12.75" x14ac:dyDescent="0.2">
      <c r="A163" s="91"/>
      <c r="B163" s="101">
        <f t="shared" si="3"/>
        <v>153</v>
      </c>
      <c r="C163" s="181"/>
      <c r="D163" s="182"/>
      <c r="E163" s="102" t="str">
        <f>IFERROR(VLOOKUP(C163,'설문지 응답 시트1'!C:H,2,FALSE),"")</f>
        <v/>
      </c>
      <c r="F163" s="181" t="str">
        <f>IFERROR(VLOOKUP(C163,'설문지 응답 시트1'!C:H,3,FALSE),"")</f>
        <v/>
      </c>
      <c r="G163" s="182"/>
      <c r="H163" s="181" t="str">
        <f>IFERROR(VLOOKUP(C163,'설문지 응답 시트1'!C:H,6,FALSE),"")</f>
        <v/>
      </c>
      <c r="I163" s="182"/>
      <c r="J163" s="182"/>
      <c r="K163" s="182"/>
      <c r="L163" s="105"/>
      <c r="M163" s="183"/>
      <c r="N163" s="182"/>
      <c r="O163" s="103"/>
      <c r="P163" s="103"/>
      <c r="Q163" s="104"/>
      <c r="R163" s="187"/>
      <c r="S163" s="182"/>
      <c r="T163" s="182"/>
      <c r="U163" s="182"/>
      <c r="V163" s="182"/>
      <c r="W163" s="182"/>
      <c r="X163" s="182"/>
      <c r="Y163" s="182"/>
      <c r="Z163" s="182"/>
      <c r="AA163" s="182"/>
      <c r="AB163" s="182"/>
      <c r="AC163" s="182"/>
      <c r="AD163" s="181"/>
      <c r="AE163" s="182"/>
      <c r="AF163" s="184"/>
      <c r="AG163" s="182"/>
      <c r="AH163" s="185"/>
      <c r="AI163" s="186"/>
      <c r="AJ163" s="9"/>
    </row>
    <row r="164" spans="1:36" ht="12.75" x14ac:dyDescent="0.2">
      <c r="A164" s="91"/>
      <c r="B164" s="101">
        <f t="shared" si="3"/>
        <v>154</v>
      </c>
      <c r="C164" s="181"/>
      <c r="D164" s="182"/>
      <c r="E164" s="102" t="str">
        <f>IFERROR(VLOOKUP(C164,'설문지 응답 시트1'!C:H,2,FALSE),"")</f>
        <v/>
      </c>
      <c r="F164" s="181" t="str">
        <f>IFERROR(VLOOKUP(C164,'설문지 응답 시트1'!C:H,3,FALSE),"")</f>
        <v/>
      </c>
      <c r="G164" s="182"/>
      <c r="H164" s="181" t="str">
        <f>IFERROR(VLOOKUP(C164,'설문지 응답 시트1'!C:H,6,FALSE),"")</f>
        <v/>
      </c>
      <c r="I164" s="182"/>
      <c r="J164" s="182"/>
      <c r="K164" s="182"/>
      <c r="L164" s="105"/>
      <c r="M164" s="183"/>
      <c r="N164" s="182"/>
      <c r="O164" s="103"/>
      <c r="P164" s="103"/>
      <c r="Q164" s="104"/>
      <c r="R164" s="187"/>
      <c r="S164" s="182"/>
      <c r="T164" s="182"/>
      <c r="U164" s="182"/>
      <c r="V164" s="182"/>
      <c r="W164" s="182"/>
      <c r="X164" s="182"/>
      <c r="Y164" s="182"/>
      <c r="Z164" s="182"/>
      <c r="AA164" s="182"/>
      <c r="AB164" s="182"/>
      <c r="AC164" s="182"/>
      <c r="AD164" s="181"/>
      <c r="AE164" s="182"/>
      <c r="AF164" s="184"/>
      <c r="AG164" s="182"/>
      <c r="AH164" s="185"/>
      <c r="AI164" s="186"/>
      <c r="AJ164" s="9"/>
    </row>
    <row r="165" spans="1:36" ht="12.75" x14ac:dyDescent="0.2">
      <c r="A165" s="91"/>
      <c r="B165" s="101">
        <f t="shared" si="3"/>
        <v>155</v>
      </c>
      <c r="C165" s="181"/>
      <c r="D165" s="182"/>
      <c r="E165" s="102" t="str">
        <f>IFERROR(VLOOKUP(C165,'설문지 응답 시트1'!C:H,2,FALSE),"")</f>
        <v/>
      </c>
      <c r="F165" s="181" t="str">
        <f>IFERROR(VLOOKUP(C165,'설문지 응답 시트1'!C:H,3,FALSE),"")</f>
        <v/>
      </c>
      <c r="G165" s="182"/>
      <c r="H165" s="181" t="str">
        <f>IFERROR(VLOOKUP(C165,'설문지 응답 시트1'!C:H,6,FALSE),"")</f>
        <v/>
      </c>
      <c r="I165" s="182"/>
      <c r="J165" s="182"/>
      <c r="K165" s="182"/>
      <c r="L165" s="105"/>
      <c r="M165" s="183"/>
      <c r="N165" s="182"/>
      <c r="O165" s="103"/>
      <c r="P165" s="103"/>
      <c r="Q165" s="104"/>
      <c r="R165" s="187"/>
      <c r="S165" s="182"/>
      <c r="T165" s="182"/>
      <c r="U165" s="182"/>
      <c r="V165" s="182"/>
      <c r="W165" s="182"/>
      <c r="X165" s="182"/>
      <c r="Y165" s="182"/>
      <c r="Z165" s="182"/>
      <c r="AA165" s="182"/>
      <c r="AB165" s="182"/>
      <c r="AC165" s="182"/>
      <c r="AD165" s="181"/>
      <c r="AE165" s="182"/>
      <c r="AF165" s="184"/>
      <c r="AG165" s="182"/>
      <c r="AH165" s="185"/>
      <c r="AI165" s="186"/>
      <c r="AJ165" s="9"/>
    </row>
    <row r="166" spans="1:36" ht="12.75" x14ac:dyDescent="0.2">
      <c r="A166" s="91"/>
      <c r="B166" s="101">
        <f t="shared" si="3"/>
        <v>156</v>
      </c>
      <c r="C166" s="181"/>
      <c r="D166" s="182"/>
      <c r="E166" s="102" t="str">
        <f>IFERROR(VLOOKUP(C166,'설문지 응답 시트1'!C:H,2,FALSE),"")</f>
        <v/>
      </c>
      <c r="F166" s="181" t="str">
        <f>IFERROR(VLOOKUP(C166,'설문지 응답 시트1'!C:H,3,FALSE),"")</f>
        <v/>
      </c>
      <c r="G166" s="182"/>
      <c r="H166" s="181" t="str">
        <f>IFERROR(VLOOKUP(C166,'설문지 응답 시트1'!C:H,6,FALSE),"")</f>
        <v/>
      </c>
      <c r="I166" s="182"/>
      <c r="J166" s="182"/>
      <c r="K166" s="182"/>
      <c r="L166" s="105"/>
      <c r="M166" s="183"/>
      <c r="N166" s="182"/>
      <c r="O166" s="103"/>
      <c r="P166" s="103"/>
      <c r="Q166" s="104"/>
      <c r="R166" s="187"/>
      <c r="S166" s="182"/>
      <c r="T166" s="182"/>
      <c r="U166" s="182"/>
      <c r="V166" s="182"/>
      <c r="W166" s="182"/>
      <c r="X166" s="182"/>
      <c r="Y166" s="182"/>
      <c r="Z166" s="182"/>
      <c r="AA166" s="182"/>
      <c r="AB166" s="182"/>
      <c r="AC166" s="182"/>
      <c r="AD166" s="181"/>
      <c r="AE166" s="182"/>
      <c r="AF166" s="184"/>
      <c r="AG166" s="182"/>
      <c r="AH166" s="185"/>
      <c r="AI166" s="186"/>
      <c r="AJ166" s="9"/>
    </row>
    <row r="167" spans="1:36" ht="12.75" x14ac:dyDescent="0.2">
      <c r="A167" s="91"/>
      <c r="B167" s="101">
        <f t="shared" si="3"/>
        <v>157</v>
      </c>
      <c r="C167" s="181"/>
      <c r="D167" s="182"/>
      <c r="E167" s="102" t="str">
        <f>IFERROR(VLOOKUP(C167,'설문지 응답 시트1'!C:H,2,FALSE),"")</f>
        <v/>
      </c>
      <c r="F167" s="181" t="str">
        <f>IFERROR(VLOOKUP(C167,'설문지 응답 시트1'!C:H,3,FALSE),"")</f>
        <v/>
      </c>
      <c r="G167" s="182"/>
      <c r="H167" s="181" t="str">
        <f>IFERROR(VLOOKUP(C167,'설문지 응답 시트1'!C:H,6,FALSE),"")</f>
        <v/>
      </c>
      <c r="I167" s="182"/>
      <c r="J167" s="182"/>
      <c r="K167" s="182"/>
      <c r="L167" s="105"/>
      <c r="M167" s="183"/>
      <c r="N167" s="182"/>
      <c r="O167" s="103"/>
      <c r="P167" s="103"/>
      <c r="Q167" s="104"/>
      <c r="R167" s="187"/>
      <c r="S167" s="182"/>
      <c r="T167" s="182"/>
      <c r="U167" s="182"/>
      <c r="V167" s="182"/>
      <c r="W167" s="182"/>
      <c r="X167" s="182"/>
      <c r="Y167" s="182"/>
      <c r="Z167" s="182"/>
      <c r="AA167" s="182"/>
      <c r="AB167" s="182"/>
      <c r="AC167" s="182"/>
      <c r="AD167" s="181"/>
      <c r="AE167" s="182"/>
      <c r="AF167" s="184"/>
      <c r="AG167" s="182"/>
      <c r="AH167" s="185"/>
      <c r="AI167" s="186"/>
      <c r="AJ167" s="9"/>
    </row>
    <row r="168" spans="1:36" ht="12.75" x14ac:dyDescent="0.2">
      <c r="A168" s="91"/>
      <c r="B168" s="101">
        <f t="shared" si="3"/>
        <v>158</v>
      </c>
      <c r="C168" s="181"/>
      <c r="D168" s="182"/>
      <c r="E168" s="102" t="str">
        <f>IFERROR(VLOOKUP(C168,'설문지 응답 시트1'!C:H,2,FALSE),"")</f>
        <v/>
      </c>
      <c r="F168" s="181" t="str">
        <f>IFERROR(VLOOKUP(C168,'설문지 응답 시트1'!C:H,3,FALSE),"")</f>
        <v/>
      </c>
      <c r="G168" s="182"/>
      <c r="H168" s="181" t="str">
        <f>IFERROR(VLOOKUP(C168,'설문지 응답 시트1'!C:H,6,FALSE),"")</f>
        <v/>
      </c>
      <c r="I168" s="182"/>
      <c r="J168" s="182"/>
      <c r="K168" s="182"/>
      <c r="L168" s="105"/>
      <c r="M168" s="183"/>
      <c r="N168" s="182"/>
      <c r="O168" s="103"/>
      <c r="P168" s="103"/>
      <c r="Q168" s="104"/>
      <c r="R168" s="187"/>
      <c r="S168" s="182"/>
      <c r="T168" s="182"/>
      <c r="U168" s="182"/>
      <c r="V168" s="182"/>
      <c r="W168" s="182"/>
      <c r="X168" s="182"/>
      <c r="Y168" s="182"/>
      <c r="Z168" s="182"/>
      <c r="AA168" s="182"/>
      <c r="AB168" s="182"/>
      <c r="AC168" s="182"/>
      <c r="AD168" s="181"/>
      <c r="AE168" s="182"/>
      <c r="AF168" s="184"/>
      <c r="AG168" s="182"/>
      <c r="AH168" s="185"/>
      <c r="AI168" s="186"/>
      <c r="AJ168" s="9"/>
    </row>
    <row r="169" spans="1:36" ht="12.75" x14ac:dyDescent="0.2">
      <c r="A169" s="91"/>
      <c r="B169" s="101">
        <f t="shared" si="3"/>
        <v>159</v>
      </c>
      <c r="C169" s="181"/>
      <c r="D169" s="182"/>
      <c r="E169" s="102" t="str">
        <f>IFERROR(VLOOKUP(C169,'설문지 응답 시트1'!C:H,2,FALSE),"")</f>
        <v/>
      </c>
      <c r="F169" s="181" t="str">
        <f>IFERROR(VLOOKUP(C169,'설문지 응답 시트1'!C:H,3,FALSE),"")</f>
        <v/>
      </c>
      <c r="G169" s="182"/>
      <c r="H169" s="181" t="str">
        <f>IFERROR(VLOOKUP(C169,'설문지 응답 시트1'!C:H,6,FALSE),"")</f>
        <v/>
      </c>
      <c r="I169" s="182"/>
      <c r="J169" s="182"/>
      <c r="K169" s="182"/>
      <c r="L169" s="105"/>
      <c r="M169" s="183"/>
      <c r="N169" s="182"/>
      <c r="O169" s="103"/>
      <c r="P169" s="103"/>
      <c r="Q169" s="104"/>
      <c r="R169" s="187"/>
      <c r="S169" s="182"/>
      <c r="T169" s="182"/>
      <c r="U169" s="182"/>
      <c r="V169" s="182"/>
      <c r="W169" s="182"/>
      <c r="X169" s="182"/>
      <c r="Y169" s="182"/>
      <c r="Z169" s="182"/>
      <c r="AA169" s="182"/>
      <c r="AB169" s="182"/>
      <c r="AC169" s="182"/>
      <c r="AD169" s="181"/>
      <c r="AE169" s="182"/>
      <c r="AF169" s="184"/>
      <c r="AG169" s="182"/>
      <c r="AH169" s="185"/>
      <c r="AI169" s="186"/>
      <c r="AJ169" s="9"/>
    </row>
    <row r="170" spans="1:36" ht="12.75" x14ac:dyDescent="0.2">
      <c r="A170" s="91"/>
      <c r="B170" s="101">
        <f t="shared" si="3"/>
        <v>160</v>
      </c>
      <c r="C170" s="181"/>
      <c r="D170" s="182"/>
      <c r="E170" s="102" t="str">
        <f>IFERROR(VLOOKUP(C170,'설문지 응답 시트1'!C:H,2,FALSE),"")</f>
        <v/>
      </c>
      <c r="F170" s="181" t="str">
        <f>IFERROR(VLOOKUP(C170,'설문지 응답 시트1'!C:H,3,FALSE),"")</f>
        <v/>
      </c>
      <c r="G170" s="182"/>
      <c r="H170" s="181" t="str">
        <f>IFERROR(VLOOKUP(C170,'설문지 응답 시트1'!C:H,6,FALSE),"")</f>
        <v/>
      </c>
      <c r="I170" s="182"/>
      <c r="J170" s="182"/>
      <c r="K170" s="182"/>
      <c r="L170" s="105"/>
      <c r="M170" s="183"/>
      <c r="N170" s="182"/>
      <c r="O170" s="103"/>
      <c r="P170" s="103"/>
      <c r="Q170" s="104"/>
      <c r="R170" s="187"/>
      <c r="S170" s="182"/>
      <c r="T170" s="182"/>
      <c r="U170" s="182"/>
      <c r="V170" s="182"/>
      <c r="W170" s="182"/>
      <c r="X170" s="182"/>
      <c r="Y170" s="182"/>
      <c r="Z170" s="182"/>
      <c r="AA170" s="182"/>
      <c r="AB170" s="182"/>
      <c r="AC170" s="182"/>
      <c r="AD170" s="181"/>
      <c r="AE170" s="182"/>
      <c r="AF170" s="184"/>
      <c r="AG170" s="182"/>
      <c r="AH170" s="185"/>
      <c r="AI170" s="186"/>
      <c r="AJ170" s="9"/>
    </row>
    <row r="171" spans="1:36" ht="12.75" x14ac:dyDescent="0.2">
      <c r="A171" s="91"/>
      <c r="B171" s="101">
        <f t="shared" si="3"/>
        <v>161</v>
      </c>
      <c r="C171" s="181"/>
      <c r="D171" s="182"/>
      <c r="E171" s="102" t="str">
        <f>IFERROR(VLOOKUP(C171,'설문지 응답 시트1'!C:H,2,FALSE),"")</f>
        <v/>
      </c>
      <c r="F171" s="181" t="str">
        <f>IFERROR(VLOOKUP(C171,'설문지 응답 시트1'!C:H,3,FALSE),"")</f>
        <v/>
      </c>
      <c r="G171" s="182"/>
      <c r="H171" s="181" t="str">
        <f>IFERROR(VLOOKUP(C171,'설문지 응답 시트1'!C:H,6,FALSE),"")</f>
        <v/>
      </c>
      <c r="I171" s="182"/>
      <c r="J171" s="182"/>
      <c r="K171" s="182"/>
      <c r="L171" s="105"/>
      <c r="M171" s="183"/>
      <c r="N171" s="182"/>
      <c r="O171" s="103"/>
      <c r="P171" s="103"/>
      <c r="Q171" s="104"/>
      <c r="R171" s="187"/>
      <c r="S171" s="182"/>
      <c r="T171" s="182"/>
      <c r="U171" s="182"/>
      <c r="V171" s="182"/>
      <c r="W171" s="182"/>
      <c r="X171" s="182"/>
      <c r="Y171" s="182"/>
      <c r="Z171" s="182"/>
      <c r="AA171" s="182"/>
      <c r="AB171" s="182"/>
      <c r="AC171" s="182"/>
      <c r="AD171" s="181"/>
      <c r="AE171" s="182"/>
      <c r="AF171" s="184"/>
      <c r="AG171" s="182"/>
      <c r="AH171" s="185"/>
      <c r="AI171" s="186"/>
      <c r="AJ171" s="9"/>
    </row>
    <row r="172" spans="1:36" ht="12.75" x14ac:dyDescent="0.2">
      <c r="A172" s="91"/>
      <c r="B172" s="101">
        <f t="shared" si="3"/>
        <v>162</v>
      </c>
      <c r="C172" s="181"/>
      <c r="D172" s="182"/>
      <c r="E172" s="102" t="str">
        <f>IFERROR(VLOOKUP(C172,'설문지 응답 시트1'!C:H,2,FALSE),"")</f>
        <v/>
      </c>
      <c r="F172" s="181" t="str">
        <f>IFERROR(VLOOKUP(C172,'설문지 응답 시트1'!C:H,3,FALSE),"")</f>
        <v/>
      </c>
      <c r="G172" s="182"/>
      <c r="H172" s="181" t="str">
        <f>IFERROR(VLOOKUP(C172,'설문지 응답 시트1'!C:H,6,FALSE),"")</f>
        <v/>
      </c>
      <c r="I172" s="182"/>
      <c r="J172" s="182"/>
      <c r="K172" s="182"/>
      <c r="L172" s="105"/>
      <c r="M172" s="183"/>
      <c r="N172" s="182"/>
      <c r="O172" s="103"/>
      <c r="P172" s="103"/>
      <c r="Q172" s="104"/>
      <c r="R172" s="187"/>
      <c r="S172" s="182"/>
      <c r="T172" s="182"/>
      <c r="U172" s="182"/>
      <c r="V172" s="182"/>
      <c r="W172" s="182"/>
      <c r="X172" s="182"/>
      <c r="Y172" s="182"/>
      <c r="Z172" s="182"/>
      <c r="AA172" s="182"/>
      <c r="AB172" s="182"/>
      <c r="AC172" s="182"/>
      <c r="AD172" s="181"/>
      <c r="AE172" s="182"/>
      <c r="AF172" s="184"/>
      <c r="AG172" s="182"/>
      <c r="AH172" s="185"/>
      <c r="AI172" s="186"/>
      <c r="AJ172" s="9"/>
    </row>
    <row r="173" spans="1:36" ht="12.75" x14ac:dyDescent="0.2">
      <c r="A173" s="91"/>
      <c r="B173" s="101">
        <f t="shared" si="3"/>
        <v>163</v>
      </c>
      <c r="C173" s="181"/>
      <c r="D173" s="182"/>
      <c r="E173" s="102" t="str">
        <f>IFERROR(VLOOKUP(C173,'설문지 응답 시트1'!C:H,2,FALSE),"")</f>
        <v/>
      </c>
      <c r="F173" s="181" t="str">
        <f>IFERROR(VLOOKUP(C173,'설문지 응답 시트1'!C:H,3,FALSE),"")</f>
        <v/>
      </c>
      <c r="G173" s="182"/>
      <c r="H173" s="181" t="str">
        <f>IFERROR(VLOOKUP(C173,'설문지 응답 시트1'!C:H,6,FALSE),"")</f>
        <v/>
      </c>
      <c r="I173" s="182"/>
      <c r="J173" s="182"/>
      <c r="K173" s="182"/>
      <c r="L173" s="105"/>
      <c r="M173" s="183"/>
      <c r="N173" s="182"/>
      <c r="O173" s="103"/>
      <c r="P173" s="103"/>
      <c r="Q173" s="104"/>
      <c r="R173" s="187"/>
      <c r="S173" s="182"/>
      <c r="T173" s="182"/>
      <c r="U173" s="182"/>
      <c r="V173" s="182"/>
      <c r="W173" s="182"/>
      <c r="X173" s="182"/>
      <c r="Y173" s="182"/>
      <c r="Z173" s="182"/>
      <c r="AA173" s="182"/>
      <c r="AB173" s="182"/>
      <c r="AC173" s="182"/>
      <c r="AD173" s="181"/>
      <c r="AE173" s="182"/>
      <c r="AF173" s="184"/>
      <c r="AG173" s="182"/>
      <c r="AH173" s="185"/>
      <c r="AI173" s="186"/>
      <c r="AJ173" s="9"/>
    </row>
    <row r="174" spans="1:36" ht="12.75" x14ac:dyDescent="0.2">
      <c r="A174" s="91"/>
      <c r="B174" s="101">
        <f t="shared" si="3"/>
        <v>164</v>
      </c>
      <c r="C174" s="181"/>
      <c r="D174" s="182"/>
      <c r="E174" s="102" t="str">
        <f>IFERROR(VLOOKUP(C174,'설문지 응답 시트1'!C:H,2,FALSE),"")</f>
        <v/>
      </c>
      <c r="F174" s="181" t="str">
        <f>IFERROR(VLOOKUP(C174,'설문지 응답 시트1'!C:H,3,FALSE),"")</f>
        <v/>
      </c>
      <c r="G174" s="182"/>
      <c r="H174" s="181" t="str">
        <f>IFERROR(VLOOKUP(C174,'설문지 응답 시트1'!C:H,6,FALSE),"")</f>
        <v/>
      </c>
      <c r="I174" s="182"/>
      <c r="J174" s="182"/>
      <c r="K174" s="182"/>
      <c r="L174" s="105"/>
      <c r="M174" s="183"/>
      <c r="N174" s="182"/>
      <c r="O174" s="103"/>
      <c r="P174" s="103"/>
      <c r="Q174" s="104"/>
      <c r="R174" s="187"/>
      <c r="S174" s="182"/>
      <c r="T174" s="182"/>
      <c r="U174" s="182"/>
      <c r="V174" s="182"/>
      <c r="W174" s="182"/>
      <c r="X174" s="182"/>
      <c r="Y174" s="182"/>
      <c r="Z174" s="182"/>
      <c r="AA174" s="182"/>
      <c r="AB174" s="182"/>
      <c r="AC174" s="182"/>
      <c r="AD174" s="181"/>
      <c r="AE174" s="182"/>
      <c r="AF174" s="184"/>
      <c r="AG174" s="182"/>
      <c r="AH174" s="185"/>
      <c r="AI174" s="186"/>
      <c r="AJ174" s="9"/>
    </row>
    <row r="175" spans="1:36" ht="12.75" x14ac:dyDescent="0.2">
      <c r="A175" s="91"/>
      <c r="B175" s="101">
        <f t="shared" si="3"/>
        <v>165</v>
      </c>
      <c r="C175" s="181"/>
      <c r="D175" s="182"/>
      <c r="E175" s="102" t="str">
        <f>IFERROR(VLOOKUP(C175,'설문지 응답 시트1'!C:H,2,FALSE),"")</f>
        <v/>
      </c>
      <c r="F175" s="181" t="str">
        <f>IFERROR(VLOOKUP(C175,'설문지 응답 시트1'!C:H,3,FALSE),"")</f>
        <v/>
      </c>
      <c r="G175" s="182"/>
      <c r="H175" s="181" t="str">
        <f>IFERROR(VLOOKUP(C175,'설문지 응답 시트1'!C:H,6,FALSE),"")</f>
        <v/>
      </c>
      <c r="I175" s="182"/>
      <c r="J175" s="182"/>
      <c r="K175" s="182"/>
      <c r="L175" s="105"/>
      <c r="M175" s="183"/>
      <c r="N175" s="182"/>
      <c r="O175" s="103"/>
      <c r="P175" s="103"/>
      <c r="Q175" s="104"/>
      <c r="R175" s="187"/>
      <c r="S175" s="182"/>
      <c r="T175" s="182"/>
      <c r="U175" s="182"/>
      <c r="V175" s="182"/>
      <c r="W175" s="182"/>
      <c r="X175" s="182"/>
      <c r="Y175" s="182"/>
      <c r="Z175" s="182"/>
      <c r="AA175" s="182"/>
      <c r="AB175" s="182"/>
      <c r="AC175" s="182"/>
      <c r="AD175" s="181"/>
      <c r="AE175" s="182"/>
      <c r="AF175" s="184"/>
      <c r="AG175" s="182"/>
      <c r="AH175" s="185"/>
      <c r="AI175" s="186"/>
      <c r="AJ175" s="9"/>
    </row>
    <row r="176" spans="1:36" ht="12.75" x14ac:dyDescent="0.2">
      <c r="A176" s="91"/>
      <c r="B176" s="101">
        <f t="shared" si="3"/>
        <v>166</v>
      </c>
      <c r="C176" s="181"/>
      <c r="D176" s="182"/>
      <c r="E176" s="102" t="str">
        <f>IFERROR(VLOOKUP(C176,'설문지 응답 시트1'!C:H,2,FALSE),"")</f>
        <v/>
      </c>
      <c r="F176" s="181" t="str">
        <f>IFERROR(VLOOKUP(C176,'설문지 응답 시트1'!C:H,3,FALSE),"")</f>
        <v/>
      </c>
      <c r="G176" s="182"/>
      <c r="H176" s="181" t="str">
        <f>IFERROR(VLOOKUP(C176,'설문지 응답 시트1'!C:H,6,FALSE),"")</f>
        <v/>
      </c>
      <c r="I176" s="182"/>
      <c r="J176" s="182"/>
      <c r="K176" s="182"/>
      <c r="L176" s="105"/>
      <c r="M176" s="183"/>
      <c r="N176" s="182"/>
      <c r="O176" s="103"/>
      <c r="P176" s="103"/>
      <c r="Q176" s="104"/>
      <c r="R176" s="187"/>
      <c r="S176" s="182"/>
      <c r="T176" s="182"/>
      <c r="U176" s="182"/>
      <c r="V176" s="182"/>
      <c r="W176" s="182"/>
      <c r="X176" s="182"/>
      <c r="Y176" s="182"/>
      <c r="Z176" s="182"/>
      <c r="AA176" s="182"/>
      <c r="AB176" s="182"/>
      <c r="AC176" s="182"/>
      <c r="AD176" s="181"/>
      <c r="AE176" s="182"/>
      <c r="AF176" s="184"/>
      <c r="AG176" s="182"/>
      <c r="AH176" s="185"/>
      <c r="AI176" s="186"/>
      <c r="AJ176" s="9"/>
    </row>
    <row r="177" spans="1:36" ht="12.75" x14ac:dyDescent="0.2">
      <c r="A177" s="91"/>
      <c r="B177" s="101">
        <f t="shared" si="3"/>
        <v>167</v>
      </c>
      <c r="C177" s="181"/>
      <c r="D177" s="182"/>
      <c r="E177" s="102" t="str">
        <f>IFERROR(VLOOKUP(C177,'설문지 응답 시트1'!C:H,2,FALSE),"")</f>
        <v/>
      </c>
      <c r="F177" s="181" t="str">
        <f>IFERROR(VLOOKUP(C177,'설문지 응답 시트1'!C:H,3,FALSE),"")</f>
        <v/>
      </c>
      <c r="G177" s="182"/>
      <c r="H177" s="181" t="str">
        <f>IFERROR(VLOOKUP(C177,'설문지 응답 시트1'!C:H,6,FALSE),"")</f>
        <v/>
      </c>
      <c r="I177" s="182"/>
      <c r="J177" s="182"/>
      <c r="K177" s="182"/>
      <c r="L177" s="105"/>
      <c r="M177" s="183"/>
      <c r="N177" s="182"/>
      <c r="O177" s="103"/>
      <c r="P177" s="103"/>
      <c r="Q177" s="104"/>
      <c r="R177" s="187"/>
      <c r="S177" s="182"/>
      <c r="T177" s="182"/>
      <c r="U177" s="182"/>
      <c r="V177" s="182"/>
      <c r="W177" s="182"/>
      <c r="X177" s="182"/>
      <c r="Y177" s="182"/>
      <c r="Z177" s="182"/>
      <c r="AA177" s="182"/>
      <c r="AB177" s="182"/>
      <c r="AC177" s="182"/>
      <c r="AD177" s="181"/>
      <c r="AE177" s="182"/>
      <c r="AF177" s="184"/>
      <c r="AG177" s="182"/>
      <c r="AH177" s="185"/>
      <c r="AI177" s="186"/>
      <c r="AJ177" s="9"/>
    </row>
    <row r="178" spans="1:36" ht="12.75" x14ac:dyDescent="0.2">
      <c r="A178" s="91"/>
      <c r="B178" s="101">
        <f t="shared" si="3"/>
        <v>168</v>
      </c>
      <c r="C178" s="181"/>
      <c r="D178" s="182"/>
      <c r="E178" s="102" t="str">
        <f>IFERROR(VLOOKUP(C178,'설문지 응답 시트1'!C:H,2,FALSE),"")</f>
        <v/>
      </c>
      <c r="F178" s="181" t="str">
        <f>IFERROR(VLOOKUP(C178,'설문지 응답 시트1'!C:H,3,FALSE),"")</f>
        <v/>
      </c>
      <c r="G178" s="182"/>
      <c r="H178" s="181" t="str">
        <f>IFERROR(VLOOKUP(C178,'설문지 응답 시트1'!C:H,6,FALSE),"")</f>
        <v/>
      </c>
      <c r="I178" s="182"/>
      <c r="J178" s="182"/>
      <c r="K178" s="182"/>
      <c r="L178" s="105"/>
      <c r="M178" s="183"/>
      <c r="N178" s="182"/>
      <c r="O178" s="103"/>
      <c r="P178" s="103"/>
      <c r="Q178" s="104"/>
      <c r="R178" s="187"/>
      <c r="S178" s="182"/>
      <c r="T178" s="182"/>
      <c r="U178" s="182"/>
      <c r="V178" s="182"/>
      <c r="W178" s="182"/>
      <c r="X178" s="182"/>
      <c r="Y178" s="182"/>
      <c r="Z178" s="182"/>
      <c r="AA178" s="182"/>
      <c r="AB178" s="182"/>
      <c r="AC178" s="182"/>
      <c r="AD178" s="181"/>
      <c r="AE178" s="182"/>
      <c r="AF178" s="184"/>
      <c r="AG178" s="182"/>
      <c r="AH178" s="185"/>
      <c r="AI178" s="186"/>
      <c r="AJ178" s="9"/>
    </row>
    <row r="179" spans="1:36" ht="12.75" x14ac:dyDescent="0.2">
      <c r="A179" s="91"/>
      <c r="B179" s="101">
        <f t="shared" si="3"/>
        <v>169</v>
      </c>
      <c r="C179" s="181"/>
      <c r="D179" s="182"/>
      <c r="E179" s="102" t="str">
        <f>IFERROR(VLOOKUP(C179,'설문지 응답 시트1'!C:H,2,FALSE),"")</f>
        <v/>
      </c>
      <c r="F179" s="181" t="str">
        <f>IFERROR(VLOOKUP(C179,'설문지 응답 시트1'!C:H,3,FALSE),"")</f>
        <v/>
      </c>
      <c r="G179" s="182"/>
      <c r="H179" s="181" t="str">
        <f>IFERROR(VLOOKUP(C179,'설문지 응답 시트1'!C:H,6,FALSE),"")</f>
        <v/>
      </c>
      <c r="I179" s="182"/>
      <c r="J179" s="182"/>
      <c r="K179" s="182"/>
      <c r="L179" s="105"/>
      <c r="M179" s="183"/>
      <c r="N179" s="182"/>
      <c r="O179" s="103"/>
      <c r="P179" s="103"/>
      <c r="Q179" s="104"/>
      <c r="R179" s="187"/>
      <c r="S179" s="182"/>
      <c r="T179" s="182"/>
      <c r="U179" s="182"/>
      <c r="V179" s="182"/>
      <c r="W179" s="182"/>
      <c r="X179" s="182"/>
      <c r="Y179" s="182"/>
      <c r="Z179" s="182"/>
      <c r="AA179" s="182"/>
      <c r="AB179" s="182"/>
      <c r="AC179" s="182"/>
      <c r="AD179" s="181"/>
      <c r="AE179" s="182"/>
      <c r="AF179" s="184"/>
      <c r="AG179" s="182"/>
      <c r="AH179" s="185"/>
      <c r="AI179" s="186"/>
      <c r="AJ179" s="9"/>
    </row>
    <row r="180" spans="1:36" ht="12.75" x14ac:dyDescent="0.2">
      <c r="A180" s="91"/>
      <c r="B180" s="101">
        <f t="shared" si="3"/>
        <v>170</v>
      </c>
      <c r="C180" s="181"/>
      <c r="D180" s="182"/>
      <c r="E180" s="102" t="str">
        <f>IFERROR(VLOOKUP(C180,'설문지 응답 시트1'!C:H,2,FALSE),"")</f>
        <v/>
      </c>
      <c r="F180" s="181" t="str">
        <f>IFERROR(VLOOKUP(C180,'설문지 응답 시트1'!C:H,3,FALSE),"")</f>
        <v/>
      </c>
      <c r="G180" s="182"/>
      <c r="H180" s="181" t="str">
        <f>IFERROR(VLOOKUP(C180,'설문지 응답 시트1'!C:H,6,FALSE),"")</f>
        <v/>
      </c>
      <c r="I180" s="182"/>
      <c r="J180" s="182"/>
      <c r="K180" s="182"/>
      <c r="L180" s="105"/>
      <c r="M180" s="183"/>
      <c r="N180" s="182"/>
      <c r="O180" s="103"/>
      <c r="P180" s="103"/>
      <c r="Q180" s="104"/>
      <c r="R180" s="187"/>
      <c r="S180" s="182"/>
      <c r="T180" s="182"/>
      <c r="U180" s="182"/>
      <c r="V180" s="182"/>
      <c r="W180" s="182"/>
      <c r="X180" s="182"/>
      <c r="Y180" s="182"/>
      <c r="Z180" s="182"/>
      <c r="AA180" s="182"/>
      <c r="AB180" s="182"/>
      <c r="AC180" s="182"/>
      <c r="AD180" s="181"/>
      <c r="AE180" s="182"/>
      <c r="AF180" s="184"/>
      <c r="AG180" s="182"/>
      <c r="AH180" s="185"/>
      <c r="AI180" s="186"/>
      <c r="AJ180" s="9"/>
    </row>
    <row r="181" spans="1:36" ht="12.75" x14ac:dyDescent="0.2">
      <c r="A181" s="91"/>
      <c r="B181" s="101">
        <f t="shared" si="3"/>
        <v>171</v>
      </c>
      <c r="C181" s="181"/>
      <c r="D181" s="182"/>
      <c r="E181" s="102" t="str">
        <f>IFERROR(VLOOKUP(C181,'설문지 응답 시트1'!C:H,2,FALSE),"")</f>
        <v/>
      </c>
      <c r="F181" s="181" t="str">
        <f>IFERROR(VLOOKUP(C181,'설문지 응답 시트1'!C:H,3,FALSE),"")</f>
        <v/>
      </c>
      <c r="G181" s="182"/>
      <c r="H181" s="181" t="str">
        <f>IFERROR(VLOOKUP(C181,'설문지 응답 시트1'!C:H,6,FALSE),"")</f>
        <v/>
      </c>
      <c r="I181" s="182"/>
      <c r="J181" s="182"/>
      <c r="K181" s="182"/>
      <c r="L181" s="105"/>
      <c r="M181" s="183"/>
      <c r="N181" s="182"/>
      <c r="O181" s="103"/>
      <c r="P181" s="103"/>
      <c r="Q181" s="104"/>
      <c r="R181" s="187"/>
      <c r="S181" s="182"/>
      <c r="T181" s="182"/>
      <c r="U181" s="182"/>
      <c r="V181" s="182"/>
      <c r="W181" s="182"/>
      <c r="X181" s="182"/>
      <c r="Y181" s="182"/>
      <c r="Z181" s="182"/>
      <c r="AA181" s="182"/>
      <c r="AB181" s="182"/>
      <c r="AC181" s="182"/>
      <c r="AD181" s="181"/>
      <c r="AE181" s="182"/>
      <c r="AF181" s="184"/>
      <c r="AG181" s="182"/>
      <c r="AH181" s="185"/>
      <c r="AI181" s="186"/>
      <c r="AJ181" s="9"/>
    </row>
    <row r="182" spans="1:36" ht="12.75" x14ac:dyDescent="0.2">
      <c r="A182" s="91"/>
      <c r="B182" s="101">
        <f t="shared" si="3"/>
        <v>172</v>
      </c>
      <c r="C182" s="181"/>
      <c r="D182" s="182"/>
      <c r="E182" s="102" t="str">
        <f>IFERROR(VLOOKUP(C182,'설문지 응답 시트1'!C:H,2,FALSE),"")</f>
        <v/>
      </c>
      <c r="F182" s="181" t="str">
        <f>IFERROR(VLOOKUP(C182,'설문지 응답 시트1'!C:H,3,FALSE),"")</f>
        <v/>
      </c>
      <c r="G182" s="182"/>
      <c r="H182" s="181" t="str">
        <f>IFERROR(VLOOKUP(C182,'설문지 응답 시트1'!C:H,6,FALSE),"")</f>
        <v/>
      </c>
      <c r="I182" s="182"/>
      <c r="J182" s="182"/>
      <c r="K182" s="182"/>
      <c r="L182" s="105"/>
      <c r="M182" s="183"/>
      <c r="N182" s="182"/>
      <c r="O182" s="103"/>
      <c r="P182" s="103"/>
      <c r="Q182" s="104"/>
      <c r="R182" s="187"/>
      <c r="S182" s="182"/>
      <c r="T182" s="182"/>
      <c r="U182" s="182"/>
      <c r="V182" s="182"/>
      <c r="W182" s="182"/>
      <c r="X182" s="182"/>
      <c r="Y182" s="182"/>
      <c r="Z182" s="182"/>
      <c r="AA182" s="182"/>
      <c r="AB182" s="182"/>
      <c r="AC182" s="182"/>
      <c r="AD182" s="181"/>
      <c r="AE182" s="182"/>
      <c r="AF182" s="184"/>
      <c r="AG182" s="182"/>
      <c r="AH182" s="185"/>
      <c r="AI182" s="186"/>
      <c r="AJ182" s="9"/>
    </row>
    <row r="183" spans="1:36" ht="12.75" x14ac:dyDescent="0.2">
      <c r="A183" s="91"/>
      <c r="B183" s="101">
        <f t="shared" si="3"/>
        <v>173</v>
      </c>
      <c r="C183" s="181"/>
      <c r="D183" s="182"/>
      <c r="E183" s="102" t="str">
        <f>IFERROR(VLOOKUP(C183,'설문지 응답 시트1'!C:H,2,FALSE),"")</f>
        <v/>
      </c>
      <c r="F183" s="181" t="str">
        <f>IFERROR(VLOOKUP(C183,'설문지 응답 시트1'!C:H,3,FALSE),"")</f>
        <v/>
      </c>
      <c r="G183" s="182"/>
      <c r="H183" s="181" t="str">
        <f>IFERROR(VLOOKUP(C183,'설문지 응답 시트1'!C:H,6,FALSE),"")</f>
        <v/>
      </c>
      <c r="I183" s="182"/>
      <c r="J183" s="182"/>
      <c r="K183" s="182"/>
      <c r="L183" s="105"/>
      <c r="M183" s="183"/>
      <c r="N183" s="182"/>
      <c r="O183" s="103"/>
      <c r="P183" s="103"/>
      <c r="Q183" s="104"/>
      <c r="R183" s="187"/>
      <c r="S183" s="182"/>
      <c r="T183" s="182"/>
      <c r="U183" s="182"/>
      <c r="V183" s="182"/>
      <c r="W183" s="182"/>
      <c r="X183" s="182"/>
      <c r="Y183" s="182"/>
      <c r="Z183" s="182"/>
      <c r="AA183" s="182"/>
      <c r="AB183" s="182"/>
      <c r="AC183" s="182"/>
      <c r="AD183" s="181"/>
      <c r="AE183" s="182"/>
      <c r="AF183" s="184"/>
      <c r="AG183" s="182"/>
      <c r="AH183" s="185"/>
      <c r="AI183" s="186"/>
      <c r="AJ183" s="9"/>
    </row>
    <row r="184" spans="1:36" ht="12.75" x14ac:dyDescent="0.2">
      <c r="A184" s="91"/>
      <c r="B184" s="101">
        <f t="shared" si="3"/>
        <v>174</v>
      </c>
      <c r="C184" s="181"/>
      <c r="D184" s="182"/>
      <c r="E184" s="102" t="str">
        <f>IFERROR(VLOOKUP(C184,'설문지 응답 시트1'!C:H,2,FALSE),"")</f>
        <v/>
      </c>
      <c r="F184" s="181" t="str">
        <f>IFERROR(VLOOKUP(C184,'설문지 응답 시트1'!C:H,3,FALSE),"")</f>
        <v/>
      </c>
      <c r="G184" s="182"/>
      <c r="H184" s="181" t="str">
        <f>IFERROR(VLOOKUP(C184,'설문지 응답 시트1'!C:H,6,FALSE),"")</f>
        <v/>
      </c>
      <c r="I184" s="182"/>
      <c r="J184" s="182"/>
      <c r="K184" s="182"/>
      <c r="L184" s="105"/>
      <c r="M184" s="183"/>
      <c r="N184" s="182"/>
      <c r="O184" s="103"/>
      <c r="P184" s="103"/>
      <c r="Q184" s="104"/>
      <c r="R184" s="187"/>
      <c r="S184" s="182"/>
      <c r="T184" s="182"/>
      <c r="U184" s="182"/>
      <c r="V184" s="182"/>
      <c r="W184" s="182"/>
      <c r="X184" s="182"/>
      <c r="Y184" s="182"/>
      <c r="Z184" s="182"/>
      <c r="AA184" s="182"/>
      <c r="AB184" s="182"/>
      <c r="AC184" s="182"/>
      <c r="AD184" s="181"/>
      <c r="AE184" s="182"/>
      <c r="AF184" s="184"/>
      <c r="AG184" s="182"/>
      <c r="AH184" s="185"/>
      <c r="AI184" s="186"/>
      <c r="AJ184" s="9"/>
    </row>
    <row r="185" spans="1:36" ht="12.75" x14ac:dyDescent="0.2">
      <c r="A185" s="91"/>
      <c r="B185" s="101">
        <f t="shared" si="3"/>
        <v>175</v>
      </c>
      <c r="C185" s="181"/>
      <c r="D185" s="182"/>
      <c r="E185" s="102" t="str">
        <f>IFERROR(VLOOKUP(C185,'설문지 응답 시트1'!C:H,2,FALSE),"")</f>
        <v/>
      </c>
      <c r="F185" s="181" t="str">
        <f>IFERROR(VLOOKUP(C185,'설문지 응답 시트1'!C:H,3,FALSE),"")</f>
        <v/>
      </c>
      <c r="G185" s="182"/>
      <c r="H185" s="181" t="str">
        <f>IFERROR(VLOOKUP(C185,'설문지 응답 시트1'!C:H,6,FALSE),"")</f>
        <v/>
      </c>
      <c r="I185" s="182"/>
      <c r="J185" s="182"/>
      <c r="K185" s="182"/>
      <c r="L185" s="105"/>
      <c r="M185" s="183"/>
      <c r="N185" s="182"/>
      <c r="O185" s="103"/>
      <c r="P185" s="103"/>
      <c r="Q185" s="104"/>
      <c r="R185" s="187"/>
      <c r="S185" s="182"/>
      <c r="T185" s="182"/>
      <c r="U185" s="182"/>
      <c r="V185" s="182"/>
      <c r="W185" s="182"/>
      <c r="X185" s="182"/>
      <c r="Y185" s="182"/>
      <c r="Z185" s="182"/>
      <c r="AA185" s="182"/>
      <c r="AB185" s="182"/>
      <c r="AC185" s="182"/>
      <c r="AD185" s="181"/>
      <c r="AE185" s="182"/>
      <c r="AF185" s="184"/>
      <c r="AG185" s="182"/>
      <c r="AH185" s="185"/>
      <c r="AI185" s="186"/>
      <c r="AJ185" s="9"/>
    </row>
    <row r="186" spans="1:36" ht="12.75" x14ac:dyDescent="0.2">
      <c r="A186" s="91"/>
      <c r="B186" s="101">
        <f t="shared" si="3"/>
        <v>176</v>
      </c>
      <c r="C186" s="181"/>
      <c r="D186" s="182"/>
      <c r="E186" s="102" t="str">
        <f>IFERROR(VLOOKUP(C186,'설문지 응답 시트1'!C:H,2,FALSE),"")</f>
        <v/>
      </c>
      <c r="F186" s="181" t="str">
        <f>IFERROR(VLOOKUP(C186,'설문지 응답 시트1'!C:H,3,FALSE),"")</f>
        <v/>
      </c>
      <c r="G186" s="182"/>
      <c r="H186" s="181" t="str">
        <f>IFERROR(VLOOKUP(C186,'설문지 응답 시트1'!C:H,6,FALSE),"")</f>
        <v/>
      </c>
      <c r="I186" s="182"/>
      <c r="J186" s="182"/>
      <c r="K186" s="182"/>
      <c r="L186" s="105"/>
      <c r="M186" s="183"/>
      <c r="N186" s="182"/>
      <c r="O186" s="103"/>
      <c r="P186" s="103"/>
      <c r="Q186" s="104"/>
      <c r="R186" s="187"/>
      <c r="S186" s="182"/>
      <c r="T186" s="182"/>
      <c r="U186" s="182"/>
      <c r="V186" s="182"/>
      <c r="W186" s="182"/>
      <c r="X186" s="182"/>
      <c r="Y186" s="182"/>
      <c r="Z186" s="182"/>
      <c r="AA186" s="182"/>
      <c r="AB186" s="182"/>
      <c r="AC186" s="182"/>
      <c r="AD186" s="181"/>
      <c r="AE186" s="182"/>
      <c r="AF186" s="184"/>
      <c r="AG186" s="182"/>
      <c r="AH186" s="185"/>
      <c r="AI186" s="186"/>
      <c r="AJ186" s="9"/>
    </row>
    <row r="187" spans="1:36" ht="12.75" x14ac:dyDescent="0.2">
      <c r="A187" s="91"/>
      <c r="B187" s="101">
        <f t="shared" si="3"/>
        <v>177</v>
      </c>
      <c r="C187" s="181"/>
      <c r="D187" s="182"/>
      <c r="E187" s="102" t="str">
        <f>IFERROR(VLOOKUP(C187,'설문지 응답 시트1'!C:H,2,FALSE),"")</f>
        <v/>
      </c>
      <c r="F187" s="181" t="str">
        <f>IFERROR(VLOOKUP(C187,'설문지 응답 시트1'!C:H,3,FALSE),"")</f>
        <v/>
      </c>
      <c r="G187" s="182"/>
      <c r="H187" s="181" t="str">
        <f>IFERROR(VLOOKUP(C187,'설문지 응답 시트1'!C:H,6,FALSE),"")</f>
        <v/>
      </c>
      <c r="I187" s="182"/>
      <c r="J187" s="182"/>
      <c r="K187" s="182"/>
      <c r="L187" s="105"/>
      <c r="M187" s="183"/>
      <c r="N187" s="182"/>
      <c r="O187" s="103"/>
      <c r="P187" s="103"/>
      <c r="Q187" s="104"/>
      <c r="R187" s="187"/>
      <c r="S187" s="182"/>
      <c r="T187" s="182"/>
      <c r="U187" s="182"/>
      <c r="V187" s="182"/>
      <c r="W187" s="182"/>
      <c r="X187" s="182"/>
      <c r="Y187" s="182"/>
      <c r="Z187" s="182"/>
      <c r="AA187" s="182"/>
      <c r="AB187" s="182"/>
      <c r="AC187" s="182"/>
      <c r="AD187" s="181"/>
      <c r="AE187" s="182"/>
      <c r="AF187" s="184"/>
      <c r="AG187" s="182"/>
      <c r="AH187" s="185"/>
      <c r="AI187" s="186"/>
      <c r="AJ187" s="9"/>
    </row>
    <row r="188" spans="1:36" ht="12.75" x14ac:dyDescent="0.2">
      <c r="A188" s="91"/>
      <c r="B188" s="101">
        <f t="shared" si="3"/>
        <v>178</v>
      </c>
      <c r="C188" s="181"/>
      <c r="D188" s="182"/>
      <c r="E188" s="102" t="str">
        <f>IFERROR(VLOOKUP(C188,'설문지 응답 시트1'!C:H,2,FALSE),"")</f>
        <v/>
      </c>
      <c r="F188" s="181" t="str">
        <f>IFERROR(VLOOKUP(C188,'설문지 응답 시트1'!C:H,3,FALSE),"")</f>
        <v/>
      </c>
      <c r="G188" s="182"/>
      <c r="H188" s="181" t="str">
        <f>IFERROR(VLOOKUP(C188,'설문지 응답 시트1'!C:H,6,FALSE),"")</f>
        <v/>
      </c>
      <c r="I188" s="182"/>
      <c r="J188" s="182"/>
      <c r="K188" s="182"/>
      <c r="L188" s="105"/>
      <c r="M188" s="183"/>
      <c r="N188" s="182"/>
      <c r="O188" s="103"/>
      <c r="P188" s="103"/>
      <c r="Q188" s="104"/>
      <c r="R188" s="187"/>
      <c r="S188" s="182"/>
      <c r="T188" s="182"/>
      <c r="U188" s="182"/>
      <c r="V188" s="182"/>
      <c r="W188" s="182"/>
      <c r="X188" s="182"/>
      <c r="Y188" s="182"/>
      <c r="Z188" s="182"/>
      <c r="AA188" s="182"/>
      <c r="AB188" s="182"/>
      <c r="AC188" s="182"/>
      <c r="AD188" s="181"/>
      <c r="AE188" s="182"/>
      <c r="AF188" s="184"/>
      <c r="AG188" s="182"/>
      <c r="AH188" s="185"/>
      <c r="AI188" s="186"/>
      <c r="AJ188" s="9"/>
    </row>
    <row r="189" spans="1:36" ht="12.75" x14ac:dyDescent="0.2">
      <c r="A189" s="91"/>
      <c r="B189" s="101">
        <f t="shared" si="3"/>
        <v>179</v>
      </c>
      <c r="C189" s="181"/>
      <c r="D189" s="182"/>
      <c r="E189" s="102" t="str">
        <f>IFERROR(VLOOKUP(C189,'설문지 응답 시트1'!C:H,2,FALSE),"")</f>
        <v/>
      </c>
      <c r="F189" s="181" t="str">
        <f>IFERROR(VLOOKUP(C189,'설문지 응답 시트1'!C:H,3,FALSE),"")</f>
        <v/>
      </c>
      <c r="G189" s="182"/>
      <c r="H189" s="181" t="str">
        <f>IFERROR(VLOOKUP(C189,'설문지 응답 시트1'!C:H,6,FALSE),"")</f>
        <v/>
      </c>
      <c r="I189" s="182"/>
      <c r="J189" s="182"/>
      <c r="K189" s="182"/>
      <c r="L189" s="105"/>
      <c r="M189" s="183"/>
      <c r="N189" s="182"/>
      <c r="O189" s="103"/>
      <c r="P189" s="103"/>
      <c r="Q189" s="104"/>
      <c r="R189" s="187"/>
      <c r="S189" s="182"/>
      <c r="T189" s="182"/>
      <c r="U189" s="182"/>
      <c r="V189" s="182"/>
      <c r="W189" s="182"/>
      <c r="X189" s="182"/>
      <c r="Y189" s="182"/>
      <c r="Z189" s="182"/>
      <c r="AA189" s="182"/>
      <c r="AB189" s="182"/>
      <c r="AC189" s="182"/>
      <c r="AD189" s="181"/>
      <c r="AE189" s="182"/>
      <c r="AF189" s="184"/>
      <c r="AG189" s="182"/>
      <c r="AH189" s="185"/>
      <c r="AI189" s="186"/>
      <c r="AJ189" s="9"/>
    </row>
    <row r="190" spans="1:36" ht="12.75" x14ac:dyDescent="0.2">
      <c r="A190" s="91"/>
      <c r="B190" s="101">
        <f t="shared" si="3"/>
        <v>180</v>
      </c>
      <c r="C190" s="181"/>
      <c r="D190" s="182"/>
      <c r="E190" s="102" t="str">
        <f>IFERROR(VLOOKUP(C190,'설문지 응답 시트1'!C:H,2,FALSE),"")</f>
        <v/>
      </c>
      <c r="F190" s="181" t="str">
        <f>IFERROR(VLOOKUP(C190,'설문지 응답 시트1'!C:H,3,FALSE),"")</f>
        <v/>
      </c>
      <c r="G190" s="182"/>
      <c r="H190" s="181" t="str">
        <f>IFERROR(VLOOKUP(C190,'설문지 응답 시트1'!C:H,6,FALSE),"")</f>
        <v/>
      </c>
      <c r="I190" s="182"/>
      <c r="J190" s="182"/>
      <c r="K190" s="182"/>
      <c r="L190" s="105"/>
      <c r="M190" s="183"/>
      <c r="N190" s="182"/>
      <c r="O190" s="103"/>
      <c r="P190" s="103"/>
      <c r="Q190" s="104"/>
      <c r="R190" s="187"/>
      <c r="S190" s="182"/>
      <c r="T190" s="182"/>
      <c r="U190" s="182"/>
      <c r="V190" s="182"/>
      <c r="W190" s="182"/>
      <c r="X190" s="182"/>
      <c r="Y190" s="182"/>
      <c r="Z190" s="182"/>
      <c r="AA190" s="182"/>
      <c r="AB190" s="182"/>
      <c r="AC190" s="182"/>
      <c r="AD190" s="181"/>
      <c r="AE190" s="182"/>
      <c r="AF190" s="184"/>
      <c r="AG190" s="182"/>
      <c r="AH190" s="185"/>
      <c r="AI190" s="186"/>
      <c r="AJ190" s="9"/>
    </row>
    <row r="191" spans="1:36" ht="12.75" x14ac:dyDescent="0.2">
      <c r="A191" s="91"/>
      <c r="B191" s="101">
        <f t="shared" si="3"/>
        <v>181</v>
      </c>
      <c r="C191" s="181"/>
      <c r="D191" s="182"/>
      <c r="E191" s="102" t="str">
        <f>IFERROR(VLOOKUP(C191,'설문지 응답 시트1'!C:H,2,FALSE),"")</f>
        <v/>
      </c>
      <c r="F191" s="181" t="str">
        <f>IFERROR(VLOOKUP(C191,'설문지 응답 시트1'!C:H,3,FALSE),"")</f>
        <v/>
      </c>
      <c r="G191" s="182"/>
      <c r="H191" s="181" t="str">
        <f>IFERROR(VLOOKUP(C191,'설문지 응답 시트1'!C:H,6,FALSE),"")</f>
        <v/>
      </c>
      <c r="I191" s="182"/>
      <c r="J191" s="182"/>
      <c r="K191" s="182"/>
      <c r="L191" s="105"/>
      <c r="M191" s="183"/>
      <c r="N191" s="182"/>
      <c r="O191" s="103"/>
      <c r="P191" s="103"/>
      <c r="Q191" s="104"/>
      <c r="R191" s="187"/>
      <c r="S191" s="182"/>
      <c r="T191" s="182"/>
      <c r="U191" s="182"/>
      <c r="V191" s="182"/>
      <c r="W191" s="182"/>
      <c r="X191" s="182"/>
      <c r="Y191" s="182"/>
      <c r="Z191" s="182"/>
      <c r="AA191" s="182"/>
      <c r="AB191" s="182"/>
      <c r="AC191" s="182"/>
      <c r="AD191" s="181"/>
      <c r="AE191" s="182"/>
      <c r="AF191" s="184"/>
      <c r="AG191" s="182"/>
      <c r="AH191" s="185"/>
      <c r="AI191" s="186"/>
      <c r="AJ191" s="9"/>
    </row>
    <row r="192" spans="1:36" ht="12.75" x14ac:dyDescent="0.2">
      <c r="A192" s="91"/>
      <c r="B192" s="101">
        <f t="shared" si="3"/>
        <v>182</v>
      </c>
      <c r="C192" s="181"/>
      <c r="D192" s="182"/>
      <c r="E192" s="102" t="str">
        <f>IFERROR(VLOOKUP(C192,'설문지 응답 시트1'!C:H,2,FALSE),"")</f>
        <v/>
      </c>
      <c r="F192" s="181" t="str">
        <f>IFERROR(VLOOKUP(C192,'설문지 응답 시트1'!C:H,3,FALSE),"")</f>
        <v/>
      </c>
      <c r="G192" s="182"/>
      <c r="H192" s="181" t="str">
        <f>IFERROR(VLOOKUP(C192,'설문지 응답 시트1'!C:H,6,FALSE),"")</f>
        <v/>
      </c>
      <c r="I192" s="182"/>
      <c r="J192" s="182"/>
      <c r="K192" s="182"/>
      <c r="L192" s="105"/>
      <c r="M192" s="183"/>
      <c r="N192" s="182"/>
      <c r="O192" s="103"/>
      <c r="P192" s="103"/>
      <c r="Q192" s="104"/>
      <c r="R192" s="187"/>
      <c r="S192" s="182"/>
      <c r="T192" s="182"/>
      <c r="U192" s="182"/>
      <c r="V192" s="182"/>
      <c r="W192" s="182"/>
      <c r="X192" s="182"/>
      <c r="Y192" s="182"/>
      <c r="Z192" s="182"/>
      <c r="AA192" s="182"/>
      <c r="AB192" s="182"/>
      <c r="AC192" s="182"/>
      <c r="AD192" s="181"/>
      <c r="AE192" s="182"/>
      <c r="AF192" s="184"/>
      <c r="AG192" s="182"/>
      <c r="AH192" s="185"/>
      <c r="AI192" s="186"/>
      <c r="AJ192" s="9"/>
    </row>
    <row r="193" spans="1:36" ht="12.75" x14ac:dyDescent="0.2">
      <c r="A193" s="91"/>
      <c r="B193" s="101">
        <f t="shared" si="3"/>
        <v>183</v>
      </c>
      <c r="C193" s="181"/>
      <c r="D193" s="182"/>
      <c r="E193" s="102" t="str">
        <f>IFERROR(VLOOKUP(C193,'설문지 응답 시트1'!C:H,2,FALSE),"")</f>
        <v/>
      </c>
      <c r="F193" s="181" t="str">
        <f>IFERROR(VLOOKUP(C193,'설문지 응답 시트1'!C:H,3,FALSE),"")</f>
        <v/>
      </c>
      <c r="G193" s="182"/>
      <c r="H193" s="181" t="str">
        <f>IFERROR(VLOOKUP(C193,'설문지 응답 시트1'!C:H,6,FALSE),"")</f>
        <v/>
      </c>
      <c r="I193" s="182"/>
      <c r="J193" s="182"/>
      <c r="K193" s="182"/>
      <c r="L193" s="105"/>
      <c r="M193" s="183"/>
      <c r="N193" s="182"/>
      <c r="O193" s="103"/>
      <c r="P193" s="103"/>
      <c r="Q193" s="104"/>
      <c r="R193" s="187"/>
      <c r="S193" s="182"/>
      <c r="T193" s="182"/>
      <c r="U193" s="182"/>
      <c r="V193" s="182"/>
      <c r="W193" s="182"/>
      <c r="X193" s="182"/>
      <c r="Y193" s="182"/>
      <c r="Z193" s="182"/>
      <c r="AA193" s="182"/>
      <c r="AB193" s="182"/>
      <c r="AC193" s="182"/>
      <c r="AD193" s="181"/>
      <c r="AE193" s="182"/>
      <c r="AF193" s="184"/>
      <c r="AG193" s="182"/>
      <c r="AH193" s="185"/>
      <c r="AI193" s="186"/>
      <c r="AJ193" s="9"/>
    </row>
    <row r="194" spans="1:36" ht="12.75" x14ac:dyDescent="0.2">
      <c r="A194" s="91"/>
      <c r="B194" s="101">
        <f t="shared" si="3"/>
        <v>184</v>
      </c>
      <c r="C194" s="181"/>
      <c r="D194" s="182"/>
      <c r="E194" s="102" t="str">
        <f>IFERROR(VLOOKUP(C194,'설문지 응답 시트1'!C:H,2,FALSE),"")</f>
        <v/>
      </c>
      <c r="F194" s="181" t="str">
        <f>IFERROR(VLOOKUP(C194,'설문지 응답 시트1'!C:H,3,FALSE),"")</f>
        <v/>
      </c>
      <c r="G194" s="182"/>
      <c r="H194" s="181" t="str">
        <f>IFERROR(VLOOKUP(C194,'설문지 응답 시트1'!C:H,6,FALSE),"")</f>
        <v/>
      </c>
      <c r="I194" s="182"/>
      <c r="J194" s="182"/>
      <c r="K194" s="182"/>
      <c r="L194" s="105"/>
      <c r="M194" s="183"/>
      <c r="N194" s="182"/>
      <c r="O194" s="103"/>
      <c r="P194" s="103"/>
      <c r="Q194" s="104"/>
      <c r="R194" s="187"/>
      <c r="S194" s="182"/>
      <c r="T194" s="182"/>
      <c r="U194" s="182"/>
      <c r="V194" s="182"/>
      <c r="W194" s="182"/>
      <c r="X194" s="182"/>
      <c r="Y194" s="182"/>
      <c r="Z194" s="182"/>
      <c r="AA194" s="182"/>
      <c r="AB194" s="182"/>
      <c r="AC194" s="182"/>
      <c r="AD194" s="181"/>
      <c r="AE194" s="182"/>
      <c r="AF194" s="184"/>
      <c r="AG194" s="182"/>
      <c r="AH194" s="185"/>
      <c r="AI194" s="186"/>
      <c r="AJ194" s="9"/>
    </row>
    <row r="195" spans="1:36" ht="12.75" x14ac:dyDescent="0.2">
      <c r="A195" s="91"/>
      <c r="B195" s="101">
        <f t="shared" si="3"/>
        <v>185</v>
      </c>
      <c r="C195" s="181"/>
      <c r="D195" s="182"/>
      <c r="E195" s="102" t="str">
        <f>IFERROR(VLOOKUP(C195,'설문지 응답 시트1'!C:H,2,FALSE),"")</f>
        <v/>
      </c>
      <c r="F195" s="181" t="str">
        <f>IFERROR(VLOOKUP(C195,'설문지 응답 시트1'!C:H,3,FALSE),"")</f>
        <v/>
      </c>
      <c r="G195" s="182"/>
      <c r="H195" s="181" t="str">
        <f>IFERROR(VLOOKUP(C195,'설문지 응답 시트1'!C:H,6,FALSE),"")</f>
        <v/>
      </c>
      <c r="I195" s="182"/>
      <c r="J195" s="182"/>
      <c r="K195" s="182"/>
      <c r="L195" s="105"/>
      <c r="M195" s="183"/>
      <c r="N195" s="182"/>
      <c r="O195" s="103"/>
      <c r="P195" s="103"/>
      <c r="Q195" s="104"/>
      <c r="R195" s="187"/>
      <c r="S195" s="182"/>
      <c r="T195" s="182"/>
      <c r="U195" s="182"/>
      <c r="V195" s="182"/>
      <c r="W195" s="182"/>
      <c r="X195" s="182"/>
      <c r="Y195" s="182"/>
      <c r="Z195" s="182"/>
      <c r="AA195" s="182"/>
      <c r="AB195" s="182"/>
      <c r="AC195" s="182"/>
      <c r="AD195" s="181"/>
      <c r="AE195" s="182"/>
      <c r="AF195" s="184"/>
      <c r="AG195" s="182"/>
      <c r="AH195" s="185"/>
      <c r="AI195" s="186"/>
      <c r="AJ195" s="9"/>
    </row>
    <row r="196" spans="1:36" ht="12.75" x14ac:dyDescent="0.2">
      <c r="A196" s="91"/>
      <c r="B196" s="101">
        <f t="shared" si="3"/>
        <v>186</v>
      </c>
      <c r="C196" s="181"/>
      <c r="D196" s="182"/>
      <c r="E196" s="102" t="str">
        <f>IFERROR(VLOOKUP(C196,'설문지 응답 시트1'!C:H,2,FALSE),"")</f>
        <v/>
      </c>
      <c r="F196" s="181" t="str">
        <f>IFERROR(VLOOKUP(C196,'설문지 응답 시트1'!C:H,3,FALSE),"")</f>
        <v/>
      </c>
      <c r="G196" s="182"/>
      <c r="H196" s="181" t="str">
        <f>IFERROR(VLOOKUP(C196,'설문지 응답 시트1'!C:H,6,FALSE),"")</f>
        <v/>
      </c>
      <c r="I196" s="182"/>
      <c r="J196" s="182"/>
      <c r="K196" s="182"/>
      <c r="L196" s="105"/>
      <c r="M196" s="183"/>
      <c r="N196" s="182"/>
      <c r="O196" s="103"/>
      <c r="P196" s="103"/>
      <c r="Q196" s="104"/>
      <c r="R196" s="187"/>
      <c r="S196" s="182"/>
      <c r="T196" s="182"/>
      <c r="U196" s="182"/>
      <c r="V196" s="182"/>
      <c r="W196" s="182"/>
      <c r="X196" s="182"/>
      <c r="Y196" s="182"/>
      <c r="Z196" s="182"/>
      <c r="AA196" s="182"/>
      <c r="AB196" s="182"/>
      <c r="AC196" s="182"/>
      <c r="AD196" s="181"/>
      <c r="AE196" s="182"/>
      <c r="AF196" s="184"/>
      <c r="AG196" s="182"/>
      <c r="AH196" s="185"/>
      <c r="AI196" s="186"/>
      <c r="AJ196" s="9"/>
    </row>
    <row r="197" spans="1:36" ht="12.75" x14ac:dyDescent="0.2">
      <c r="A197" s="91"/>
      <c r="B197" s="101">
        <f t="shared" si="3"/>
        <v>187</v>
      </c>
      <c r="C197" s="181"/>
      <c r="D197" s="182"/>
      <c r="E197" s="102" t="str">
        <f>IFERROR(VLOOKUP(C197,'설문지 응답 시트1'!C:H,2,FALSE),"")</f>
        <v/>
      </c>
      <c r="F197" s="181" t="str">
        <f>IFERROR(VLOOKUP(C197,'설문지 응답 시트1'!C:H,3,FALSE),"")</f>
        <v/>
      </c>
      <c r="G197" s="182"/>
      <c r="H197" s="181" t="str">
        <f>IFERROR(VLOOKUP(C197,'설문지 응답 시트1'!C:H,6,FALSE),"")</f>
        <v/>
      </c>
      <c r="I197" s="182"/>
      <c r="J197" s="182"/>
      <c r="K197" s="182"/>
      <c r="L197" s="105"/>
      <c r="M197" s="183"/>
      <c r="N197" s="182"/>
      <c r="O197" s="103"/>
      <c r="P197" s="103"/>
      <c r="Q197" s="104"/>
      <c r="R197" s="187"/>
      <c r="S197" s="182"/>
      <c r="T197" s="182"/>
      <c r="U197" s="182"/>
      <c r="V197" s="182"/>
      <c r="W197" s="182"/>
      <c r="X197" s="182"/>
      <c r="Y197" s="182"/>
      <c r="Z197" s="182"/>
      <c r="AA197" s="182"/>
      <c r="AB197" s="182"/>
      <c r="AC197" s="182"/>
      <c r="AD197" s="181"/>
      <c r="AE197" s="182"/>
      <c r="AF197" s="184"/>
      <c r="AG197" s="182"/>
      <c r="AH197" s="185"/>
      <c r="AI197" s="186"/>
      <c r="AJ197" s="9"/>
    </row>
    <row r="198" spans="1:36" ht="12.75" x14ac:dyDescent="0.2">
      <c r="A198" s="91"/>
      <c r="B198" s="101">
        <f t="shared" si="3"/>
        <v>188</v>
      </c>
      <c r="C198" s="181"/>
      <c r="D198" s="182"/>
      <c r="E198" s="102" t="str">
        <f>IFERROR(VLOOKUP(C198,'설문지 응답 시트1'!C:H,2,FALSE),"")</f>
        <v/>
      </c>
      <c r="F198" s="181" t="str">
        <f>IFERROR(VLOOKUP(C198,'설문지 응답 시트1'!C:H,3,FALSE),"")</f>
        <v/>
      </c>
      <c r="G198" s="182"/>
      <c r="H198" s="181" t="str">
        <f>IFERROR(VLOOKUP(C198,'설문지 응답 시트1'!C:H,6,FALSE),"")</f>
        <v/>
      </c>
      <c r="I198" s="182"/>
      <c r="J198" s="182"/>
      <c r="K198" s="182"/>
      <c r="L198" s="105"/>
      <c r="M198" s="183"/>
      <c r="N198" s="182"/>
      <c r="O198" s="103"/>
      <c r="P198" s="103"/>
      <c r="Q198" s="104"/>
      <c r="R198" s="187"/>
      <c r="S198" s="182"/>
      <c r="T198" s="182"/>
      <c r="U198" s="182"/>
      <c r="V198" s="182"/>
      <c r="W198" s="182"/>
      <c r="X198" s="182"/>
      <c r="Y198" s="182"/>
      <c r="Z198" s="182"/>
      <c r="AA198" s="182"/>
      <c r="AB198" s="182"/>
      <c r="AC198" s="182"/>
      <c r="AD198" s="181"/>
      <c r="AE198" s="182"/>
      <c r="AF198" s="184"/>
      <c r="AG198" s="182"/>
      <c r="AH198" s="185"/>
      <c r="AI198" s="186"/>
      <c r="AJ198" s="9"/>
    </row>
    <row r="199" spans="1:36" ht="12.75" x14ac:dyDescent="0.2">
      <c r="A199" s="91"/>
      <c r="B199" s="101">
        <f t="shared" si="3"/>
        <v>189</v>
      </c>
      <c r="C199" s="181"/>
      <c r="D199" s="182"/>
      <c r="E199" s="102" t="str">
        <f>IFERROR(VLOOKUP(C199,'설문지 응답 시트1'!C:H,2,FALSE),"")</f>
        <v/>
      </c>
      <c r="F199" s="181" t="str">
        <f>IFERROR(VLOOKUP(C199,'설문지 응답 시트1'!C:H,3,FALSE),"")</f>
        <v/>
      </c>
      <c r="G199" s="182"/>
      <c r="H199" s="181" t="str">
        <f>IFERROR(VLOOKUP(C199,'설문지 응답 시트1'!C:H,6,FALSE),"")</f>
        <v/>
      </c>
      <c r="I199" s="182"/>
      <c r="J199" s="182"/>
      <c r="K199" s="182"/>
      <c r="L199" s="105"/>
      <c r="M199" s="183"/>
      <c r="N199" s="182"/>
      <c r="O199" s="103"/>
      <c r="P199" s="103"/>
      <c r="Q199" s="104"/>
      <c r="R199" s="187"/>
      <c r="S199" s="182"/>
      <c r="T199" s="182"/>
      <c r="U199" s="182"/>
      <c r="V199" s="182"/>
      <c r="W199" s="182"/>
      <c r="X199" s="182"/>
      <c r="Y199" s="182"/>
      <c r="Z199" s="182"/>
      <c r="AA199" s="182"/>
      <c r="AB199" s="182"/>
      <c r="AC199" s="182"/>
      <c r="AD199" s="181"/>
      <c r="AE199" s="182"/>
      <c r="AF199" s="184"/>
      <c r="AG199" s="182"/>
      <c r="AH199" s="185"/>
      <c r="AI199" s="186"/>
      <c r="AJ199" s="9"/>
    </row>
    <row r="200" spans="1:36" ht="12.75" x14ac:dyDescent="0.2">
      <c r="A200" s="91"/>
      <c r="B200" s="101">
        <f t="shared" si="3"/>
        <v>190</v>
      </c>
      <c r="C200" s="181"/>
      <c r="D200" s="182"/>
      <c r="E200" s="102" t="str">
        <f>IFERROR(VLOOKUP(C200,'설문지 응답 시트1'!C:H,2,FALSE),"")</f>
        <v/>
      </c>
      <c r="F200" s="181" t="str">
        <f>IFERROR(VLOOKUP(C200,'설문지 응답 시트1'!C:H,3,FALSE),"")</f>
        <v/>
      </c>
      <c r="G200" s="182"/>
      <c r="H200" s="181" t="str">
        <f>IFERROR(VLOOKUP(C200,'설문지 응답 시트1'!C:H,6,FALSE),"")</f>
        <v/>
      </c>
      <c r="I200" s="182"/>
      <c r="J200" s="182"/>
      <c r="K200" s="182"/>
      <c r="L200" s="105"/>
      <c r="M200" s="183"/>
      <c r="N200" s="182"/>
      <c r="O200" s="103"/>
      <c r="P200" s="103"/>
      <c r="Q200" s="104"/>
      <c r="R200" s="187"/>
      <c r="S200" s="182"/>
      <c r="T200" s="182"/>
      <c r="U200" s="182"/>
      <c r="V200" s="182"/>
      <c r="W200" s="182"/>
      <c r="X200" s="182"/>
      <c r="Y200" s="182"/>
      <c r="Z200" s="182"/>
      <c r="AA200" s="182"/>
      <c r="AB200" s="182"/>
      <c r="AC200" s="182"/>
      <c r="AD200" s="181"/>
      <c r="AE200" s="182"/>
      <c r="AF200" s="184"/>
      <c r="AG200" s="182"/>
      <c r="AH200" s="185"/>
      <c r="AI200" s="186"/>
      <c r="AJ200" s="9"/>
    </row>
    <row r="201" spans="1:36" ht="12.75" x14ac:dyDescent="0.2">
      <c r="A201" s="91"/>
      <c r="B201" s="101">
        <f t="shared" si="3"/>
        <v>191</v>
      </c>
      <c r="C201" s="181"/>
      <c r="D201" s="182"/>
      <c r="E201" s="102" t="str">
        <f>IFERROR(VLOOKUP(C201,'설문지 응답 시트1'!C:H,2,FALSE),"")</f>
        <v/>
      </c>
      <c r="F201" s="181" t="str">
        <f>IFERROR(VLOOKUP(C201,'설문지 응답 시트1'!C:H,3,FALSE),"")</f>
        <v/>
      </c>
      <c r="G201" s="182"/>
      <c r="H201" s="181" t="str">
        <f>IFERROR(VLOOKUP(C201,'설문지 응답 시트1'!C:H,6,FALSE),"")</f>
        <v/>
      </c>
      <c r="I201" s="182"/>
      <c r="J201" s="182"/>
      <c r="K201" s="182"/>
      <c r="L201" s="105"/>
      <c r="M201" s="183"/>
      <c r="N201" s="182"/>
      <c r="O201" s="103"/>
      <c r="P201" s="103"/>
      <c r="Q201" s="104"/>
      <c r="R201" s="187"/>
      <c r="S201" s="182"/>
      <c r="T201" s="182"/>
      <c r="U201" s="182"/>
      <c r="V201" s="182"/>
      <c r="W201" s="182"/>
      <c r="X201" s="182"/>
      <c r="Y201" s="182"/>
      <c r="Z201" s="182"/>
      <c r="AA201" s="182"/>
      <c r="AB201" s="182"/>
      <c r="AC201" s="182"/>
      <c r="AD201" s="181"/>
      <c r="AE201" s="182"/>
      <c r="AF201" s="184"/>
      <c r="AG201" s="182"/>
      <c r="AH201" s="185"/>
      <c r="AI201" s="186"/>
      <c r="AJ201" s="9"/>
    </row>
    <row r="202" spans="1:36" ht="12.75" x14ac:dyDescent="0.2">
      <c r="A202" s="91"/>
      <c r="B202" s="101">
        <f t="shared" si="3"/>
        <v>192</v>
      </c>
      <c r="C202" s="181"/>
      <c r="D202" s="182"/>
      <c r="E202" s="102" t="str">
        <f>IFERROR(VLOOKUP(C202,'설문지 응답 시트1'!C:H,2,FALSE),"")</f>
        <v/>
      </c>
      <c r="F202" s="181" t="str">
        <f>IFERROR(VLOOKUP(C202,'설문지 응답 시트1'!C:H,3,FALSE),"")</f>
        <v/>
      </c>
      <c r="G202" s="182"/>
      <c r="H202" s="181" t="str">
        <f>IFERROR(VLOOKUP(C202,'설문지 응답 시트1'!C:H,6,FALSE),"")</f>
        <v/>
      </c>
      <c r="I202" s="182"/>
      <c r="J202" s="182"/>
      <c r="K202" s="182"/>
      <c r="L202" s="105"/>
      <c r="M202" s="183"/>
      <c r="N202" s="182"/>
      <c r="O202" s="103"/>
      <c r="P202" s="103"/>
      <c r="Q202" s="104"/>
      <c r="R202" s="187"/>
      <c r="S202" s="182"/>
      <c r="T202" s="182"/>
      <c r="U202" s="182"/>
      <c r="V202" s="182"/>
      <c r="W202" s="182"/>
      <c r="X202" s="182"/>
      <c r="Y202" s="182"/>
      <c r="Z202" s="182"/>
      <c r="AA202" s="182"/>
      <c r="AB202" s="182"/>
      <c r="AC202" s="182"/>
      <c r="AD202" s="181"/>
      <c r="AE202" s="182"/>
      <c r="AF202" s="184"/>
      <c r="AG202" s="182"/>
      <c r="AH202" s="185"/>
      <c r="AI202" s="186"/>
      <c r="AJ202" s="9"/>
    </row>
    <row r="203" spans="1:36" ht="12.75" x14ac:dyDescent="0.2">
      <c r="A203" s="91"/>
      <c r="B203" s="101">
        <f t="shared" si="3"/>
        <v>193</v>
      </c>
      <c r="C203" s="181"/>
      <c r="D203" s="182"/>
      <c r="E203" s="102" t="str">
        <f>IFERROR(VLOOKUP(C203,'설문지 응답 시트1'!C:H,2,FALSE),"")</f>
        <v/>
      </c>
      <c r="F203" s="181" t="str">
        <f>IFERROR(VLOOKUP(C203,'설문지 응답 시트1'!C:H,3,FALSE),"")</f>
        <v/>
      </c>
      <c r="G203" s="182"/>
      <c r="H203" s="181" t="str">
        <f>IFERROR(VLOOKUP(C203,'설문지 응답 시트1'!C:H,6,FALSE),"")</f>
        <v/>
      </c>
      <c r="I203" s="182"/>
      <c r="J203" s="182"/>
      <c r="K203" s="182"/>
      <c r="L203" s="105"/>
      <c r="M203" s="183"/>
      <c r="N203" s="182"/>
      <c r="O203" s="103"/>
      <c r="P203" s="103"/>
      <c r="Q203" s="104"/>
      <c r="R203" s="187"/>
      <c r="S203" s="182"/>
      <c r="T203" s="182"/>
      <c r="U203" s="182"/>
      <c r="V203" s="182"/>
      <c r="W203" s="182"/>
      <c r="X203" s="182"/>
      <c r="Y203" s="182"/>
      <c r="Z203" s="182"/>
      <c r="AA203" s="182"/>
      <c r="AB203" s="182"/>
      <c r="AC203" s="182"/>
      <c r="AD203" s="181"/>
      <c r="AE203" s="182"/>
      <c r="AF203" s="184"/>
      <c r="AG203" s="182"/>
      <c r="AH203" s="185"/>
      <c r="AI203" s="186"/>
      <c r="AJ203" s="9"/>
    </row>
    <row r="204" spans="1:36" ht="12.75" x14ac:dyDescent="0.2">
      <c r="A204" s="91"/>
      <c r="B204" s="101">
        <f t="shared" si="3"/>
        <v>194</v>
      </c>
      <c r="C204" s="181"/>
      <c r="D204" s="182"/>
      <c r="E204" s="102" t="str">
        <f>IFERROR(VLOOKUP(C204,'설문지 응답 시트1'!C:H,2,FALSE),"")</f>
        <v/>
      </c>
      <c r="F204" s="181" t="str">
        <f>IFERROR(VLOOKUP(C204,'설문지 응답 시트1'!C:H,3,FALSE),"")</f>
        <v/>
      </c>
      <c r="G204" s="182"/>
      <c r="H204" s="181" t="str">
        <f>IFERROR(VLOOKUP(C204,'설문지 응답 시트1'!C:H,6,FALSE),"")</f>
        <v/>
      </c>
      <c r="I204" s="182"/>
      <c r="J204" s="182"/>
      <c r="K204" s="182"/>
      <c r="L204" s="105"/>
      <c r="M204" s="183"/>
      <c r="N204" s="182"/>
      <c r="O204" s="103"/>
      <c r="P204" s="103"/>
      <c r="Q204" s="104"/>
      <c r="R204" s="187"/>
      <c r="S204" s="182"/>
      <c r="T204" s="182"/>
      <c r="U204" s="182"/>
      <c r="V204" s="182"/>
      <c r="W204" s="182"/>
      <c r="X204" s="182"/>
      <c r="Y204" s="182"/>
      <c r="Z204" s="182"/>
      <c r="AA204" s="182"/>
      <c r="AB204" s="182"/>
      <c r="AC204" s="182"/>
      <c r="AD204" s="181"/>
      <c r="AE204" s="182"/>
      <c r="AF204" s="184"/>
      <c r="AG204" s="182"/>
      <c r="AH204" s="185"/>
      <c r="AI204" s="186"/>
      <c r="AJ204" s="9"/>
    </row>
    <row r="205" spans="1:36" ht="12.75" x14ac:dyDescent="0.2">
      <c r="A205" s="91"/>
      <c r="B205" s="101">
        <f t="shared" si="3"/>
        <v>195</v>
      </c>
      <c r="C205" s="181"/>
      <c r="D205" s="182"/>
      <c r="E205" s="102" t="str">
        <f>IFERROR(VLOOKUP(C205,'설문지 응답 시트1'!C:H,2,FALSE),"")</f>
        <v/>
      </c>
      <c r="F205" s="181" t="str">
        <f>IFERROR(VLOOKUP(C205,'설문지 응답 시트1'!C:H,3,FALSE),"")</f>
        <v/>
      </c>
      <c r="G205" s="182"/>
      <c r="H205" s="181" t="str">
        <f>IFERROR(VLOOKUP(C205,'설문지 응답 시트1'!C:H,6,FALSE),"")</f>
        <v/>
      </c>
      <c r="I205" s="182"/>
      <c r="J205" s="182"/>
      <c r="K205" s="182"/>
      <c r="L205" s="105"/>
      <c r="M205" s="183"/>
      <c r="N205" s="182"/>
      <c r="O205" s="103"/>
      <c r="P205" s="103"/>
      <c r="Q205" s="104"/>
      <c r="R205" s="187"/>
      <c r="S205" s="182"/>
      <c r="T205" s="182"/>
      <c r="U205" s="182"/>
      <c r="V205" s="182"/>
      <c r="W205" s="182"/>
      <c r="X205" s="182"/>
      <c r="Y205" s="182"/>
      <c r="Z205" s="182"/>
      <c r="AA205" s="182"/>
      <c r="AB205" s="182"/>
      <c r="AC205" s="182"/>
      <c r="AD205" s="181"/>
      <c r="AE205" s="182"/>
      <c r="AF205" s="184"/>
      <c r="AG205" s="182"/>
      <c r="AH205" s="185"/>
      <c r="AI205" s="186"/>
      <c r="AJ205" s="9"/>
    </row>
    <row r="206" spans="1:36" ht="12.75" x14ac:dyDescent="0.2">
      <c r="A206" s="91"/>
      <c r="B206" s="101">
        <f t="shared" si="3"/>
        <v>196</v>
      </c>
      <c r="C206" s="181"/>
      <c r="D206" s="182"/>
      <c r="E206" s="102" t="str">
        <f>IFERROR(VLOOKUP(C206,'설문지 응답 시트1'!C:H,2,FALSE),"")</f>
        <v/>
      </c>
      <c r="F206" s="181" t="str">
        <f>IFERROR(VLOOKUP(C206,'설문지 응답 시트1'!C:H,3,FALSE),"")</f>
        <v/>
      </c>
      <c r="G206" s="182"/>
      <c r="H206" s="181" t="str">
        <f>IFERROR(VLOOKUP(C206,'설문지 응답 시트1'!C:H,6,FALSE),"")</f>
        <v/>
      </c>
      <c r="I206" s="182"/>
      <c r="J206" s="182"/>
      <c r="K206" s="182"/>
      <c r="L206" s="105"/>
      <c r="M206" s="183"/>
      <c r="N206" s="182"/>
      <c r="O206" s="103"/>
      <c r="P206" s="103"/>
      <c r="Q206" s="104"/>
      <c r="R206" s="187"/>
      <c r="S206" s="182"/>
      <c r="T206" s="182"/>
      <c r="U206" s="182"/>
      <c r="V206" s="182"/>
      <c r="W206" s="182"/>
      <c r="X206" s="182"/>
      <c r="Y206" s="182"/>
      <c r="Z206" s="182"/>
      <c r="AA206" s="182"/>
      <c r="AB206" s="182"/>
      <c r="AC206" s="182"/>
      <c r="AD206" s="181"/>
      <c r="AE206" s="182"/>
      <c r="AF206" s="184"/>
      <c r="AG206" s="182"/>
      <c r="AH206" s="185"/>
      <c r="AI206" s="186"/>
      <c r="AJ206" s="9"/>
    </row>
    <row r="207" spans="1:36" ht="12.75" x14ac:dyDescent="0.2">
      <c r="A207" s="91"/>
      <c r="B207" s="101">
        <f t="shared" si="3"/>
        <v>197</v>
      </c>
      <c r="C207" s="181"/>
      <c r="D207" s="182"/>
      <c r="E207" s="102" t="str">
        <f>IFERROR(VLOOKUP(C207,'설문지 응답 시트1'!C:H,2,FALSE),"")</f>
        <v/>
      </c>
      <c r="F207" s="181" t="str">
        <f>IFERROR(VLOOKUP(C207,'설문지 응답 시트1'!C:H,3,FALSE),"")</f>
        <v/>
      </c>
      <c r="G207" s="182"/>
      <c r="H207" s="181" t="str">
        <f>IFERROR(VLOOKUP(C207,'설문지 응답 시트1'!C:H,6,FALSE),"")</f>
        <v/>
      </c>
      <c r="I207" s="182"/>
      <c r="J207" s="182"/>
      <c r="K207" s="182"/>
      <c r="L207" s="105"/>
      <c r="M207" s="183"/>
      <c r="N207" s="182"/>
      <c r="O207" s="103"/>
      <c r="P207" s="103"/>
      <c r="Q207" s="104"/>
      <c r="R207" s="187"/>
      <c r="S207" s="182"/>
      <c r="T207" s="182"/>
      <c r="U207" s="182"/>
      <c r="V207" s="182"/>
      <c r="W207" s="182"/>
      <c r="X207" s="182"/>
      <c r="Y207" s="182"/>
      <c r="Z207" s="182"/>
      <c r="AA207" s="182"/>
      <c r="AB207" s="182"/>
      <c r="AC207" s="182"/>
      <c r="AD207" s="181"/>
      <c r="AE207" s="182"/>
      <c r="AF207" s="184"/>
      <c r="AG207" s="182"/>
      <c r="AH207" s="185"/>
      <c r="AI207" s="186"/>
      <c r="AJ207" s="9"/>
    </row>
    <row r="208" spans="1:36" ht="12.75" x14ac:dyDescent="0.2">
      <c r="A208" s="91"/>
      <c r="B208" s="101">
        <f t="shared" si="3"/>
        <v>198</v>
      </c>
      <c r="C208" s="181"/>
      <c r="D208" s="182"/>
      <c r="E208" s="102" t="str">
        <f>IFERROR(VLOOKUP(C208,'설문지 응답 시트1'!C:H,2,FALSE),"")</f>
        <v/>
      </c>
      <c r="F208" s="181" t="str">
        <f>IFERROR(VLOOKUP(C208,'설문지 응답 시트1'!C:H,3,FALSE),"")</f>
        <v/>
      </c>
      <c r="G208" s="182"/>
      <c r="H208" s="181" t="str">
        <f>IFERROR(VLOOKUP(C208,'설문지 응답 시트1'!C:H,6,FALSE),"")</f>
        <v/>
      </c>
      <c r="I208" s="182"/>
      <c r="J208" s="182"/>
      <c r="K208" s="182"/>
      <c r="L208" s="105"/>
      <c r="M208" s="183"/>
      <c r="N208" s="182"/>
      <c r="O208" s="103"/>
      <c r="P208" s="103"/>
      <c r="Q208" s="104"/>
      <c r="R208" s="187"/>
      <c r="S208" s="182"/>
      <c r="T208" s="182"/>
      <c r="U208" s="182"/>
      <c r="V208" s="182"/>
      <c r="W208" s="182"/>
      <c r="X208" s="182"/>
      <c r="Y208" s="182"/>
      <c r="Z208" s="182"/>
      <c r="AA208" s="182"/>
      <c r="AB208" s="182"/>
      <c r="AC208" s="182"/>
      <c r="AD208" s="181"/>
      <c r="AE208" s="182"/>
      <c r="AF208" s="184"/>
      <c r="AG208" s="182"/>
      <c r="AH208" s="185"/>
      <c r="AI208" s="186"/>
      <c r="AJ208" s="9"/>
    </row>
    <row r="209" spans="1:36" ht="12.75" x14ac:dyDescent="0.2">
      <c r="A209" s="91"/>
      <c r="B209" s="101">
        <f t="shared" si="3"/>
        <v>199</v>
      </c>
      <c r="C209" s="181"/>
      <c r="D209" s="182"/>
      <c r="E209" s="102" t="str">
        <f>IFERROR(VLOOKUP(C209,'설문지 응답 시트1'!C:H,2,FALSE),"")</f>
        <v/>
      </c>
      <c r="F209" s="181" t="str">
        <f>IFERROR(VLOOKUP(C209,'설문지 응답 시트1'!C:H,3,FALSE),"")</f>
        <v/>
      </c>
      <c r="G209" s="182"/>
      <c r="H209" s="181" t="str">
        <f>IFERROR(VLOOKUP(C209,'설문지 응답 시트1'!C:H,6,FALSE),"")</f>
        <v/>
      </c>
      <c r="I209" s="182"/>
      <c r="J209" s="182"/>
      <c r="K209" s="182"/>
      <c r="L209" s="105"/>
      <c r="M209" s="183"/>
      <c r="N209" s="182"/>
      <c r="O209" s="103"/>
      <c r="P209" s="103"/>
      <c r="Q209" s="104"/>
      <c r="R209" s="187"/>
      <c r="S209" s="182"/>
      <c r="T209" s="182"/>
      <c r="U209" s="182"/>
      <c r="V209" s="182"/>
      <c r="W209" s="182"/>
      <c r="X209" s="182"/>
      <c r="Y209" s="182"/>
      <c r="Z209" s="182"/>
      <c r="AA209" s="182"/>
      <c r="AB209" s="182"/>
      <c r="AC209" s="182"/>
      <c r="AD209" s="181"/>
      <c r="AE209" s="182"/>
      <c r="AF209" s="184"/>
      <c r="AG209" s="182"/>
      <c r="AH209" s="185"/>
      <c r="AI209" s="186"/>
      <c r="AJ209" s="9"/>
    </row>
    <row r="210" spans="1:36" ht="12.75" x14ac:dyDescent="0.2">
      <c r="A210" s="91"/>
      <c r="B210" s="10"/>
      <c r="C210" s="10"/>
      <c r="D210" s="10"/>
      <c r="E210" s="10" t="str">
        <f>IFERROR(VLOOKUP(C210,'설문지 응답 시트1'!C:H,2,FALSE),"")</f>
        <v/>
      </c>
      <c r="F210" s="10" t="str">
        <f>IFERROR(VLOOKUP(C210,'설문지 응답 시트1'!C:H,3,FALSE),"")</f>
        <v/>
      </c>
      <c r="G210" s="10"/>
      <c r="H210" s="10" t="str">
        <f>IFERROR(VLOOKUP(C210,'설문지 응답 시트1'!C:H,6,FALSE),"")</f>
        <v/>
      </c>
      <c r="I210" s="10"/>
      <c r="J210" s="10"/>
      <c r="K210" s="10"/>
      <c r="L210" s="10"/>
      <c r="M210" s="69"/>
      <c r="N210" s="56"/>
      <c r="O210" s="103"/>
      <c r="P210" s="103"/>
      <c r="Q210" s="56"/>
      <c r="R210" s="56"/>
      <c r="S210" s="56"/>
      <c r="T210" s="56"/>
      <c r="U210" s="56"/>
      <c r="V210" s="56"/>
      <c r="W210" s="56"/>
      <c r="X210" s="56"/>
      <c r="Y210" s="56"/>
      <c r="Z210" s="56"/>
      <c r="AA210" s="56"/>
      <c r="AB210" s="56"/>
      <c r="AC210" s="56"/>
      <c r="AD210" s="10"/>
      <c r="AE210" s="10"/>
      <c r="AF210" s="10"/>
      <c r="AG210" s="10"/>
      <c r="AH210" s="9"/>
      <c r="AI210" s="9"/>
      <c r="AJ210" s="9"/>
    </row>
  </sheetData>
  <mergeCells count="1641">
    <mergeCell ref="AF31:AG31"/>
    <mergeCell ref="AH31:AI31"/>
    <mergeCell ref="AD32:AE32"/>
    <mergeCell ref="AF32:AG32"/>
    <mergeCell ref="AH32:AI32"/>
    <mergeCell ref="R32:AC32"/>
    <mergeCell ref="R33:AC33"/>
    <mergeCell ref="AD33:AE33"/>
    <mergeCell ref="AF33:AG33"/>
    <mergeCell ref="AH33:AI33"/>
    <mergeCell ref="R34:AC34"/>
    <mergeCell ref="AD34:AE34"/>
    <mergeCell ref="AF22:AG22"/>
    <mergeCell ref="AH22:AI22"/>
    <mergeCell ref="R23:AC23"/>
    <mergeCell ref="AD23:AE23"/>
    <mergeCell ref="AF23:AG23"/>
    <mergeCell ref="AH23:AI23"/>
    <mergeCell ref="AH24:AI24"/>
    <mergeCell ref="AF26:AG26"/>
    <mergeCell ref="AH26:AI26"/>
    <mergeCell ref="R24:AC24"/>
    <mergeCell ref="R25:AC25"/>
    <mergeCell ref="AD25:AE25"/>
    <mergeCell ref="AF25:AG25"/>
    <mergeCell ref="AH25:AI25"/>
    <mergeCell ref="R26:AC26"/>
    <mergeCell ref="AD26:AE26"/>
    <mergeCell ref="R27:AC27"/>
    <mergeCell ref="AD27:AE27"/>
    <mergeCell ref="AF27:AG27"/>
    <mergeCell ref="AH27:AI27"/>
    <mergeCell ref="AD28:AE28"/>
    <mergeCell ref="AF28:AG28"/>
    <mergeCell ref="AH28:AI28"/>
    <mergeCell ref="AF30:AG30"/>
    <mergeCell ref="AH30:AI30"/>
    <mergeCell ref="R28:AC28"/>
    <mergeCell ref="R29:AC29"/>
    <mergeCell ref="AD29:AE29"/>
    <mergeCell ref="AF29:AG29"/>
    <mergeCell ref="AH29:AI29"/>
    <mergeCell ref="R30:AC30"/>
    <mergeCell ref="AD30:AE30"/>
    <mergeCell ref="AD36:AE36"/>
    <mergeCell ref="AF36:AG36"/>
    <mergeCell ref="R43:AC43"/>
    <mergeCell ref="AD43:AE43"/>
    <mergeCell ref="AF43:AG43"/>
    <mergeCell ref="AH43:AI43"/>
    <mergeCell ref="AH40:AI40"/>
    <mergeCell ref="AF42:AG42"/>
    <mergeCell ref="AH42:AI42"/>
    <mergeCell ref="R40:AC40"/>
    <mergeCell ref="R41:AC41"/>
    <mergeCell ref="AD41:AE41"/>
    <mergeCell ref="AF41:AG41"/>
    <mergeCell ref="AH41:AI41"/>
    <mergeCell ref="R42:AC42"/>
    <mergeCell ref="AD42:AE42"/>
    <mergeCell ref="R31:AC31"/>
    <mergeCell ref="AD31:AE31"/>
    <mergeCell ref="AD44:AE44"/>
    <mergeCell ref="AF44:AG44"/>
    <mergeCell ref="AH44:AI44"/>
    <mergeCell ref="R44:AC44"/>
    <mergeCell ref="R45:AC45"/>
    <mergeCell ref="AD45:AE45"/>
    <mergeCell ref="AF45:AG45"/>
    <mergeCell ref="AH45:AI45"/>
    <mergeCell ref="R46:AC46"/>
    <mergeCell ref="AD46:AE46"/>
    <mergeCell ref="AF34:AG34"/>
    <mergeCell ref="AH34:AI34"/>
    <mergeCell ref="R35:AC35"/>
    <mergeCell ref="AD35:AE35"/>
    <mergeCell ref="AF35:AG35"/>
    <mergeCell ref="AH35:AI35"/>
    <mergeCell ref="AH36:AI36"/>
    <mergeCell ref="AF38:AG38"/>
    <mergeCell ref="AH38:AI38"/>
    <mergeCell ref="R36:AC36"/>
    <mergeCell ref="R37:AC37"/>
    <mergeCell ref="AD37:AE37"/>
    <mergeCell ref="AF37:AG37"/>
    <mergeCell ref="AH37:AI37"/>
    <mergeCell ref="R38:AC38"/>
    <mergeCell ref="AD38:AE38"/>
    <mergeCell ref="R39:AC39"/>
    <mergeCell ref="AD39:AE39"/>
    <mergeCell ref="AF39:AG39"/>
    <mergeCell ref="AH39:AI39"/>
    <mergeCell ref="AD40:AE40"/>
    <mergeCell ref="AF40:AG40"/>
    <mergeCell ref="AD48:AE48"/>
    <mergeCell ref="AF48:AG48"/>
    <mergeCell ref="R55:AC55"/>
    <mergeCell ref="AD55:AE55"/>
    <mergeCell ref="AF55:AG55"/>
    <mergeCell ref="AH55:AI55"/>
    <mergeCell ref="AD56:AE56"/>
    <mergeCell ref="AF56:AG56"/>
    <mergeCell ref="AH56:AI56"/>
    <mergeCell ref="R56:AC56"/>
    <mergeCell ref="R57:AC57"/>
    <mergeCell ref="AD57:AE57"/>
    <mergeCell ref="AF57:AG57"/>
    <mergeCell ref="AH57:AI57"/>
    <mergeCell ref="R58:AC58"/>
    <mergeCell ref="AD58:AE58"/>
    <mergeCell ref="AF46:AG46"/>
    <mergeCell ref="AH46:AI46"/>
    <mergeCell ref="R47:AC47"/>
    <mergeCell ref="AD47:AE47"/>
    <mergeCell ref="AF47:AG47"/>
    <mergeCell ref="AH47:AI47"/>
    <mergeCell ref="AH48:AI48"/>
    <mergeCell ref="AF50:AG50"/>
    <mergeCell ref="AH50:AI50"/>
    <mergeCell ref="R48:AC48"/>
    <mergeCell ref="R49:AC49"/>
    <mergeCell ref="AD49:AE49"/>
    <mergeCell ref="AF49:AG49"/>
    <mergeCell ref="AH49:AI49"/>
    <mergeCell ref="R50:AC50"/>
    <mergeCell ref="AD50:AE50"/>
    <mergeCell ref="R51:AC51"/>
    <mergeCell ref="AD51:AE51"/>
    <mergeCell ref="AF51:AG51"/>
    <mergeCell ref="AH51:AI51"/>
    <mergeCell ref="AD52:AE52"/>
    <mergeCell ref="AF52:AG52"/>
    <mergeCell ref="AH52:AI52"/>
    <mergeCell ref="AF54:AG54"/>
    <mergeCell ref="AH54:AI54"/>
    <mergeCell ref="R52:AC52"/>
    <mergeCell ref="R53:AC53"/>
    <mergeCell ref="AD53:AE53"/>
    <mergeCell ref="AF53:AG53"/>
    <mergeCell ref="AH53:AI53"/>
    <mergeCell ref="R54:AC54"/>
    <mergeCell ref="AD54:AE54"/>
    <mergeCell ref="AD60:AE60"/>
    <mergeCell ref="AF60:AG60"/>
    <mergeCell ref="AF67:AG67"/>
    <mergeCell ref="AH67:AI67"/>
    <mergeCell ref="AD68:AE68"/>
    <mergeCell ref="AF68:AG68"/>
    <mergeCell ref="AH68:AI68"/>
    <mergeCell ref="R68:AC68"/>
    <mergeCell ref="R69:AC69"/>
    <mergeCell ref="AD69:AE69"/>
    <mergeCell ref="AF69:AG69"/>
    <mergeCell ref="AH69:AI69"/>
    <mergeCell ref="R70:AC70"/>
    <mergeCell ref="AD70:AE70"/>
    <mergeCell ref="AF58:AG58"/>
    <mergeCell ref="AH58:AI58"/>
    <mergeCell ref="R59:AC59"/>
    <mergeCell ref="AD59:AE59"/>
    <mergeCell ref="AF59:AG59"/>
    <mergeCell ref="AH59:AI59"/>
    <mergeCell ref="AH60:AI60"/>
    <mergeCell ref="AF62:AG62"/>
    <mergeCell ref="AH62:AI62"/>
    <mergeCell ref="R60:AC60"/>
    <mergeCell ref="R61:AC61"/>
    <mergeCell ref="AD61:AE61"/>
    <mergeCell ref="AF61:AG61"/>
    <mergeCell ref="AH61:AI61"/>
    <mergeCell ref="R62:AC62"/>
    <mergeCell ref="AD62:AE62"/>
    <mergeCell ref="R63:AC63"/>
    <mergeCell ref="AD63:AE63"/>
    <mergeCell ref="AF63:AG63"/>
    <mergeCell ref="AH63:AI63"/>
    <mergeCell ref="AD64:AE64"/>
    <mergeCell ref="AF64:AG64"/>
    <mergeCell ref="AH64:AI64"/>
    <mergeCell ref="AF66:AG66"/>
    <mergeCell ref="AH66:AI66"/>
    <mergeCell ref="R64:AC64"/>
    <mergeCell ref="R65:AC65"/>
    <mergeCell ref="AD65:AE65"/>
    <mergeCell ref="AF65:AG65"/>
    <mergeCell ref="AH65:AI65"/>
    <mergeCell ref="R66:AC66"/>
    <mergeCell ref="AD66:AE66"/>
    <mergeCell ref="AD72:AE72"/>
    <mergeCell ref="AF72:AG72"/>
    <mergeCell ref="R79:AC79"/>
    <mergeCell ref="AD79:AE79"/>
    <mergeCell ref="AF79:AG79"/>
    <mergeCell ref="AH79:AI79"/>
    <mergeCell ref="AH76:AI76"/>
    <mergeCell ref="AF78:AG78"/>
    <mergeCell ref="AH78:AI78"/>
    <mergeCell ref="R76:AC76"/>
    <mergeCell ref="R77:AC77"/>
    <mergeCell ref="AD77:AE77"/>
    <mergeCell ref="AF77:AG77"/>
    <mergeCell ref="AH77:AI77"/>
    <mergeCell ref="R78:AC78"/>
    <mergeCell ref="AD78:AE78"/>
    <mergeCell ref="R67:AC67"/>
    <mergeCell ref="AD67:AE67"/>
    <mergeCell ref="AD81:AE81"/>
    <mergeCell ref="AF81:AG81"/>
    <mergeCell ref="AH81:AI81"/>
    <mergeCell ref="R82:AC82"/>
    <mergeCell ref="AD82:AE82"/>
    <mergeCell ref="AF70:AG70"/>
    <mergeCell ref="AH70:AI70"/>
    <mergeCell ref="R71:AC71"/>
    <mergeCell ref="AD71:AE71"/>
    <mergeCell ref="AF71:AG71"/>
    <mergeCell ref="AH71:AI71"/>
    <mergeCell ref="AH72:AI72"/>
    <mergeCell ref="AF74:AG74"/>
    <mergeCell ref="AH74:AI74"/>
    <mergeCell ref="R72:AC72"/>
    <mergeCell ref="R73:AC73"/>
    <mergeCell ref="AD73:AE73"/>
    <mergeCell ref="AF73:AG73"/>
    <mergeCell ref="AH73:AI73"/>
    <mergeCell ref="R74:AC74"/>
    <mergeCell ref="AD74:AE74"/>
    <mergeCell ref="R75:AC75"/>
    <mergeCell ref="AD75:AE75"/>
    <mergeCell ref="AF75:AG75"/>
    <mergeCell ref="AH75:AI75"/>
    <mergeCell ref="AD76:AE76"/>
    <mergeCell ref="AF76:AG76"/>
    <mergeCell ref="M94:N94"/>
    <mergeCell ref="M95:N95"/>
    <mergeCell ref="M87:N87"/>
    <mergeCell ref="M88:N88"/>
    <mergeCell ref="M89:N89"/>
    <mergeCell ref="M90:N90"/>
    <mergeCell ref="M91:N91"/>
    <mergeCell ref="M92:N92"/>
    <mergeCell ref="M93:N93"/>
    <mergeCell ref="M38:N38"/>
    <mergeCell ref="M39:N39"/>
    <mergeCell ref="M40:N40"/>
    <mergeCell ref="M41:N41"/>
    <mergeCell ref="M42:N42"/>
    <mergeCell ref="M43:N43"/>
    <mergeCell ref="M44:N44"/>
    <mergeCell ref="M45:N45"/>
    <mergeCell ref="M46:N46"/>
    <mergeCell ref="M47:N47"/>
    <mergeCell ref="M48:N48"/>
    <mergeCell ref="M49:N49"/>
    <mergeCell ref="M50:N50"/>
    <mergeCell ref="M51:N51"/>
    <mergeCell ref="M52:N52"/>
    <mergeCell ref="M53:N53"/>
    <mergeCell ref="M54:N54"/>
    <mergeCell ref="M55:N55"/>
    <mergeCell ref="M56:N56"/>
    <mergeCell ref="M57:N57"/>
    <mergeCell ref="M58:N58"/>
    <mergeCell ref="M59:N59"/>
    <mergeCell ref="M60:N60"/>
    <mergeCell ref="M61:N61"/>
    <mergeCell ref="M62:N62"/>
    <mergeCell ref="M63:N63"/>
    <mergeCell ref="M64:N64"/>
    <mergeCell ref="M65:N65"/>
    <mergeCell ref="M66:N66"/>
    <mergeCell ref="M67:N67"/>
    <mergeCell ref="M68:N68"/>
    <mergeCell ref="M69:N69"/>
    <mergeCell ref="M70:N70"/>
    <mergeCell ref="M71:N71"/>
    <mergeCell ref="M72:N72"/>
    <mergeCell ref="M73:N73"/>
    <mergeCell ref="M74:N74"/>
    <mergeCell ref="M75:N75"/>
    <mergeCell ref="M76:N76"/>
    <mergeCell ref="M77:N77"/>
    <mergeCell ref="M78:N78"/>
    <mergeCell ref="M79:N79"/>
    <mergeCell ref="M80:N80"/>
    <mergeCell ref="M81:N81"/>
    <mergeCell ref="M82:N82"/>
    <mergeCell ref="M83:N83"/>
    <mergeCell ref="M84:N84"/>
    <mergeCell ref="M85:N85"/>
    <mergeCell ref="M86:N86"/>
    <mergeCell ref="R91:AC91"/>
    <mergeCell ref="AD91:AE91"/>
    <mergeCell ref="AF91:AG91"/>
    <mergeCell ref="AH91:AI91"/>
    <mergeCell ref="AD92:AE92"/>
    <mergeCell ref="AF92:AG92"/>
    <mergeCell ref="AH92:AI92"/>
    <mergeCell ref="R92:AC92"/>
    <mergeCell ref="R89:AC89"/>
    <mergeCell ref="AD89:AE89"/>
    <mergeCell ref="AF89:AG89"/>
    <mergeCell ref="AH89:AI89"/>
    <mergeCell ref="R90:AC90"/>
    <mergeCell ref="AD90:AE90"/>
    <mergeCell ref="AD84:AE84"/>
    <mergeCell ref="AF84:AG84"/>
    <mergeCell ref="AD80:AE80"/>
    <mergeCell ref="AF80:AG80"/>
    <mergeCell ref="AH80:AI80"/>
    <mergeCell ref="R80:AC80"/>
    <mergeCell ref="R81:AC81"/>
    <mergeCell ref="AD93:AE93"/>
    <mergeCell ref="AF93:AG93"/>
    <mergeCell ref="AH93:AI93"/>
    <mergeCell ref="R94:AC94"/>
    <mergeCell ref="AD94:AE94"/>
    <mergeCell ref="AF82:AG82"/>
    <mergeCell ref="AH82:AI82"/>
    <mergeCell ref="R83:AC83"/>
    <mergeCell ref="AD83:AE83"/>
    <mergeCell ref="AF83:AG83"/>
    <mergeCell ref="AH83:AI83"/>
    <mergeCell ref="AH84:AI84"/>
    <mergeCell ref="AF86:AG86"/>
    <mergeCell ref="AH86:AI86"/>
    <mergeCell ref="R84:AC84"/>
    <mergeCell ref="R85:AC85"/>
    <mergeCell ref="AD85:AE85"/>
    <mergeCell ref="AF85:AG85"/>
    <mergeCell ref="AH85:AI85"/>
    <mergeCell ref="R86:AC86"/>
    <mergeCell ref="AD86:AE86"/>
    <mergeCell ref="R87:AC87"/>
    <mergeCell ref="AD87:AE87"/>
    <mergeCell ref="AF87:AG87"/>
    <mergeCell ref="AH87:AI87"/>
    <mergeCell ref="AD88:AE88"/>
    <mergeCell ref="AF88:AG88"/>
    <mergeCell ref="AH88:AI88"/>
    <mergeCell ref="AF90:AG90"/>
    <mergeCell ref="AH90:AI90"/>
    <mergeCell ref="R88:AC88"/>
    <mergeCell ref="AF96:AG96"/>
    <mergeCell ref="B2:AI2"/>
    <mergeCell ref="B4:I4"/>
    <mergeCell ref="K4:R4"/>
    <mergeCell ref="T4:V4"/>
    <mergeCell ref="X4:Z4"/>
    <mergeCell ref="AB4:AD4"/>
    <mergeCell ref="AF4:AI4"/>
    <mergeCell ref="X5:X6"/>
    <mergeCell ref="Y5:Y6"/>
    <mergeCell ref="Z5:Z6"/>
    <mergeCell ref="AF5:AG5"/>
    <mergeCell ref="AH5:AI5"/>
    <mergeCell ref="AF6:AG6"/>
    <mergeCell ref="AH6:AI6"/>
    <mergeCell ref="C5:D5"/>
    <mergeCell ref="E5:G5"/>
    <mergeCell ref="L5:M5"/>
    <mergeCell ref="N5:P5"/>
    <mergeCell ref="T5:T6"/>
    <mergeCell ref="U5:U6"/>
    <mergeCell ref="V5:V6"/>
    <mergeCell ref="X7:X8"/>
    <mergeCell ref="Y7:Y8"/>
    <mergeCell ref="Z7:Z8"/>
    <mergeCell ref="AF7:AG8"/>
    <mergeCell ref="AH7:AI8"/>
    <mergeCell ref="L8:M8"/>
    <mergeCell ref="N8:P8"/>
    <mergeCell ref="L6:M6"/>
    <mergeCell ref="N6:P6"/>
    <mergeCell ref="R93:AC93"/>
    <mergeCell ref="T7:T8"/>
    <mergeCell ref="U7:U8"/>
    <mergeCell ref="V7:V8"/>
    <mergeCell ref="F10:G10"/>
    <mergeCell ref="H10:K10"/>
    <mergeCell ref="M10:N10"/>
    <mergeCell ref="R10:AC10"/>
    <mergeCell ref="AD10:AE10"/>
    <mergeCell ref="AF10:AG10"/>
    <mergeCell ref="AH10:AI10"/>
    <mergeCell ref="M21:N21"/>
    <mergeCell ref="M22:N22"/>
    <mergeCell ref="M14:N14"/>
    <mergeCell ref="M15:N15"/>
    <mergeCell ref="M16:N16"/>
    <mergeCell ref="M17:N17"/>
    <mergeCell ref="M18:N18"/>
    <mergeCell ref="M19:N19"/>
    <mergeCell ref="M20:N20"/>
    <mergeCell ref="R19:AC19"/>
    <mergeCell ref="AD19:AE19"/>
    <mergeCell ref="AF19:AG19"/>
    <mergeCell ref="AH19:AI19"/>
    <mergeCell ref="AD20:AE20"/>
    <mergeCell ref="AF20:AG20"/>
    <mergeCell ref="AH20:AI20"/>
    <mergeCell ref="R20:AC20"/>
    <mergeCell ref="R21:AC21"/>
    <mergeCell ref="AD21:AE21"/>
    <mergeCell ref="AF21:AG21"/>
    <mergeCell ref="AH21:AI21"/>
    <mergeCell ref="R22:AC22"/>
    <mergeCell ref="AD22:AE22"/>
    <mergeCell ref="C23:D23"/>
    <mergeCell ref="C24:D24"/>
    <mergeCell ref="C25:D25"/>
    <mergeCell ref="C26:D26"/>
    <mergeCell ref="C27:D27"/>
    <mergeCell ref="C28:D28"/>
    <mergeCell ref="C16:D16"/>
    <mergeCell ref="C17:D17"/>
    <mergeCell ref="C18:D18"/>
    <mergeCell ref="C19:D19"/>
    <mergeCell ref="C20:D20"/>
    <mergeCell ref="C21:D21"/>
    <mergeCell ref="C22:D22"/>
    <mergeCell ref="H24:K24"/>
    <mergeCell ref="H25:K25"/>
    <mergeCell ref="H17:K17"/>
    <mergeCell ref="H18:K18"/>
    <mergeCell ref="H19:K19"/>
    <mergeCell ref="H20:K20"/>
    <mergeCell ref="H21:K21"/>
    <mergeCell ref="H22:K22"/>
    <mergeCell ref="H23:K23"/>
    <mergeCell ref="AD16:AE16"/>
    <mergeCell ref="AF16:AG16"/>
    <mergeCell ref="AH16:AI16"/>
    <mergeCell ref="AF18:AG18"/>
    <mergeCell ref="AH18:AI18"/>
    <mergeCell ref="R16:AC16"/>
    <mergeCell ref="R17:AC17"/>
    <mergeCell ref="R11:AC11"/>
    <mergeCell ref="AD11:AE11"/>
    <mergeCell ref="AF11:AG11"/>
    <mergeCell ref="AH11:AI11"/>
    <mergeCell ref="AD12:AE12"/>
    <mergeCell ref="AF12:AG12"/>
    <mergeCell ref="AH12:AI12"/>
    <mergeCell ref="AF14:AG14"/>
    <mergeCell ref="AH14:AI14"/>
    <mergeCell ref="R12:AC12"/>
    <mergeCell ref="R13:AC13"/>
    <mergeCell ref="AD13:AE13"/>
    <mergeCell ref="AF13:AG13"/>
    <mergeCell ref="AH13:AI13"/>
    <mergeCell ref="R14:AC14"/>
    <mergeCell ref="AD14:AE14"/>
    <mergeCell ref="R15:AC15"/>
    <mergeCell ref="AD15:AE15"/>
    <mergeCell ref="AF15:AG15"/>
    <mergeCell ref="AH15:AI15"/>
    <mergeCell ref="AD17:AE17"/>
    <mergeCell ref="AF17:AG17"/>
    <mergeCell ref="AH17:AI17"/>
    <mergeCell ref="R18:AC18"/>
    <mergeCell ref="AD18:AE18"/>
    <mergeCell ref="AD24:AE24"/>
    <mergeCell ref="AF24:AG24"/>
    <mergeCell ref="AF142:AG142"/>
    <mergeCell ref="AH142:AI142"/>
    <mergeCell ref="R143:AC143"/>
    <mergeCell ref="AD143:AE143"/>
    <mergeCell ref="AF143:AG143"/>
    <mergeCell ref="AH143:AI143"/>
    <mergeCell ref="AH144:AI144"/>
    <mergeCell ref="AF146:AG146"/>
    <mergeCell ref="AH146:AI146"/>
    <mergeCell ref="R144:AC144"/>
    <mergeCell ref="R145:AC145"/>
    <mergeCell ref="AD145:AE145"/>
    <mergeCell ref="AF145:AG145"/>
    <mergeCell ref="AH145:AI145"/>
    <mergeCell ref="R146:AC146"/>
    <mergeCell ref="AD146:AE146"/>
    <mergeCell ref="R135:AC135"/>
    <mergeCell ref="AD135:AE135"/>
    <mergeCell ref="AF135:AG135"/>
    <mergeCell ref="AH135:AI135"/>
    <mergeCell ref="AD136:AE136"/>
    <mergeCell ref="AF136:AG136"/>
    <mergeCell ref="AH136:AI136"/>
    <mergeCell ref="AF138:AG138"/>
    <mergeCell ref="AH138:AI138"/>
    <mergeCell ref="M125:N125"/>
    <mergeCell ref="M126:N126"/>
    <mergeCell ref="M127:N127"/>
    <mergeCell ref="M128:N128"/>
    <mergeCell ref="M129:N129"/>
    <mergeCell ref="M130:N130"/>
    <mergeCell ref="M131:N131"/>
    <mergeCell ref="M132:N132"/>
    <mergeCell ref="M133:N133"/>
    <mergeCell ref="F112:G112"/>
    <mergeCell ref="F113:G113"/>
    <mergeCell ref="C110:D110"/>
    <mergeCell ref="C111:D111"/>
    <mergeCell ref="F111:G111"/>
    <mergeCell ref="H111:K111"/>
    <mergeCell ref="C112:D112"/>
    <mergeCell ref="H112:K112"/>
    <mergeCell ref="H113:K113"/>
    <mergeCell ref="M110:N110"/>
    <mergeCell ref="M111:N111"/>
    <mergeCell ref="M112:N112"/>
    <mergeCell ref="M113:N113"/>
    <mergeCell ref="M114:N114"/>
    <mergeCell ref="M115:N115"/>
    <mergeCell ref="M139:N139"/>
    <mergeCell ref="M140:N140"/>
    <mergeCell ref="M141:N141"/>
    <mergeCell ref="M142:N142"/>
    <mergeCell ref="M143:N143"/>
    <mergeCell ref="C89:D89"/>
    <mergeCell ref="C90:D90"/>
    <mergeCell ref="C91:D91"/>
    <mergeCell ref="C92:D92"/>
    <mergeCell ref="C93:D93"/>
    <mergeCell ref="C94:D94"/>
    <mergeCell ref="C95:D95"/>
    <mergeCell ref="H102:K102"/>
    <mergeCell ref="M102:N102"/>
    <mergeCell ref="F103:G103"/>
    <mergeCell ref="H103:K103"/>
    <mergeCell ref="M103:N103"/>
    <mergeCell ref="C103:D103"/>
    <mergeCell ref="C104:D104"/>
    <mergeCell ref="F104:G104"/>
    <mergeCell ref="H104:K104"/>
    <mergeCell ref="M104:N104"/>
    <mergeCell ref="F105:G105"/>
    <mergeCell ref="H105:K105"/>
    <mergeCell ref="M116:N116"/>
    <mergeCell ref="M118:N118"/>
    <mergeCell ref="M119:N119"/>
    <mergeCell ref="M120:N120"/>
    <mergeCell ref="M121:N121"/>
    <mergeCell ref="M122:N122"/>
    <mergeCell ref="M123:N123"/>
    <mergeCell ref="M124:N124"/>
    <mergeCell ref="C105:D105"/>
    <mergeCell ref="C106:D106"/>
    <mergeCell ref="F106:G106"/>
    <mergeCell ref="H106:K106"/>
    <mergeCell ref="M106:N106"/>
    <mergeCell ref="F107:G107"/>
    <mergeCell ref="H107:K107"/>
    <mergeCell ref="M107:N107"/>
    <mergeCell ref="C96:D96"/>
    <mergeCell ref="C97:D97"/>
    <mergeCell ref="C98:D98"/>
    <mergeCell ref="C99:D99"/>
    <mergeCell ref="C100:D100"/>
    <mergeCell ref="C101:D101"/>
    <mergeCell ref="C102:D102"/>
    <mergeCell ref="C116:D116"/>
    <mergeCell ref="F109:G109"/>
    <mergeCell ref="F110:G110"/>
    <mergeCell ref="C107:D107"/>
    <mergeCell ref="C108:D108"/>
    <mergeCell ref="F108:G108"/>
    <mergeCell ref="H108:K108"/>
    <mergeCell ref="C109:D109"/>
    <mergeCell ref="H109:K109"/>
    <mergeCell ref="H110:K110"/>
    <mergeCell ref="M108:N108"/>
    <mergeCell ref="M109:N109"/>
    <mergeCell ref="C117:D117"/>
    <mergeCell ref="H117:K117"/>
    <mergeCell ref="M117:N117"/>
    <mergeCell ref="C113:D113"/>
    <mergeCell ref="C114:D114"/>
    <mergeCell ref="F114:G114"/>
    <mergeCell ref="H114:K114"/>
    <mergeCell ref="C115:D115"/>
    <mergeCell ref="H115:K115"/>
    <mergeCell ref="H116:K116"/>
    <mergeCell ref="F119:G119"/>
    <mergeCell ref="H119:K119"/>
    <mergeCell ref="F115:G115"/>
    <mergeCell ref="F116:G116"/>
    <mergeCell ref="F117:G117"/>
    <mergeCell ref="C118:D118"/>
    <mergeCell ref="F118:G118"/>
    <mergeCell ref="H118:K118"/>
    <mergeCell ref="C119:D119"/>
    <mergeCell ref="F122:G122"/>
    <mergeCell ref="H122:K122"/>
    <mergeCell ref="C120:D120"/>
    <mergeCell ref="F120:G120"/>
    <mergeCell ref="H120:K120"/>
    <mergeCell ref="C121:D121"/>
    <mergeCell ref="F121:G121"/>
    <mergeCell ref="H121:K121"/>
    <mergeCell ref="C122:D122"/>
    <mergeCell ref="F125:G125"/>
    <mergeCell ref="H125:K125"/>
    <mergeCell ref="C123:D123"/>
    <mergeCell ref="F123:G123"/>
    <mergeCell ref="H123:K123"/>
    <mergeCell ref="C124:D124"/>
    <mergeCell ref="F124:G124"/>
    <mergeCell ref="H124:K124"/>
    <mergeCell ref="C125:D125"/>
    <mergeCell ref="F137:G137"/>
    <mergeCell ref="H137:K137"/>
    <mergeCell ref="C135:D135"/>
    <mergeCell ref="F135:G135"/>
    <mergeCell ref="H135:K135"/>
    <mergeCell ref="C136:D136"/>
    <mergeCell ref="F136:G136"/>
    <mergeCell ref="H136:K136"/>
    <mergeCell ref="C137:D137"/>
    <mergeCell ref="F140:G140"/>
    <mergeCell ref="H140:K140"/>
    <mergeCell ref="C138:D138"/>
    <mergeCell ref="F138:G138"/>
    <mergeCell ref="H138:K138"/>
    <mergeCell ref="C139:D139"/>
    <mergeCell ref="F139:G139"/>
    <mergeCell ref="H139:K139"/>
    <mergeCell ref="C140:D140"/>
    <mergeCell ref="F143:G143"/>
    <mergeCell ref="H143:K143"/>
    <mergeCell ref="C141:D141"/>
    <mergeCell ref="F141:G141"/>
    <mergeCell ref="H141:K141"/>
    <mergeCell ref="C142:D142"/>
    <mergeCell ref="F142:G142"/>
    <mergeCell ref="H142:K142"/>
    <mergeCell ref="C143:D143"/>
    <mergeCell ref="R179:AC179"/>
    <mergeCell ref="AD179:AE179"/>
    <mergeCell ref="AF179:AG179"/>
    <mergeCell ref="AH179:AI179"/>
    <mergeCell ref="AD180:AE180"/>
    <mergeCell ref="AF180:AG180"/>
    <mergeCell ref="AH180:AI180"/>
    <mergeCell ref="R180:AC180"/>
    <mergeCell ref="R177:AC177"/>
    <mergeCell ref="AD177:AE177"/>
    <mergeCell ref="AF177:AG177"/>
    <mergeCell ref="AH177:AI177"/>
    <mergeCell ref="R178:AC178"/>
    <mergeCell ref="AD178:AE178"/>
    <mergeCell ref="R157:AC157"/>
    <mergeCell ref="AD157:AE157"/>
    <mergeCell ref="AF157:AG157"/>
    <mergeCell ref="AH157:AI157"/>
    <mergeCell ref="R158:AC158"/>
    <mergeCell ref="AD158:AE158"/>
    <mergeCell ref="AD150:AE150"/>
    <mergeCell ref="R151:AC151"/>
    <mergeCell ref="AD151:AE151"/>
    <mergeCell ref="AF181:AG181"/>
    <mergeCell ref="AH181:AI181"/>
    <mergeCell ref="R182:AC182"/>
    <mergeCell ref="AD182:AE182"/>
    <mergeCell ref="AF170:AG170"/>
    <mergeCell ref="AH170:AI170"/>
    <mergeCell ref="R171:AC171"/>
    <mergeCell ref="AD171:AE171"/>
    <mergeCell ref="AF171:AG171"/>
    <mergeCell ref="AH171:AI171"/>
    <mergeCell ref="AH172:AI172"/>
    <mergeCell ref="AF174:AG174"/>
    <mergeCell ref="AH174:AI174"/>
    <mergeCell ref="R172:AC172"/>
    <mergeCell ref="R173:AC173"/>
    <mergeCell ref="AD173:AE173"/>
    <mergeCell ref="AF173:AG173"/>
    <mergeCell ref="AH173:AI173"/>
    <mergeCell ref="R174:AC174"/>
    <mergeCell ref="AD174:AE174"/>
    <mergeCell ref="R175:AC175"/>
    <mergeCell ref="AD175:AE175"/>
    <mergeCell ref="AF175:AG175"/>
    <mergeCell ref="AH175:AI175"/>
    <mergeCell ref="AD176:AE176"/>
    <mergeCell ref="AF176:AG176"/>
    <mergeCell ref="AH176:AI176"/>
    <mergeCell ref="AF178:AG178"/>
    <mergeCell ref="AH178:AI178"/>
    <mergeCell ref="R176:AC176"/>
    <mergeCell ref="AF184:AG184"/>
    <mergeCell ref="R139:AC139"/>
    <mergeCell ref="AD139:AE139"/>
    <mergeCell ref="AF139:AG139"/>
    <mergeCell ref="AH139:AI139"/>
    <mergeCell ref="AD140:AE140"/>
    <mergeCell ref="AF140:AG140"/>
    <mergeCell ref="AH140:AI140"/>
    <mergeCell ref="R140:AC140"/>
    <mergeCell ref="R141:AC141"/>
    <mergeCell ref="AD141:AE141"/>
    <mergeCell ref="AF141:AG141"/>
    <mergeCell ref="AH141:AI141"/>
    <mergeCell ref="R142:AC142"/>
    <mergeCell ref="AD142:AE142"/>
    <mergeCell ref="AF130:AG130"/>
    <mergeCell ref="AH130:AI130"/>
    <mergeCell ref="R131:AC131"/>
    <mergeCell ref="AD131:AE131"/>
    <mergeCell ref="AF131:AG131"/>
    <mergeCell ref="AH131:AI131"/>
    <mergeCell ref="AH132:AI132"/>
    <mergeCell ref="AF134:AG134"/>
    <mergeCell ref="AH134:AI134"/>
    <mergeCell ref="R132:AC132"/>
    <mergeCell ref="R133:AC133"/>
    <mergeCell ref="AD133:AE133"/>
    <mergeCell ref="AF133:AG133"/>
    <mergeCell ref="AH133:AI133"/>
    <mergeCell ref="R134:AC134"/>
    <mergeCell ref="AD134:AE134"/>
    <mergeCell ref="R181:AC181"/>
    <mergeCell ref="AF137:AG137"/>
    <mergeCell ref="AH137:AI137"/>
    <mergeCell ref="R138:AC138"/>
    <mergeCell ref="AD138:AE138"/>
    <mergeCell ref="AD148:AE148"/>
    <mergeCell ref="AF148:AG148"/>
    <mergeCell ref="R155:AC155"/>
    <mergeCell ref="AD155:AE155"/>
    <mergeCell ref="AF155:AG155"/>
    <mergeCell ref="AH155:AI155"/>
    <mergeCell ref="AD156:AE156"/>
    <mergeCell ref="AF156:AG156"/>
    <mergeCell ref="AH156:AI156"/>
    <mergeCell ref="R156:AC156"/>
    <mergeCell ref="AD144:AE144"/>
    <mergeCell ref="AF144:AG144"/>
    <mergeCell ref="R147:AC147"/>
    <mergeCell ref="AD147:AE147"/>
    <mergeCell ref="AF147:AG147"/>
    <mergeCell ref="AH147:AI147"/>
    <mergeCell ref="AH148:AI148"/>
    <mergeCell ref="AF150:AG150"/>
    <mergeCell ref="AH150:AI150"/>
    <mergeCell ref="R148:AC148"/>
    <mergeCell ref="R149:AC149"/>
    <mergeCell ref="AD149:AE149"/>
    <mergeCell ref="AF149:AG149"/>
    <mergeCell ref="AH149:AI149"/>
    <mergeCell ref="R150:AC150"/>
    <mergeCell ref="AF151:AG151"/>
    <mergeCell ref="AH151:AI151"/>
    <mergeCell ref="AD152:AE152"/>
    <mergeCell ref="AF152:AG152"/>
    <mergeCell ref="AH152:AI152"/>
    <mergeCell ref="AF154:AG154"/>
    <mergeCell ref="AH154:AI154"/>
    <mergeCell ref="R152:AC152"/>
    <mergeCell ref="R153:AC153"/>
    <mergeCell ref="AD153:AE153"/>
    <mergeCell ref="AF153:AG153"/>
    <mergeCell ref="AH153:AI153"/>
    <mergeCell ref="R154:AC154"/>
    <mergeCell ref="AD154:AE154"/>
    <mergeCell ref="AD160:AE160"/>
    <mergeCell ref="AF160:AG160"/>
    <mergeCell ref="R167:AC167"/>
    <mergeCell ref="AD167:AE167"/>
    <mergeCell ref="AF167:AG167"/>
    <mergeCell ref="AH167:AI167"/>
    <mergeCell ref="AH164:AI164"/>
    <mergeCell ref="AF166:AG166"/>
    <mergeCell ref="AH166:AI166"/>
    <mergeCell ref="R164:AC164"/>
    <mergeCell ref="R165:AC165"/>
    <mergeCell ref="AD165:AE165"/>
    <mergeCell ref="AF165:AG165"/>
    <mergeCell ref="AH165:AI165"/>
    <mergeCell ref="R166:AC166"/>
    <mergeCell ref="AD166:AE166"/>
    <mergeCell ref="AF168:AG168"/>
    <mergeCell ref="AH168:AI168"/>
    <mergeCell ref="R168:AC168"/>
    <mergeCell ref="R169:AC169"/>
    <mergeCell ref="AD169:AE169"/>
    <mergeCell ref="AF169:AG169"/>
    <mergeCell ref="AH169:AI169"/>
    <mergeCell ref="R170:AC170"/>
    <mergeCell ref="AD170:AE170"/>
    <mergeCell ref="AF158:AG158"/>
    <mergeCell ref="AH158:AI158"/>
    <mergeCell ref="R159:AC159"/>
    <mergeCell ref="AD159:AE159"/>
    <mergeCell ref="AF159:AG159"/>
    <mergeCell ref="AH159:AI159"/>
    <mergeCell ref="AH160:AI160"/>
    <mergeCell ref="AF162:AG162"/>
    <mergeCell ref="AH162:AI162"/>
    <mergeCell ref="R160:AC160"/>
    <mergeCell ref="R161:AC161"/>
    <mergeCell ref="AD161:AE161"/>
    <mergeCell ref="AF161:AG161"/>
    <mergeCell ref="AH161:AI161"/>
    <mergeCell ref="R162:AC162"/>
    <mergeCell ref="AD162:AE162"/>
    <mergeCell ref="R163:AC163"/>
    <mergeCell ref="AD163:AE163"/>
    <mergeCell ref="AF163:AG163"/>
    <mergeCell ref="AH163:AI163"/>
    <mergeCell ref="AD164:AE164"/>
    <mergeCell ref="AF164:AG164"/>
    <mergeCell ref="AF172:AG172"/>
    <mergeCell ref="R184:AC184"/>
    <mergeCell ref="R185:AC185"/>
    <mergeCell ref="AD185:AE185"/>
    <mergeCell ref="AF185:AG185"/>
    <mergeCell ref="AH185:AI185"/>
    <mergeCell ref="AF182:AG182"/>
    <mergeCell ref="AH182:AI182"/>
    <mergeCell ref="R183:AC183"/>
    <mergeCell ref="AD183:AE183"/>
    <mergeCell ref="AF183:AG183"/>
    <mergeCell ref="AH183:AI183"/>
    <mergeCell ref="AH184:AI184"/>
    <mergeCell ref="F170:G170"/>
    <mergeCell ref="H170:K170"/>
    <mergeCell ref="C168:D168"/>
    <mergeCell ref="F168:G168"/>
    <mergeCell ref="H168:K168"/>
    <mergeCell ref="C169:D169"/>
    <mergeCell ref="F169:G169"/>
    <mergeCell ref="H169:K169"/>
    <mergeCell ref="C170:D170"/>
    <mergeCell ref="F173:G173"/>
    <mergeCell ref="H173:K173"/>
    <mergeCell ref="C171:D171"/>
    <mergeCell ref="F171:G171"/>
    <mergeCell ref="H171:K171"/>
    <mergeCell ref="C172:D172"/>
    <mergeCell ref="F172:G172"/>
    <mergeCell ref="H172:K172"/>
    <mergeCell ref="C173:D173"/>
    <mergeCell ref="AD168:AE168"/>
    <mergeCell ref="F176:G176"/>
    <mergeCell ref="H176:K176"/>
    <mergeCell ref="C174:D174"/>
    <mergeCell ref="F174:G174"/>
    <mergeCell ref="H174:K174"/>
    <mergeCell ref="C175:D175"/>
    <mergeCell ref="F175:G175"/>
    <mergeCell ref="H175:K175"/>
    <mergeCell ref="C176:D176"/>
    <mergeCell ref="F179:G179"/>
    <mergeCell ref="H179:K179"/>
    <mergeCell ref="C177:D177"/>
    <mergeCell ref="F177:G177"/>
    <mergeCell ref="H177:K177"/>
    <mergeCell ref="C178:D178"/>
    <mergeCell ref="F178:G178"/>
    <mergeCell ref="H178:K178"/>
    <mergeCell ref="C179:D179"/>
    <mergeCell ref="F182:G182"/>
    <mergeCell ref="H182:K182"/>
    <mergeCell ref="C180:D180"/>
    <mergeCell ref="F180:G180"/>
    <mergeCell ref="H180:K180"/>
    <mergeCell ref="C181:D181"/>
    <mergeCell ref="F181:G181"/>
    <mergeCell ref="H181:K181"/>
    <mergeCell ref="C182:D182"/>
    <mergeCell ref="F185:G185"/>
    <mergeCell ref="H185:K185"/>
    <mergeCell ref="C183:D183"/>
    <mergeCell ref="F183:G183"/>
    <mergeCell ref="H183:K183"/>
    <mergeCell ref="C184:D184"/>
    <mergeCell ref="F184:G184"/>
    <mergeCell ref="H184:K184"/>
    <mergeCell ref="C185:D185"/>
    <mergeCell ref="F188:G188"/>
    <mergeCell ref="H188:K188"/>
    <mergeCell ref="C186:D186"/>
    <mergeCell ref="F186:G186"/>
    <mergeCell ref="H186:K186"/>
    <mergeCell ref="C187:D187"/>
    <mergeCell ref="F187:G187"/>
    <mergeCell ref="H187:K187"/>
    <mergeCell ref="C188:D188"/>
    <mergeCell ref="F149:G149"/>
    <mergeCell ref="H149:K149"/>
    <mergeCell ref="C147:D147"/>
    <mergeCell ref="F147:G147"/>
    <mergeCell ref="H147:K147"/>
    <mergeCell ref="C148:D148"/>
    <mergeCell ref="F148:G148"/>
    <mergeCell ref="H148:K148"/>
    <mergeCell ref="C149:D149"/>
    <mergeCell ref="F152:G152"/>
    <mergeCell ref="H152:K152"/>
    <mergeCell ref="C150:D150"/>
    <mergeCell ref="F150:G150"/>
    <mergeCell ref="H150:K150"/>
    <mergeCell ref="C151:D151"/>
    <mergeCell ref="F151:G151"/>
    <mergeCell ref="H151:K151"/>
    <mergeCell ref="C152:D152"/>
    <mergeCell ref="F155:G155"/>
    <mergeCell ref="H155:K155"/>
    <mergeCell ref="C153:D153"/>
    <mergeCell ref="F153:G153"/>
    <mergeCell ref="H153:K153"/>
    <mergeCell ref="C154:D154"/>
    <mergeCell ref="F154:G154"/>
    <mergeCell ref="H154:K154"/>
    <mergeCell ref="C155:D155"/>
    <mergeCell ref="F158:G158"/>
    <mergeCell ref="H158:K158"/>
    <mergeCell ref="C156:D156"/>
    <mergeCell ref="F156:G156"/>
    <mergeCell ref="H156:K156"/>
    <mergeCell ref="C157:D157"/>
    <mergeCell ref="F157:G157"/>
    <mergeCell ref="H157:K157"/>
    <mergeCell ref="C158:D158"/>
    <mergeCell ref="F161:G161"/>
    <mergeCell ref="H161:K161"/>
    <mergeCell ref="C159:D159"/>
    <mergeCell ref="F159:G159"/>
    <mergeCell ref="H159:K159"/>
    <mergeCell ref="C160:D160"/>
    <mergeCell ref="F160:G160"/>
    <mergeCell ref="H160:K160"/>
    <mergeCell ref="C161:D161"/>
    <mergeCell ref="F164:G164"/>
    <mergeCell ref="H164:K164"/>
    <mergeCell ref="C162:D162"/>
    <mergeCell ref="F162:G162"/>
    <mergeCell ref="H162:K162"/>
    <mergeCell ref="C163:D163"/>
    <mergeCell ref="F163:G163"/>
    <mergeCell ref="H163:K163"/>
    <mergeCell ref="C164:D164"/>
    <mergeCell ref="C165:D165"/>
    <mergeCell ref="F165:G165"/>
    <mergeCell ref="H165:K165"/>
    <mergeCell ref="C166:D166"/>
    <mergeCell ref="F166:G166"/>
    <mergeCell ref="H166:K166"/>
    <mergeCell ref="C167:D167"/>
    <mergeCell ref="F167:G167"/>
    <mergeCell ref="H167:K167"/>
    <mergeCell ref="AF186:AG186"/>
    <mergeCell ref="AH186:AI186"/>
    <mergeCell ref="R187:AC187"/>
    <mergeCell ref="AH187:AI187"/>
    <mergeCell ref="AD189:AE189"/>
    <mergeCell ref="AF189:AG189"/>
    <mergeCell ref="AD187:AE187"/>
    <mergeCell ref="AF187:AG187"/>
    <mergeCell ref="R188:AC188"/>
    <mergeCell ref="AD188:AE188"/>
    <mergeCell ref="AF188:AG188"/>
    <mergeCell ref="AH188:AI188"/>
    <mergeCell ref="AH189:AI189"/>
    <mergeCell ref="AF191:AG191"/>
    <mergeCell ref="AH191:AI191"/>
    <mergeCell ref="R189:AC189"/>
    <mergeCell ref="R190:AC190"/>
    <mergeCell ref="AD190:AE190"/>
    <mergeCell ref="AF190:AG190"/>
    <mergeCell ref="AH190:AI190"/>
    <mergeCell ref="R191:AC191"/>
    <mergeCell ref="AD191:AE191"/>
    <mergeCell ref="H56:K56"/>
    <mergeCell ref="H57:K57"/>
    <mergeCell ref="H58:K58"/>
    <mergeCell ref="H59:K59"/>
    <mergeCell ref="H60:K60"/>
    <mergeCell ref="H61:K61"/>
    <mergeCell ref="H62:K62"/>
    <mergeCell ref="H63:K63"/>
    <mergeCell ref="H64:K64"/>
    <mergeCell ref="H65:K65"/>
    <mergeCell ref="H66:K66"/>
    <mergeCell ref="H67:K67"/>
    <mergeCell ref="H68:K68"/>
    <mergeCell ref="H69:K69"/>
    <mergeCell ref="H70:K70"/>
    <mergeCell ref="R186:AC186"/>
    <mergeCell ref="AD186:AE186"/>
    <mergeCell ref="AD172:AE172"/>
    <mergeCell ref="R136:AC136"/>
    <mergeCell ref="R137:AC137"/>
    <mergeCell ref="AD137:AE137"/>
    <mergeCell ref="AD184:AE184"/>
    <mergeCell ref="AD181:AE181"/>
    <mergeCell ref="M105:N105"/>
    <mergeCell ref="M134:N134"/>
    <mergeCell ref="M135:N135"/>
    <mergeCell ref="M136:N136"/>
    <mergeCell ref="M144:N144"/>
    <mergeCell ref="M145:N145"/>
    <mergeCell ref="M146:N146"/>
    <mergeCell ref="M137:N137"/>
    <mergeCell ref="M138:N138"/>
    <mergeCell ref="R103:AC103"/>
    <mergeCell ref="AD103:AE103"/>
    <mergeCell ref="AF103:AG103"/>
    <mergeCell ref="AH103:AI103"/>
    <mergeCell ref="AD104:AE104"/>
    <mergeCell ref="AF104:AG104"/>
    <mergeCell ref="AH104:AI104"/>
    <mergeCell ref="R104:AC104"/>
    <mergeCell ref="R105:AC105"/>
    <mergeCell ref="AD105:AE105"/>
    <mergeCell ref="AF105:AG105"/>
    <mergeCell ref="AH105:AI105"/>
    <mergeCell ref="R102:AC102"/>
    <mergeCell ref="AD102:AE102"/>
    <mergeCell ref="H71:K71"/>
    <mergeCell ref="H72:K72"/>
    <mergeCell ref="H73:K73"/>
    <mergeCell ref="H74:K74"/>
    <mergeCell ref="H75:K75"/>
    <mergeCell ref="H76:K76"/>
    <mergeCell ref="H77:K77"/>
    <mergeCell ref="H78:K78"/>
    <mergeCell ref="H79:K79"/>
    <mergeCell ref="H80:K80"/>
    <mergeCell ref="H81:K81"/>
    <mergeCell ref="H82:K82"/>
    <mergeCell ref="H83:K83"/>
    <mergeCell ref="H84:K84"/>
    <mergeCell ref="H85:K85"/>
    <mergeCell ref="H86:K86"/>
    <mergeCell ref="H87:K87"/>
    <mergeCell ref="H90:K90"/>
    <mergeCell ref="AF99:AG99"/>
    <mergeCell ref="AH99:AI99"/>
    <mergeCell ref="AD100:AE100"/>
    <mergeCell ref="AF100:AG100"/>
    <mergeCell ref="AH100:AI100"/>
    <mergeCell ref="AF102:AG102"/>
    <mergeCell ref="AH102:AI102"/>
    <mergeCell ref="R100:AC100"/>
    <mergeCell ref="R101:AC101"/>
    <mergeCell ref="AD101:AE101"/>
    <mergeCell ref="AF101:AG101"/>
    <mergeCell ref="AH101:AI101"/>
    <mergeCell ref="H88:K88"/>
    <mergeCell ref="H89:K89"/>
    <mergeCell ref="M99:N99"/>
    <mergeCell ref="M100:N100"/>
    <mergeCell ref="H101:K101"/>
    <mergeCell ref="M101:N101"/>
    <mergeCell ref="H91:K91"/>
    <mergeCell ref="H92:K92"/>
    <mergeCell ref="H93:K93"/>
    <mergeCell ref="H94:K94"/>
    <mergeCell ref="H95:K95"/>
    <mergeCell ref="M96:N96"/>
    <mergeCell ref="H96:K96"/>
    <mergeCell ref="H97:K97"/>
    <mergeCell ref="M97:N97"/>
    <mergeCell ref="H98:K98"/>
    <mergeCell ref="M98:N98"/>
    <mergeCell ref="H99:K99"/>
    <mergeCell ref="H100:K100"/>
    <mergeCell ref="AD96:AE96"/>
    <mergeCell ref="M31:N31"/>
    <mergeCell ref="M32:N32"/>
    <mergeCell ref="M33:N33"/>
    <mergeCell ref="M34:N34"/>
    <mergeCell ref="M35:N35"/>
    <mergeCell ref="M36:N36"/>
    <mergeCell ref="M37:N37"/>
    <mergeCell ref="F46:G46"/>
    <mergeCell ref="F47:G47"/>
    <mergeCell ref="F48:G48"/>
    <mergeCell ref="F49:G49"/>
    <mergeCell ref="F50:G50"/>
    <mergeCell ref="R106:AC106"/>
    <mergeCell ref="AD106:AE106"/>
    <mergeCell ref="AF94:AG94"/>
    <mergeCell ref="AH94:AI94"/>
    <mergeCell ref="R95:AC95"/>
    <mergeCell ref="AD95:AE95"/>
    <mergeCell ref="AF95:AG95"/>
    <mergeCell ref="AH95:AI95"/>
    <mergeCell ref="AH96:AI96"/>
    <mergeCell ref="AF98:AG98"/>
    <mergeCell ref="AH98:AI98"/>
    <mergeCell ref="R96:AC96"/>
    <mergeCell ref="R97:AC97"/>
    <mergeCell ref="AD97:AE97"/>
    <mergeCell ref="AF97:AG97"/>
    <mergeCell ref="AH97:AI97"/>
    <mergeCell ref="R98:AC98"/>
    <mergeCell ref="AD98:AE98"/>
    <mergeCell ref="R99:AC99"/>
    <mergeCell ref="AD99:AE99"/>
    <mergeCell ref="M26:N26"/>
    <mergeCell ref="M27:N27"/>
    <mergeCell ref="F22:G22"/>
    <mergeCell ref="F23:G23"/>
    <mergeCell ref="M23:N23"/>
    <mergeCell ref="M24:N24"/>
    <mergeCell ref="M25:N25"/>
    <mergeCell ref="H26:K26"/>
    <mergeCell ref="H27:K27"/>
    <mergeCell ref="F30:G30"/>
    <mergeCell ref="H30:K30"/>
    <mergeCell ref="H28:K28"/>
    <mergeCell ref="M28:N28"/>
    <mergeCell ref="C29:D29"/>
    <mergeCell ref="F29:G29"/>
    <mergeCell ref="H29:K29"/>
    <mergeCell ref="M29:N29"/>
    <mergeCell ref="M30:N30"/>
    <mergeCell ref="C11:D11"/>
    <mergeCell ref="F11:G11"/>
    <mergeCell ref="H11:K11"/>
    <mergeCell ref="M11:N11"/>
    <mergeCell ref="C6:D6"/>
    <mergeCell ref="E6:G6"/>
    <mergeCell ref="C7:D7"/>
    <mergeCell ref="E7:G7"/>
    <mergeCell ref="C8:D8"/>
    <mergeCell ref="E8:G8"/>
    <mergeCell ref="C10:D10"/>
    <mergeCell ref="C12:D12"/>
    <mergeCell ref="F12:G12"/>
    <mergeCell ref="H12:K12"/>
    <mergeCell ref="M12:N12"/>
    <mergeCell ref="F13:G13"/>
    <mergeCell ref="H13:K13"/>
    <mergeCell ref="M13:N13"/>
    <mergeCell ref="C13:D13"/>
    <mergeCell ref="L7:M7"/>
    <mergeCell ref="N7:P7"/>
    <mergeCell ref="F55:G55"/>
    <mergeCell ref="F56:G56"/>
    <mergeCell ref="F57:G57"/>
    <mergeCell ref="F58:G58"/>
    <mergeCell ref="F59:G59"/>
    <mergeCell ref="F60:G60"/>
    <mergeCell ref="F61:G61"/>
    <mergeCell ref="F62:G62"/>
    <mergeCell ref="F63:G63"/>
    <mergeCell ref="F64:G64"/>
    <mergeCell ref="F65:G65"/>
    <mergeCell ref="F66:G66"/>
    <mergeCell ref="F67:G67"/>
    <mergeCell ref="C14:D14"/>
    <mergeCell ref="F14:G14"/>
    <mergeCell ref="H14:K14"/>
    <mergeCell ref="C15:D15"/>
    <mergeCell ref="H15:K15"/>
    <mergeCell ref="H16:K16"/>
    <mergeCell ref="F24:G24"/>
    <mergeCell ref="F25:G25"/>
    <mergeCell ref="F26:G26"/>
    <mergeCell ref="F27:G27"/>
    <mergeCell ref="F28:G28"/>
    <mergeCell ref="F15:G15"/>
    <mergeCell ref="F16:G16"/>
    <mergeCell ref="F17:G17"/>
    <mergeCell ref="F18:G18"/>
    <mergeCell ref="F19:G19"/>
    <mergeCell ref="F20:G20"/>
    <mergeCell ref="F21:G21"/>
    <mergeCell ref="H55:K55"/>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95:G95"/>
    <mergeCell ref="F96:G96"/>
    <mergeCell ref="F97:G97"/>
    <mergeCell ref="F98:G98"/>
    <mergeCell ref="F99:G99"/>
    <mergeCell ref="F100:G100"/>
    <mergeCell ref="F101:G101"/>
    <mergeCell ref="F102:G102"/>
    <mergeCell ref="F88:G88"/>
    <mergeCell ref="F89:G89"/>
    <mergeCell ref="F90:G90"/>
    <mergeCell ref="F91:G91"/>
    <mergeCell ref="F92:G92"/>
    <mergeCell ref="F93:G93"/>
    <mergeCell ref="F94:G94"/>
    <mergeCell ref="C30:D30"/>
    <mergeCell ref="C31:D31"/>
    <mergeCell ref="F31:G31"/>
    <mergeCell ref="H31:K31"/>
    <mergeCell ref="C32:D32"/>
    <mergeCell ref="H32:K32"/>
    <mergeCell ref="H33:K33"/>
    <mergeCell ref="F32:G32"/>
    <mergeCell ref="F33:G33"/>
    <mergeCell ref="F34:G34"/>
    <mergeCell ref="F35:G35"/>
    <mergeCell ref="F36:G36"/>
    <mergeCell ref="F37:G37"/>
    <mergeCell ref="F38:G38"/>
    <mergeCell ref="C33:D33"/>
    <mergeCell ref="C34:D34"/>
    <mergeCell ref="C35:D35"/>
    <mergeCell ref="C36:D36"/>
    <mergeCell ref="C37:D37"/>
    <mergeCell ref="C38:D38"/>
    <mergeCell ref="C39:D39"/>
    <mergeCell ref="H34:K34"/>
    <mergeCell ref="H35:K35"/>
    <mergeCell ref="H36:K36"/>
    <mergeCell ref="H37:K37"/>
    <mergeCell ref="H38:K38"/>
    <mergeCell ref="H39:K39"/>
    <mergeCell ref="H40:K40"/>
    <mergeCell ref="F39:G39"/>
    <mergeCell ref="F40:G40"/>
    <mergeCell ref="F41:G41"/>
    <mergeCell ref="F42:G42"/>
    <mergeCell ref="F43:G43"/>
    <mergeCell ref="F44:G44"/>
    <mergeCell ref="F45:G45"/>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F51:G51"/>
    <mergeCell ref="F52:G52"/>
    <mergeCell ref="F53:G53"/>
    <mergeCell ref="F54:G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AF115:AG115"/>
    <mergeCell ref="AH115:AI115"/>
    <mergeCell ref="AD116:AE116"/>
    <mergeCell ref="AF116:AG116"/>
    <mergeCell ref="AH116:AI116"/>
    <mergeCell ref="R116:AC116"/>
    <mergeCell ref="R117:AC117"/>
    <mergeCell ref="AD117:AE117"/>
    <mergeCell ref="AF117:AG117"/>
    <mergeCell ref="AH117:AI117"/>
    <mergeCell ref="R118:AC118"/>
    <mergeCell ref="AD118:AE118"/>
    <mergeCell ref="AF106:AG106"/>
    <mergeCell ref="AH106:AI106"/>
    <mergeCell ref="R107:AC107"/>
    <mergeCell ref="AD107:AE107"/>
    <mergeCell ref="AF107:AG107"/>
    <mergeCell ref="AH107:AI107"/>
    <mergeCell ref="AH108:AI108"/>
    <mergeCell ref="AF110:AG110"/>
    <mergeCell ref="AH110:AI110"/>
    <mergeCell ref="R108:AC108"/>
    <mergeCell ref="R109:AC109"/>
    <mergeCell ref="AD109:AE109"/>
    <mergeCell ref="AF109:AG109"/>
    <mergeCell ref="AH109:AI109"/>
    <mergeCell ref="R110:AC110"/>
    <mergeCell ref="AD110:AE110"/>
    <mergeCell ref="R111:AC111"/>
    <mergeCell ref="AD111:AE111"/>
    <mergeCell ref="AD108:AE108"/>
    <mergeCell ref="AF108:AG108"/>
    <mergeCell ref="AF111:AG111"/>
    <mergeCell ref="AH111:AI111"/>
    <mergeCell ref="AD112:AE112"/>
    <mergeCell ref="AF112:AG112"/>
    <mergeCell ref="AH112:AI112"/>
    <mergeCell ref="AF114:AG114"/>
    <mergeCell ref="AH114:AI114"/>
    <mergeCell ref="R112:AC112"/>
    <mergeCell ref="R113:AC113"/>
    <mergeCell ref="AD113:AE113"/>
    <mergeCell ref="AF113:AG113"/>
    <mergeCell ref="AH113:AI113"/>
    <mergeCell ref="R114:AC114"/>
    <mergeCell ref="AD114:AE114"/>
    <mergeCell ref="AD120:AE120"/>
    <mergeCell ref="AF120:AG120"/>
    <mergeCell ref="R127:AC127"/>
    <mergeCell ref="AD127:AE127"/>
    <mergeCell ref="AF127:AG127"/>
    <mergeCell ref="AH127:AI127"/>
    <mergeCell ref="AH124:AI124"/>
    <mergeCell ref="AF126:AG126"/>
    <mergeCell ref="AH126:AI126"/>
    <mergeCell ref="R124:AC124"/>
    <mergeCell ref="R125:AC125"/>
    <mergeCell ref="AD125:AE125"/>
    <mergeCell ref="AF125:AG125"/>
    <mergeCell ref="AH125:AI125"/>
    <mergeCell ref="R126:AC126"/>
    <mergeCell ref="AD126:AE126"/>
    <mergeCell ref="R115:AC115"/>
    <mergeCell ref="AD115:AE115"/>
    <mergeCell ref="AD128:AE128"/>
    <mergeCell ref="AF128:AG128"/>
    <mergeCell ref="AH128:AI128"/>
    <mergeCell ref="R128:AC128"/>
    <mergeCell ref="R129:AC129"/>
    <mergeCell ref="AD129:AE129"/>
    <mergeCell ref="AF129:AG129"/>
    <mergeCell ref="AH129:AI129"/>
    <mergeCell ref="R130:AC130"/>
    <mergeCell ref="AD130:AE130"/>
    <mergeCell ref="AF118:AG118"/>
    <mergeCell ref="AH118:AI118"/>
    <mergeCell ref="R119:AC119"/>
    <mergeCell ref="AD119:AE119"/>
    <mergeCell ref="AF119:AG119"/>
    <mergeCell ref="AH119:AI119"/>
    <mergeCell ref="AH120:AI120"/>
    <mergeCell ref="AF122:AG122"/>
    <mergeCell ref="AH122:AI122"/>
    <mergeCell ref="R120:AC120"/>
    <mergeCell ref="R121:AC121"/>
    <mergeCell ref="AD121:AE121"/>
    <mergeCell ref="AF121:AG121"/>
    <mergeCell ref="AH121:AI121"/>
    <mergeCell ref="R122:AC122"/>
    <mergeCell ref="AD122:AE122"/>
    <mergeCell ref="R123:AC123"/>
    <mergeCell ref="AD123:AE123"/>
    <mergeCell ref="AF123:AG123"/>
    <mergeCell ref="AH123:AI123"/>
    <mergeCell ref="AD124:AE124"/>
    <mergeCell ref="AF124:AG124"/>
    <mergeCell ref="AD132:AE132"/>
    <mergeCell ref="AF132:AG132"/>
    <mergeCell ref="R200:AC200"/>
    <mergeCell ref="AD200:AE200"/>
    <mergeCell ref="AF200:AG200"/>
    <mergeCell ref="AH200:AI200"/>
    <mergeCell ref="AD201:AE201"/>
    <mergeCell ref="AF201:AG201"/>
    <mergeCell ref="AH201:AI201"/>
    <mergeCell ref="R201:AC201"/>
    <mergeCell ref="R202:AC202"/>
    <mergeCell ref="AD202:AE202"/>
    <mergeCell ref="AF202:AG202"/>
    <mergeCell ref="AH202:AI202"/>
    <mergeCell ref="R203:AC203"/>
    <mergeCell ref="AD203:AE203"/>
    <mergeCell ref="R204:AC204"/>
    <mergeCell ref="AD204:AE204"/>
    <mergeCell ref="AF204:AG204"/>
    <mergeCell ref="AH204:AI204"/>
    <mergeCell ref="AH199:AI199"/>
    <mergeCell ref="R197:AC197"/>
    <mergeCell ref="R198:AC198"/>
    <mergeCell ref="AD198:AE198"/>
    <mergeCell ref="AF198:AG198"/>
    <mergeCell ref="AH198:AI198"/>
    <mergeCell ref="R199:AC199"/>
    <mergeCell ref="AD199:AE199"/>
    <mergeCell ref="AF203:AG203"/>
    <mergeCell ref="AH203:AI203"/>
    <mergeCell ref="AF195:AG195"/>
    <mergeCell ref="AH195:AI195"/>
    <mergeCell ref="AD205:AE205"/>
    <mergeCell ref="AF205:AG205"/>
    <mergeCell ref="AH205:AI205"/>
    <mergeCell ref="R205:AC205"/>
    <mergeCell ref="R206:AC206"/>
    <mergeCell ref="AD206:AE206"/>
    <mergeCell ref="AF206:AG206"/>
    <mergeCell ref="AH206:AI206"/>
    <mergeCell ref="R207:AC207"/>
    <mergeCell ref="AD207:AE207"/>
    <mergeCell ref="R192:AC192"/>
    <mergeCell ref="AD192:AE192"/>
    <mergeCell ref="AF192:AG192"/>
    <mergeCell ref="AH192:AI192"/>
    <mergeCell ref="AD193:AE193"/>
    <mergeCell ref="AF193:AG193"/>
    <mergeCell ref="AH193:AI193"/>
    <mergeCell ref="R193:AC193"/>
    <mergeCell ref="R194:AC194"/>
    <mergeCell ref="AD194:AE194"/>
    <mergeCell ref="AF194:AG194"/>
    <mergeCell ref="AH194:AI194"/>
    <mergeCell ref="R195:AC195"/>
    <mergeCell ref="AD195:AE195"/>
    <mergeCell ref="R196:AC196"/>
    <mergeCell ref="AD196:AE196"/>
    <mergeCell ref="AF196:AG196"/>
    <mergeCell ref="AH196:AI196"/>
    <mergeCell ref="AD197:AE197"/>
    <mergeCell ref="AF197:AG197"/>
    <mergeCell ref="AH197:AI197"/>
    <mergeCell ref="AF199:AG199"/>
    <mergeCell ref="AD209:AE209"/>
    <mergeCell ref="AF209:AG209"/>
    <mergeCell ref="AF207:AG207"/>
    <mergeCell ref="AH207:AI207"/>
    <mergeCell ref="R208:AC208"/>
    <mergeCell ref="AD208:AE208"/>
    <mergeCell ref="AF208:AG208"/>
    <mergeCell ref="AH208:AI208"/>
    <mergeCell ref="R209:AC209"/>
    <mergeCell ref="AH209:AI209"/>
    <mergeCell ref="C144:D144"/>
    <mergeCell ref="F144:G144"/>
    <mergeCell ref="H144:K144"/>
    <mergeCell ref="C145:D145"/>
    <mergeCell ref="F145:G145"/>
    <mergeCell ref="H145:K145"/>
    <mergeCell ref="C146:D146"/>
    <mergeCell ref="F146:G146"/>
    <mergeCell ref="H146:K146"/>
    <mergeCell ref="M147:N147"/>
    <mergeCell ref="M148:N148"/>
    <mergeCell ref="M149:N149"/>
    <mergeCell ref="M150:N150"/>
    <mergeCell ref="M151:N151"/>
    <mergeCell ref="M152:N152"/>
    <mergeCell ref="M153:N153"/>
    <mergeCell ref="M154:N154"/>
    <mergeCell ref="M155:N155"/>
    <mergeCell ref="M156:N156"/>
    <mergeCell ref="M157:N157"/>
    <mergeCell ref="M158:N158"/>
    <mergeCell ref="M159:N159"/>
    <mergeCell ref="M160:N160"/>
    <mergeCell ref="M161:N161"/>
    <mergeCell ref="M162:N162"/>
    <mergeCell ref="M163:N163"/>
    <mergeCell ref="M164:N164"/>
    <mergeCell ref="M165:N165"/>
    <mergeCell ref="M166:N166"/>
    <mergeCell ref="M167:N167"/>
    <mergeCell ref="M168:N168"/>
    <mergeCell ref="M169:N169"/>
    <mergeCell ref="M170:N170"/>
    <mergeCell ref="M171:N171"/>
    <mergeCell ref="M172:N172"/>
    <mergeCell ref="M173:N173"/>
    <mergeCell ref="M174:N174"/>
    <mergeCell ref="M175:N175"/>
    <mergeCell ref="M176:N176"/>
    <mergeCell ref="M177:N177"/>
    <mergeCell ref="M178:N178"/>
    <mergeCell ref="M179:N179"/>
    <mergeCell ref="M180:N180"/>
    <mergeCell ref="M181:N181"/>
    <mergeCell ref="M182:N182"/>
    <mergeCell ref="M183:N183"/>
    <mergeCell ref="M184:N184"/>
    <mergeCell ref="M185:N185"/>
    <mergeCell ref="M186:N186"/>
    <mergeCell ref="F128:G128"/>
    <mergeCell ref="H128:K128"/>
    <mergeCell ref="C126:D126"/>
    <mergeCell ref="F126:G126"/>
    <mergeCell ref="H126:K126"/>
    <mergeCell ref="C127:D127"/>
    <mergeCell ref="F127:G127"/>
    <mergeCell ref="H127:K127"/>
    <mergeCell ref="C128:D128"/>
    <mergeCell ref="F131:G131"/>
    <mergeCell ref="H131:K131"/>
    <mergeCell ref="C129:D129"/>
    <mergeCell ref="F129:G129"/>
    <mergeCell ref="H129:K129"/>
    <mergeCell ref="C130:D130"/>
    <mergeCell ref="F130:G130"/>
    <mergeCell ref="H130:K130"/>
    <mergeCell ref="C131:D131"/>
    <mergeCell ref="F134:G134"/>
    <mergeCell ref="H134:K134"/>
    <mergeCell ref="C132:D132"/>
    <mergeCell ref="F132:G132"/>
    <mergeCell ref="H132:K132"/>
    <mergeCell ref="C133:D133"/>
    <mergeCell ref="F133:G133"/>
    <mergeCell ref="H133:K133"/>
    <mergeCell ref="C134:D134"/>
    <mergeCell ref="C208:D208"/>
    <mergeCell ref="C209:D209"/>
    <mergeCell ref="F209:G209"/>
    <mergeCell ref="H209:K209"/>
    <mergeCell ref="M209:N209"/>
    <mergeCell ref="C207:D207"/>
    <mergeCell ref="F207:G207"/>
    <mergeCell ref="H207:K207"/>
    <mergeCell ref="M207:N207"/>
    <mergeCell ref="F208:G208"/>
    <mergeCell ref="H208:K208"/>
    <mergeCell ref="M208:N208"/>
    <mergeCell ref="F191:G191"/>
    <mergeCell ref="H191:K191"/>
    <mergeCell ref="C189:D189"/>
    <mergeCell ref="F189:G189"/>
    <mergeCell ref="H189:K189"/>
    <mergeCell ref="C190:D190"/>
    <mergeCell ref="F190:G190"/>
    <mergeCell ref="H190:K190"/>
    <mergeCell ref="C191:D191"/>
    <mergeCell ref="F194:G194"/>
    <mergeCell ref="H194:K194"/>
    <mergeCell ref="C192:D192"/>
    <mergeCell ref="F192:G192"/>
    <mergeCell ref="H192:K192"/>
    <mergeCell ref="C193:D193"/>
    <mergeCell ref="F193:G193"/>
    <mergeCell ref="H193:K193"/>
    <mergeCell ref="C194:D194"/>
    <mergeCell ref="M187:N187"/>
    <mergeCell ref="M188:N188"/>
    <mergeCell ref="M189:N189"/>
    <mergeCell ref="M190:N190"/>
    <mergeCell ref="M191:N191"/>
    <mergeCell ref="M192:N192"/>
    <mergeCell ref="M193:N193"/>
    <mergeCell ref="M201:N201"/>
    <mergeCell ref="M202:N202"/>
    <mergeCell ref="M203:N203"/>
    <mergeCell ref="M204:N204"/>
    <mergeCell ref="M205:N205"/>
    <mergeCell ref="M206:N206"/>
    <mergeCell ref="M194:N194"/>
    <mergeCell ref="M195:N195"/>
    <mergeCell ref="M196:N196"/>
    <mergeCell ref="M197:N197"/>
    <mergeCell ref="M198:N198"/>
    <mergeCell ref="M199:N199"/>
    <mergeCell ref="M200:N200"/>
    <mergeCell ref="F197:G197"/>
    <mergeCell ref="H197:K197"/>
    <mergeCell ref="C195:D195"/>
    <mergeCell ref="F195:G195"/>
    <mergeCell ref="H195:K195"/>
    <mergeCell ref="C196:D196"/>
    <mergeCell ref="F196:G196"/>
    <mergeCell ref="H196:K196"/>
    <mergeCell ref="C197:D197"/>
    <mergeCell ref="F206:G206"/>
    <mergeCell ref="H206:K206"/>
    <mergeCell ref="C204:D204"/>
    <mergeCell ref="F204:G204"/>
    <mergeCell ref="H204:K204"/>
    <mergeCell ref="C205:D205"/>
    <mergeCell ref="F205:G205"/>
    <mergeCell ref="H205:K205"/>
    <mergeCell ref="C206:D206"/>
    <mergeCell ref="F200:G200"/>
    <mergeCell ref="H200:K200"/>
    <mergeCell ref="C198:D198"/>
    <mergeCell ref="F198:G198"/>
    <mergeCell ref="H198:K198"/>
    <mergeCell ref="C199:D199"/>
    <mergeCell ref="F199:G199"/>
    <mergeCell ref="H199:K199"/>
    <mergeCell ref="C200:D200"/>
    <mergeCell ref="F203:G203"/>
    <mergeCell ref="H203:K203"/>
    <mergeCell ref="C201:D201"/>
    <mergeCell ref="F201:G201"/>
    <mergeCell ref="H201:K201"/>
    <mergeCell ref="C202:D202"/>
    <mergeCell ref="F202:G202"/>
    <mergeCell ref="H202:K202"/>
    <mergeCell ref="C203:D203"/>
  </mergeCells>
  <phoneticPr fontId="26" type="noConversion"/>
  <conditionalFormatting sqref="B11:AI209">
    <cfRule type="expression" dxfId="12" priority="3">
      <formula>OR($M11="불합격",$M11="이탈")</formula>
    </cfRule>
    <cfRule type="expression" dxfId="11" priority="4">
      <formula>($L11&gt;90)</formula>
    </cfRule>
  </conditionalFormatting>
  <conditionalFormatting sqref="L11:L209">
    <cfRule type="cellIs" dxfId="10" priority="6" operator="lessThanOrEqual">
      <formula>60</formula>
    </cfRule>
    <cfRule type="cellIs" dxfId="9" priority="7" operator="lessThanOrEqual">
      <formula>70</formula>
    </cfRule>
    <cfRule type="cellIs" dxfId="8" priority="8" operator="lessThan">
      <formula>80</formula>
    </cfRule>
    <cfRule type="cellIs" dxfId="7" priority="9" operator="lessThan">
      <formula>91</formula>
    </cfRule>
    <cfRule type="cellIs" dxfId="6" priority="10" operator="lessThanOrEqual">
      <formula>100</formula>
    </cfRule>
  </conditionalFormatting>
  <conditionalFormatting sqref="M11:M210">
    <cfRule type="cellIs" dxfId="5" priority="11" operator="equal">
      <formula>"합격"</formula>
    </cfRule>
    <cfRule type="cellIs" dxfId="4" priority="12" operator="equal">
      <formula>"불합격"</formula>
    </cfRule>
  </conditionalFormatting>
  <conditionalFormatting sqref="O11:P209">
    <cfRule type="cellIs" dxfId="3" priority="2" operator="equal">
      <formula>"O"</formula>
    </cfRule>
    <cfRule type="cellIs" dxfId="2" priority="5" operator="equal">
      <formula>"X"</formula>
    </cfRule>
  </conditionalFormatting>
  <conditionalFormatting sqref="Q11:Q209">
    <cfRule type="expression" dxfId="1" priority="1">
      <formula>AND($M11="합격",TRUE)</formula>
    </cfRule>
    <cfRule type="cellIs" dxfId="0" priority="13" operator="equal">
      <formula>"Fasle"</formula>
    </cfRule>
  </conditionalFormatting>
  <hyperlinks>
    <hyperlink ref="AH11" r:id="rId1" xr:uid="{00000000-0004-0000-0300-000000000000}"/>
    <hyperlink ref="AH12" r:id="rId2" xr:uid="{00000000-0004-0000-0300-000001000000}"/>
    <hyperlink ref="AH13" r:id="rId3" xr:uid="{00000000-0004-0000-0300-000002000000}"/>
    <hyperlink ref="AH14" r:id="rId4" xr:uid="{00000000-0004-0000-0300-000003000000}"/>
    <hyperlink ref="AH15" r:id="rId5" xr:uid="{00000000-0004-0000-0300-000004000000}"/>
    <hyperlink ref="AH16" r:id="rId6" xr:uid="{00000000-0004-0000-0300-000005000000}"/>
    <hyperlink ref="AH17" r:id="rId7" xr:uid="{00000000-0004-0000-0300-000006000000}"/>
    <hyperlink ref="AH18" r:id="rId8" xr:uid="{00000000-0004-0000-0300-000007000000}"/>
    <hyperlink ref="AH19" r:id="rId9" xr:uid="{00000000-0004-0000-0300-000008000000}"/>
    <hyperlink ref="AH20" r:id="rId10" xr:uid="{00000000-0004-0000-0300-000009000000}"/>
    <hyperlink ref="AH21" r:id="rId11" xr:uid="{00000000-0004-0000-0300-00000A000000}"/>
    <hyperlink ref="AH22" r:id="rId12" xr:uid="{00000000-0004-0000-0300-00000B000000}"/>
    <hyperlink ref="AH23" r:id="rId13" xr:uid="{00000000-0004-0000-0300-00000C000000}"/>
    <hyperlink ref="AH24" r:id="rId14" xr:uid="{00000000-0004-0000-0300-00000D000000}"/>
    <hyperlink ref="AH25" r:id="rId15" xr:uid="{00000000-0004-0000-0300-00000E000000}"/>
    <hyperlink ref="AH26" r:id="rId16" xr:uid="{00000000-0004-0000-0300-00000F000000}"/>
    <hyperlink ref="AH27" r:id="rId17" xr:uid="{00000000-0004-0000-0300-000010000000}"/>
    <hyperlink ref="AH28" r:id="rId18" xr:uid="{00000000-0004-0000-0300-000011000000}"/>
    <hyperlink ref="AH29" r:id="rId19" xr:uid="{00000000-0004-0000-0300-000012000000}"/>
    <hyperlink ref="AH30" r:id="rId20" xr:uid="{00000000-0004-0000-0300-000013000000}"/>
    <hyperlink ref="AH31" r:id="rId21" xr:uid="{00000000-0004-0000-0300-000014000000}"/>
    <hyperlink ref="AH32" r:id="rId22" xr:uid="{00000000-0004-0000-0300-000015000000}"/>
    <hyperlink ref="AH33" r:id="rId23" xr:uid="{00000000-0004-0000-0300-000016000000}"/>
    <hyperlink ref="AH34" r:id="rId24" xr:uid="{00000000-0004-0000-0300-000017000000}"/>
    <hyperlink ref="AH35" r:id="rId25" xr:uid="{00000000-0004-0000-0300-000018000000}"/>
    <hyperlink ref="AH36" r:id="rId26" xr:uid="{00000000-0004-0000-0300-000019000000}"/>
    <hyperlink ref="AH37" r:id="rId27" xr:uid="{00000000-0004-0000-0300-00001A000000}"/>
    <hyperlink ref="AH38" r:id="rId28" xr:uid="{00000000-0004-0000-0300-00001B000000}"/>
    <hyperlink ref="AH39" r:id="rId29" xr:uid="{00000000-0004-0000-0300-00001C000000}"/>
    <hyperlink ref="AH40" r:id="rId30" xr:uid="{00000000-0004-0000-0300-00001D000000}"/>
    <hyperlink ref="AH41" r:id="rId31" xr:uid="{00000000-0004-0000-0300-00001E000000}"/>
    <hyperlink ref="AH42" r:id="rId32" xr:uid="{00000000-0004-0000-0300-00001F000000}"/>
    <hyperlink ref="AH43" r:id="rId33" xr:uid="{00000000-0004-0000-0300-000020000000}"/>
    <hyperlink ref="AH44" r:id="rId34" xr:uid="{00000000-0004-0000-0300-000021000000}"/>
    <hyperlink ref="AH45" r:id="rId35" xr:uid="{00000000-0004-0000-0300-000022000000}"/>
    <hyperlink ref="AH46" r:id="rId36" xr:uid="{00000000-0004-0000-0300-000023000000}"/>
    <hyperlink ref="AH47" r:id="rId37" xr:uid="{00000000-0004-0000-0300-000024000000}"/>
    <hyperlink ref="AH48" r:id="rId38" xr:uid="{00000000-0004-0000-0300-000025000000}"/>
    <hyperlink ref="AH49" r:id="rId39" xr:uid="{00000000-0004-0000-0300-000026000000}"/>
    <hyperlink ref="AH50" r:id="rId40" xr:uid="{00000000-0004-0000-0300-000027000000}"/>
    <hyperlink ref="AH51" r:id="rId41" xr:uid="{00000000-0004-0000-0300-000028000000}"/>
    <hyperlink ref="AH52" r:id="rId42" xr:uid="{00000000-0004-0000-0300-000029000000}"/>
    <hyperlink ref="AH53" r:id="rId43" xr:uid="{00000000-0004-0000-0300-00002A000000}"/>
    <hyperlink ref="AH54" r:id="rId44" xr:uid="{00000000-0004-0000-0300-00002B000000}"/>
    <hyperlink ref="AH55" r:id="rId45" xr:uid="{00000000-0004-0000-0300-00002C000000}"/>
    <hyperlink ref="AH56" r:id="rId46" xr:uid="{00000000-0004-0000-0300-00002D000000}"/>
    <hyperlink ref="AH57" r:id="rId47" xr:uid="{00000000-0004-0000-0300-00002E000000}"/>
    <hyperlink ref="AH58" r:id="rId48" xr:uid="{00000000-0004-0000-0300-00002F000000}"/>
    <hyperlink ref="AH59" r:id="rId49" xr:uid="{00000000-0004-0000-0300-000030000000}"/>
    <hyperlink ref="AH60" r:id="rId50" xr:uid="{00000000-0004-0000-0300-000031000000}"/>
    <hyperlink ref="AH61" r:id="rId51" xr:uid="{00000000-0004-0000-0300-000032000000}"/>
    <hyperlink ref="AH62" r:id="rId52" xr:uid="{00000000-0004-0000-0300-000033000000}"/>
    <hyperlink ref="AH63" r:id="rId53" xr:uid="{00000000-0004-0000-0300-000034000000}"/>
    <hyperlink ref="AH64" r:id="rId54" xr:uid="{00000000-0004-0000-0300-000035000000}"/>
    <hyperlink ref="AH65" r:id="rId55" xr:uid="{00000000-0004-0000-0300-000036000000}"/>
    <hyperlink ref="AH66" r:id="rId56" xr:uid="{00000000-0004-0000-0300-000037000000}"/>
    <hyperlink ref="AH67" r:id="rId57" xr:uid="{00000000-0004-0000-0300-000038000000}"/>
    <hyperlink ref="AH68" r:id="rId58" xr:uid="{00000000-0004-0000-0300-000039000000}"/>
    <hyperlink ref="AH69" r:id="rId59" xr:uid="{00000000-0004-0000-0300-00003A000000}"/>
    <hyperlink ref="AH70" r:id="rId60" xr:uid="{00000000-0004-0000-0300-00003B000000}"/>
    <hyperlink ref="AH71" r:id="rId61" xr:uid="{00000000-0004-0000-0300-00003C000000}"/>
    <hyperlink ref="AH72" r:id="rId62" xr:uid="{00000000-0004-0000-0300-00003D000000}"/>
    <hyperlink ref="AH73" r:id="rId63" xr:uid="{00000000-0004-0000-0300-00003E000000}"/>
    <hyperlink ref="AH74" r:id="rId64" xr:uid="{00000000-0004-0000-0300-00003F000000}"/>
    <hyperlink ref="AH75" r:id="rId65" xr:uid="{00000000-0004-0000-0300-000040000000}"/>
    <hyperlink ref="AH76" r:id="rId66" xr:uid="{00000000-0004-0000-0300-000041000000}"/>
    <hyperlink ref="AH77" r:id="rId67" xr:uid="{00000000-0004-0000-0300-000042000000}"/>
    <hyperlink ref="AH78" r:id="rId68" xr:uid="{00000000-0004-0000-0300-000043000000}"/>
    <hyperlink ref="AH79" r:id="rId69" xr:uid="{00000000-0004-0000-0300-000044000000}"/>
    <hyperlink ref="AH80" r:id="rId70" xr:uid="{00000000-0004-0000-0300-000045000000}"/>
    <hyperlink ref="AH81" r:id="rId71" xr:uid="{00000000-0004-0000-0300-000046000000}"/>
    <hyperlink ref="AH82" r:id="rId72" xr:uid="{00000000-0004-0000-0300-000047000000}"/>
    <hyperlink ref="AH83" r:id="rId73" xr:uid="{00000000-0004-0000-0300-000048000000}"/>
    <hyperlink ref="AH84" r:id="rId74" xr:uid="{00000000-0004-0000-0300-000049000000}"/>
    <hyperlink ref="AH85" r:id="rId75" xr:uid="{00000000-0004-0000-0300-00004A000000}"/>
    <hyperlink ref="AH86" r:id="rId76" xr:uid="{00000000-0004-0000-0300-00004B000000}"/>
    <hyperlink ref="AH87" r:id="rId77" xr:uid="{00000000-0004-0000-0300-00004C000000}"/>
    <hyperlink ref="AH88" r:id="rId78" xr:uid="{00000000-0004-0000-0300-00004D000000}"/>
    <hyperlink ref="AH89" r:id="rId79" xr:uid="{00000000-0004-0000-0300-00004E000000}"/>
    <hyperlink ref="AH90" r:id="rId80" xr:uid="{00000000-0004-0000-0300-00004F000000}"/>
    <hyperlink ref="AH91" r:id="rId81" xr:uid="{00000000-0004-0000-0300-000050000000}"/>
    <hyperlink ref="AH92" r:id="rId82" xr:uid="{00000000-0004-0000-0300-000051000000}"/>
    <hyperlink ref="AH93" r:id="rId83" xr:uid="{00000000-0004-0000-0300-000052000000}"/>
    <hyperlink ref="AH94" r:id="rId84" xr:uid="{00000000-0004-0000-0300-000053000000}"/>
    <hyperlink ref="AH95" r:id="rId85" xr:uid="{00000000-0004-0000-0300-000054000000}"/>
    <hyperlink ref="AH96" r:id="rId86" xr:uid="{00000000-0004-0000-0300-000055000000}"/>
    <hyperlink ref="AH97" r:id="rId87" xr:uid="{00000000-0004-0000-0300-000056000000}"/>
    <hyperlink ref="AH98" r:id="rId88" xr:uid="{00000000-0004-0000-0300-000057000000}"/>
    <hyperlink ref="AH99" r:id="rId89" xr:uid="{00000000-0004-0000-0300-000058000000}"/>
    <hyperlink ref="AH100" r:id="rId90" xr:uid="{00000000-0004-0000-0300-000059000000}"/>
    <hyperlink ref="AH101" r:id="rId91" xr:uid="{00000000-0004-0000-0300-00005A000000}"/>
    <hyperlink ref="AH102" r:id="rId92" xr:uid="{00000000-0004-0000-0300-00005B000000}"/>
    <hyperlink ref="AH103" r:id="rId93" xr:uid="{00000000-0004-0000-0300-00005C000000}"/>
    <hyperlink ref="AH104" r:id="rId94" xr:uid="{00000000-0004-0000-0300-00005D000000}"/>
    <hyperlink ref="AH105" r:id="rId95" xr:uid="{00000000-0004-0000-0300-00005E000000}"/>
    <hyperlink ref="AH106" r:id="rId96" xr:uid="{00000000-0004-0000-0300-00005F000000}"/>
    <hyperlink ref="AH107" r:id="rId97" xr:uid="{00000000-0004-0000-0300-000060000000}"/>
    <hyperlink ref="AH108" r:id="rId98" xr:uid="{00000000-0004-0000-0300-000061000000}"/>
    <hyperlink ref="AH109" r:id="rId99" xr:uid="{00000000-0004-0000-0300-000062000000}"/>
    <hyperlink ref="AH110" r:id="rId100" xr:uid="{00000000-0004-0000-0300-000063000000}"/>
    <hyperlink ref="AH111" r:id="rId101" xr:uid="{00000000-0004-0000-0300-000064000000}"/>
    <hyperlink ref="AH112" r:id="rId102" xr:uid="{00000000-0004-0000-0300-000065000000}"/>
    <hyperlink ref="AH113" r:id="rId103" xr:uid="{00000000-0004-0000-0300-000066000000}"/>
    <hyperlink ref="AH114" r:id="rId104" xr:uid="{00000000-0004-0000-0300-000067000000}"/>
    <hyperlink ref="AH115" r:id="rId105" xr:uid="{00000000-0004-0000-0300-000068000000}"/>
    <hyperlink ref="AH116" r:id="rId106" xr:uid="{00000000-0004-0000-0300-000069000000}"/>
    <hyperlink ref="AH117" r:id="rId107" xr:uid="{00000000-0004-0000-0300-00006A000000}"/>
    <hyperlink ref="AH118" r:id="rId108" xr:uid="{00000000-0004-0000-0300-00006B000000}"/>
    <hyperlink ref="AH119" r:id="rId109" xr:uid="{00000000-0004-0000-0300-00006C000000}"/>
    <hyperlink ref="AH120" r:id="rId110" xr:uid="{00000000-0004-0000-0300-00006D000000}"/>
    <hyperlink ref="AH121" r:id="rId111" xr:uid="{00000000-0004-0000-0300-00006E000000}"/>
    <hyperlink ref="AH122" r:id="rId112" xr:uid="{00000000-0004-0000-0300-00006F000000}"/>
  </hyperlinks>
  <pageMargins left="0.7" right="0.7" top="0.75" bottom="0.75" header="0.3" footer="0.3"/>
  <legacyDrawing r:id="rId1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설문지 응답 시트1</vt:lpstr>
      <vt:lpstr>면접활용시트</vt:lpstr>
      <vt:lpstr>면접 결과 관리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안중재</dc:creator>
  <cp:lastModifiedBy>안중재</cp:lastModifiedBy>
  <dcterms:modified xsi:type="dcterms:W3CDTF">2026-05-12T08:46:55Z</dcterms:modified>
</cp:coreProperties>
</file>