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안중재\Desktop\PROJECT\Student\Data\"/>
    </mc:Choice>
  </mc:AlternateContent>
  <xr:revisionPtr revIDLastSave="0" documentId="8_{CBDBA9E0-9EBA-4F66-AB75-C86A59439B1D}" xr6:coauthVersionLast="47" xr6:coauthVersionMax="47" xr10:uidLastSave="{00000000-0000-0000-0000-000000000000}"/>
  <bookViews>
    <workbookView xWindow="-120" yWindow="-120" windowWidth="29040" windowHeight="15720" xr2:uid="{00000000-000D-0000-FFFF-FFFF00000000}"/>
  </bookViews>
  <sheets>
    <sheet name="설문지 응답 시트1" sheetId="1" r:id="rId1"/>
    <sheet name="종합" sheetId="2" r:id="rId2"/>
    <sheet name="0120" sheetId="3" r:id="rId3"/>
    <sheet name="0121" sheetId="4" r:id="rId4"/>
    <sheet name="0122" sheetId="5" r:id="rId5"/>
    <sheet name="0123" sheetId="6" r:id="rId6"/>
  </sheets>
  <calcPr calcId="191029"/>
  <fileRecoveryPr repairLoad="1"/>
</workbook>
</file>

<file path=xl/calcChain.xml><?xml version="1.0" encoding="utf-8"?>
<calcChain xmlns="http://schemas.openxmlformats.org/spreadsheetml/2006/main">
  <c r="I83" i="2" l="1"/>
  <c r="H83" i="2"/>
  <c r="G83" i="2"/>
  <c r="F83" i="2"/>
  <c r="E83" i="2" s="1"/>
  <c r="D83" i="2"/>
  <c r="I82" i="2"/>
  <c r="H82" i="2"/>
  <c r="G82" i="2"/>
  <c r="F82" i="2"/>
  <c r="D82" i="2" s="1"/>
  <c r="E82" i="2"/>
  <c r="I81" i="2"/>
  <c r="H81" i="2"/>
  <c r="E81" i="2" s="1"/>
  <c r="G81" i="2"/>
  <c r="F81" i="2"/>
  <c r="I80" i="2"/>
  <c r="H80" i="2"/>
  <c r="G80" i="2"/>
  <c r="F80" i="2"/>
  <c r="E80" i="2" s="1"/>
  <c r="I79" i="2"/>
  <c r="H79" i="2"/>
  <c r="G79" i="2"/>
  <c r="D79" i="2" s="1"/>
  <c r="F79" i="2"/>
  <c r="E79" i="2" s="1"/>
  <c r="I78" i="2"/>
  <c r="H78" i="2"/>
  <c r="G78" i="2"/>
  <c r="F78" i="2"/>
  <c r="E78" i="2" s="1"/>
  <c r="I77" i="2"/>
  <c r="H77" i="2"/>
  <c r="D77" i="2" s="1"/>
  <c r="G77" i="2"/>
  <c r="F77" i="2"/>
  <c r="E77" i="2" s="1"/>
  <c r="I76" i="2"/>
  <c r="H76" i="2"/>
  <c r="G76" i="2"/>
  <c r="F76" i="2"/>
  <c r="E76" i="2" s="1"/>
  <c r="I75" i="2"/>
  <c r="H75" i="2"/>
  <c r="G75" i="2"/>
  <c r="F75" i="2"/>
  <c r="E75" i="2" s="1"/>
  <c r="D75" i="2"/>
  <c r="I74" i="2"/>
  <c r="H74" i="2"/>
  <c r="G74" i="2"/>
  <c r="F74" i="2"/>
  <c r="D74" i="2" s="1"/>
  <c r="E74" i="2"/>
  <c r="I73" i="2"/>
  <c r="H73" i="2"/>
  <c r="E73" i="2" s="1"/>
  <c r="G73" i="2"/>
  <c r="F73" i="2"/>
  <c r="I72" i="2"/>
  <c r="H72" i="2"/>
  <c r="G72" i="2"/>
  <c r="F72" i="2"/>
  <c r="E72" i="2" s="1"/>
  <c r="I71" i="2"/>
  <c r="H71" i="2"/>
  <c r="G71" i="2"/>
  <c r="F71" i="2"/>
  <c r="E71" i="2" s="1"/>
  <c r="I70" i="2"/>
  <c r="H70" i="2"/>
  <c r="G70" i="2"/>
  <c r="F70" i="2"/>
  <c r="E70" i="2" s="1"/>
  <c r="I69" i="2"/>
  <c r="H69" i="2"/>
  <c r="D69" i="2" s="1"/>
  <c r="G69" i="2"/>
  <c r="F69" i="2"/>
  <c r="E69" i="2" s="1"/>
  <c r="I68" i="2"/>
  <c r="H68" i="2"/>
  <c r="G68" i="2"/>
  <c r="F68" i="2"/>
  <c r="E68" i="2" s="1"/>
  <c r="I67" i="2"/>
  <c r="H67" i="2"/>
  <c r="G67" i="2"/>
  <c r="F67" i="2"/>
  <c r="E67" i="2" s="1"/>
  <c r="D67" i="2"/>
  <c r="I66" i="2"/>
  <c r="H66" i="2"/>
  <c r="G66" i="2"/>
  <c r="F66" i="2"/>
  <c r="D66" i="2" s="1"/>
  <c r="E66" i="2"/>
  <c r="I65" i="2"/>
  <c r="H65" i="2"/>
  <c r="E65" i="2" s="1"/>
  <c r="G65" i="2"/>
  <c r="F65" i="2"/>
  <c r="I64" i="2"/>
  <c r="H64" i="2"/>
  <c r="G64" i="2"/>
  <c r="F64" i="2"/>
  <c r="E64" i="2" s="1"/>
  <c r="I63" i="2"/>
  <c r="H63" i="2"/>
  <c r="G63" i="2"/>
  <c r="F63" i="2"/>
  <c r="E63" i="2" s="1"/>
  <c r="I62" i="2"/>
  <c r="H62" i="2"/>
  <c r="E62" i="2" s="1"/>
  <c r="G62" i="2"/>
  <c r="D62" i="2" s="1"/>
  <c r="F62" i="2"/>
  <c r="I61" i="2"/>
  <c r="H61" i="2"/>
  <c r="D61" i="2" s="1"/>
  <c r="G61" i="2"/>
  <c r="F61" i="2"/>
  <c r="E61" i="2" s="1"/>
  <c r="I60" i="2"/>
  <c r="H60" i="2"/>
  <c r="D60" i="2" s="1"/>
  <c r="G60" i="2"/>
  <c r="F60" i="2"/>
  <c r="E60" i="2" s="1"/>
  <c r="I59" i="2"/>
  <c r="H59" i="2"/>
  <c r="G59" i="2"/>
  <c r="F59" i="2"/>
  <c r="E59" i="2" s="1"/>
  <c r="D59" i="2"/>
  <c r="I58" i="2"/>
  <c r="H58" i="2"/>
  <c r="G58" i="2"/>
  <c r="F58" i="2"/>
  <c r="D58" i="2" s="1"/>
  <c r="E58" i="2"/>
  <c r="I57" i="2"/>
  <c r="H57" i="2"/>
  <c r="G57" i="2"/>
  <c r="F57" i="2"/>
  <c r="E57" i="2" s="1"/>
  <c r="I56" i="2"/>
  <c r="H56" i="2"/>
  <c r="G56" i="2"/>
  <c r="F56" i="2"/>
  <c r="E56" i="2" s="1"/>
  <c r="I55" i="2"/>
  <c r="H55" i="2"/>
  <c r="G55" i="2"/>
  <c r="F55" i="2"/>
  <c r="E55" i="2" s="1"/>
  <c r="I54" i="2"/>
  <c r="H54" i="2"/>
  <c r="G54" i="2"/>
  <c r="E54" i="2" s="1"/>
  <c r="F54" i="2"/>
  <c r="I53" i="2"/>
  <c r="H53" i="2"/>
  <c r="D53" i="2" s="1"/>
  <c r="G53" i="2"/>
  <c r="F53" i="2"/>
  <c r="E53" i="2" s="1"/>
  <c r="I52" i="2"/>
  <c r="D52" i="2" s="1"/>
  <c r="H52" i="2"/>
  <c r="G52" i="2"/>
  <c r="F52" i="2"/>
  <c r="E52" i="2" s="1"/>
  <c r="I51" i="2"/>
  <c r="H51" i="2"/>
  <c r="G51" i="2"/>
  <c r="F51" i="2"/>
  <c r="E51" i="2" s="1"/>
  <c r="D51" i="2"/>
  <c r="I50" i="2"/>
  <c r="H50" i="2"/>
  <c r="G50" i="2"/>
  <c r="F50" i="2"/>
  <c r="D50" i="2" s="1"/>
  <c r="E50" i="2"/>
  <c r="I49" i="2"/>
  <c r="H49" i="2"/>
  <c r="G49" i="2"/>
  <c r="F49" i="2"/>
  <c r="E49" i="2" s="1"/>
  <c r="I48" i="2"/>
  <c r="H48" i="2"/>
  <c r="G48" i="2"/>
  <c r="F48" i="2"/>
  <c r="E48" i="2" s="1"/>
  <c r="I47" i="2"/>
  <c r="H47" i="2"/>
  <c r="G47" i="2"/>
  <c r="F47" i="2"/>
  <c r="E47" i="2" s="1"/>
  <c r="I46" i="2"/>
  <c r="H46" i="2"/>
  <c r="D46" i="2" s="1"/>
  <c r="G46" i="2"/>
  <c r="E46" i="2" s="1"/>
  <c r="F46" i="2"/>
  <c r="I45" i="2"/>
  <c r="H45" i="2"/>
  <c r="D45" i="2" s="1"/>
  <c r="G45" i="2"/>
  <c r="F45" i="2"/>
  <c r="E45" i="2" s="1"/>
  <c r="I44" i="2"/>
  <c r="D44" i="2" s="1"/>
  <c r="H44" i="2"/>
  <c r="G44" i="2"/>
  <c r="F44" i="2"/>
  <c r="E44" i="2" s="1"/>
  <c r="I43" i="2"/>
  <c r="H43" i="2"/>
  <c r="G43" i="2"/>
  <c r="F43" i="2"/>
  <c r="E43" i="2" s="1"/>
  <c r="D43" i="2"/>
  <c r="I42" i="2"/>
  <c r="H42" i="2"/>
  <c r="G42" i="2"/>
  <c r="F42" i="2"/>
  <c r="D42" i="2" s="1"/>
  <c r="E42" i="2"/>
  <c r="I41" i="2"/>
  <c r="H41" i="2"/>
  <c r="G41" i="2"/>
  <c r="F41" i="2"/>
  <c r="E41" i="2" s="1"/>
  <c r="I40" i="2"/>
  <c r="H40" i="2"/>
  <c r="G40" i="2"/>
  <c r="F40" i="2"/>
  <c r="E40" i="2" s="1"/>
  <c r="I39" i="2"/>
  <c r="H39" i="2"/>
  <c r="G39" i="2"/>
  <c r="F39" i="2"/>
  <c r="E39" i="2" s="1"/>
  <c r="I38" i="2"/>
  <c r="H38" i="2"/>
  <c r="D38" i="2" s="1"/>
  <c r="G38" i="2"/>
  <c r="E38" i="2" s="1"/>
  <c r="F38" i="2"/>
  <c r="I37" i="2"/>
  <c r="H37" i="2"/>
  <c r="D37" i="2" s="1"/>
  <c r="G37" i="2"/>
  <c r="F37" i="2"/>
  <c r="E37" i="2" s="1"/>
  <c r="I36" i="2"/>
  <c r="D36" i="2" s="1"/>
  <c r="H36" i="2"/>
  <c r="G36" i="2"/>
  <c r="F36" i="2"/>
  <c r="E36" i="2" s="1"/>
  <c r="I35" i="2"/>
  <c r="H35" i="2"/>
  <c r="G35" i="2"/>
  <c r="F35" i="2"/>
  <c r="E35" i="2" s="1"/>
  <c r="D35" i="2"/>
  <c r="I34" i="2"/>
  <c r="H34" i="2"/>
  <c r="G34" i="2"/>
  <c r="F34" i="2"/>
  <c r="D34" i="2" s="1"/>
  <c r="E34" i="2"/>
  <c r="I33" i="2"/>
  <c r="H33" i="2"/>
  <c r="G33" i="2"/>
  <c r="F33" i="2"/>
  <c r="E33" i="2" s="1"/>
  <c r="I32" i="2"/>
  <c r="H32" i="2"/>
  <c r="G32" i="2"/>
  <c r="F32" i="2"/>
  <c r="E32" i="2" s="1"/>
  <c r="I31" i="2"/>
  <c r="H31" i="2"/>
  <c r="G31" i="2"/>
  <c r="F31" i="2"/>
  <c r="E31" i="2" s="1"/>
  <c r="I30" i="2"/>
  <c r="H30" i="2"/>
  <c r="D30" i="2" s="1"/>
  <c r="G30" i="2"/>
  <c r="E30" i="2" s="1"/>
  <c r="F30" i="2"/>
  <c r="I29" i="2"/>
  <c r="H29" i="2"/>
  <c r="D29" i="2" s="1"/>
  <c r="G29" i="2"/>
  <c r="F29" i="2"/>
  <c r="E29" i="2" s="1"/>
  <c r="I28" i="2"/>
  <c r="D28" i="2" s="1"/>
  <c r="H28" i="2"/>
  <c r="G28" i="2"/>
  <c r="F28" i="2"/>
  <c r="E28" i="2" s="1"/>
  <c r="I27" i="2"/>
  <c r="H27" i="2"/>
  <c r="G27" i="2"/>
  <c r="F27" i="2"/>
  <c r="E27" i="2" s="1"/>
  <c r="D27" i="2"/>
  <c r="I26" i="2"/>
  <c r="H26" i="2"/>
  <c r="G26" i="2"/>
  <c r="F26" i="2"/>
  <c r="D26" i="2" s="1"/>
  <c r="E26" i="2"/>
  <c r="I25" i="2"/>
  <c r="H25" i="2"/>
  <c r="G25" i="2"/>
  <c r="F25" i="2"/>
  <c r="E25" i="2" s="1"/>
  <c r="I24" i="2"/>
  <c r="H24" i="2"/>
  <c r="G24" i="2"/>
  <c r="F24" i="2"/>
  <c r="E24" i="2" s="1"/>
  <c r="I23" i="2"/>
  <c r="H23" i="2"/>
  <c r="G23" i="2"/>
  <c r="F23" i="2"/>
  <c r="E23" i="2" s="1"/>
  <c r="I22" i="2"/>
  <c r="H22" i="2"/>
  <c r="D22" i="2" s="1"/>
  <c r="G22" i="2"/>
  <c r="E22" i="2" s="1"/>
  <c r="F22" i="2"/>
  <c r="I21" i="2"/>
  <c r="H21" i="2"/>
  <c r="D21" i="2" s="1"/>
  <c r="G21" i="2"/>
  <c r="F21" i="2"/>
  <c r="E21" i="2" s="1"/>
  <c r="I20" i="2"/>
  <c r="D20" i="2" s="1"/>
  <c r="H20" i="2"/>
  <c r="G20" i="2"/>
  <c r="F20" i="2"/>
  <c r="E20" i="2" s="1"/>
  <c r="I19" i="2"/>
  <c r="H19" i="2"/>
  <c r="G19" i="2"/>
  <c r="F19" i="2"/>
  <c r="E19" i="2" s="1"/>
  <c r="D19" i="2"/>
  <c r="I18" i="2"/>
  <c r="H18" i="2"/>
  <c r="G18" i="2"/>
  <c r="F18" i="2"/>
  <c r="D18" i="2" s="1"/>
  <c r="E18" i="2"/>
  <c r="I17" i="2"/>
  <c r="H17" i="2"/>
  <c r="G17" i="2"/>
  <c r="F17" i="2"/>
  <c r="E17" i="2" s="1"/>
  <c r="I16" i="2"/>
  <c r="H16" i="2"/>
  <c r="G16" i="2"/>
  <c r="F16" i="2"/>
  <c r="E16" i="2" s="1"/>
  <c r="I15" i="2"/>
  <c r="H15" i="2"/>
  <c r="G15" i="2"/>
  <c r="F15" i="2"/>
  <c r="E15" i="2" s="1"/>
  <c r="I14" i="2"/>
  <c r="H14" i="2"/>
  <c r="D14" i="2" s="1"/>
  <c r="G14" i="2"/>
  <c r="F14" i="2"/>
  <c r="E14" i="2" s="1"/>
  <c r="I13" i="2"/>
  <c r="H13" i="2"/>
  <c r="E13" i="2" s="1"/>
  <c r="G13" i="2"/>
  <c r="F13" i="2"/>
  <c r="I12" i="2"/>
  <c r="H12" i="2"/>
  <c r="D12" i="2" s="1"/>
  <c r="G12" i="2"/>
  <c r="F12" i="2"/>
  <c r="E12" i="2" s="1"/>
  <c r="I11" i="2"/>
  <c r="H11" i="2"/>
  <c r="G11" i="2"/>
  <c r="F11" i="2"/>
  <c r="E11" i="2" s="1"/>
  <c r="I10" i="2"/>
  <c r="H10" i="2"/>
  <c r="G10" i="2"/>
  <c r="F10" i="2"/>
  <c r="E10" i="2"/>
  <c r="D10" i="2"/>
  <c r="I9" i="2"/>
  <c r="H9" i="2"/>
  <c r="G9" i="2"/>
  <c r="F9" i="2"/>
  <c r="E9" i="2" s="1"/>
  <c r="I8" i="2"/>
  <c r="H8" i="2"/>
  <c r="G8" i="2"/>
  <c r="F8" i="2"/>
  <c r="E8" i="2" s="1"/>
  <c r="I7" i="2"/>
  <c r="H7" i="2"/>
  <c r="G7" i="2"/>
  <c r="F7" i="2"/>
  <c r="E7" i="2" s="1"/>
  <c r="D68" i="2" l="1"/>
  <c r="D76" i="2"/>
  <c r="D15" i="2"/>
  <c r="D23" i="2"/>
  <c r="D31" i="2"/>
  <c r="D39" i="2"/>
  <c r="D47" i="2"/>
  <c r="D55" i="2"/>
  <c r="D63" i="2"/>
  <c r="D71" i="2"/>
  <c r="D11" i="2"/>
  <c r="D7" i="2"/>
  <c r="D13" i="2"/>
  <c r="D16" i="2"/>
  <c r="D24" i="2"/>
  <c r="D32" i="2"/>
  <c r="D40" i="2"/>
  <c r="D48" i="2"/>
  <c r="D56" i="2"/>
  <c r="D64" i="2"/>
  <c r="D72" i="2"/>
  <c r="D80" i="2"/>
  <c r="D8" i="2"/>
  <c r="D54" i="2"/>
  <c r="D70" i="2"/>
  <c r="D78" i="2"/>
  <c r="D9" i="2"/>
  <c r="D17" i="2"/>
  <c r="D25" i="2"/>
  <c r="D33" i="2"/>
  <c r="D41" i="2"/>
  <c r="D49" i="2"/>
  <c r="D57" i="2"/>
  <c r="D65" i="2"/>
  <c r="D73" i="2"/>
  <c r="D81" i="2"/>
</calcChain>
</file>

<file path=xl/sharedStrings.xml><?xml version="1.0" encoding="utf-8"?>
<sst xmlns="http://schemas.openxmlformats.org/spreadsheetml/2006/main" count="2620" uniqueCount="537">
  <si>
    <t>타임스탬프</t>
  </si>
  <si>
    <t>이메일 주소</t>
  </si>
  <si>
    <t>이름</t>
  </si>
  <si>
    <t>소속 팀</t>
  </si>
  <si>
    <t>작성 날짜</t>
  </si>
  <si>
    <t>오늘의 작업량</t>
  </si>
  <si>
    <t>자유로운 한마디</t>
  </si>
  <si>
    <t>rladudeh6055@gmail.com</t>
  </si>
  <si>
    <t>김영도</t>
  </si>
  <si>
    <t>10팀</t>
  </si>
  <si>
    <t>20일 (화)</t>
  </si>
  <si>
    <t>팀에 한번도 유니티나 코딩 메이플 스토리 월드를 한번도 사용해 본 적이 없어서 그런 면에서는 조금 어려움이 있었다고 생각합니다. 다른 면에서는 수월하게 진행이 되어서 문제는 없었습니다.</t>
  </si>
  <si>
    <t>zeno9758@gmail.com</t>
  </si>
  <si>
    <t>신석균</t>
  </si>
  <si>
    <t>프로그램을 처음 만졌는데 간단한 ui 추가도 매우 힘들었다.</t>
  </si>
  <si>
    <t>cayde05130@gmail.com</t>
  </si>
  <si>
    <t>임동균</t>
  </si>
  <si>
    <t>AI 이미지 활용을 위해, Stable Diffusion을 설치하고, 사용법을 알아보고, 테스트를 여러 차례 진행했다. (샘플 출력 등) 또 이전에 배운 Gems를 활용해서 프롬프트를 출력하는 봇을 만들어서 더 작업 효율을 높이기 위한 시도를 했다.</t>
  </si>
  <si>
    <t>yundonghyun0618@gmail.com</t>
  </si>
  <si>
    <t>윤동현</t>
  </si>
  <si>
    <t>저희는 시나리오 작성을 해본 경험이 있는 분이 계셔서 시나리오 부분은 믿고 맡길 수 있었던 거 같아요. 하지만 메이플 월드 엔진이나, 아트, 사운드 등등은 다들 손을 대본 적이 없는 경험이 있어서 꽤나 골머리를 앓고 있는 것 같습니다. 저는 게임 내 삽입될 BGM이나 상황에 맞는 효과음, 대사 데이터 테이블, UI 등을 맡게 될 것 같습니다. 정말 1도 몰라서 처음부터 시작하면서 우여곡절이 참 많은 거 같습니다.</t>
  </si>
  <si>
    <t>cocohyeonmin@gmail.com</t>
  </si>
  <si>
    <t>권현민</t>
  </si>
  <si>
    <t>팀장님이 팀원과 소통을 잘 하시고 관리를 열심히 하십니다</t>
  </si>
  <si>
    <t>ownerjeong@gmail.com</t>
  </si>
  <si>
    <t>정우경</t>
  </si>
  <si>
    <t>11팀</t>
  </si>
  <si>
    <t>시작이 반, 잘되고 있고 팀에 적극적으로 기여하는 기분이다. 좋은 결과가 있기를 바랍니다.</t>
  </si>
  <si>
    <t>dbgocks99@gmail.com</t>
  </si>
  <si>
    <t>유해찬</t>
  </si>
  <si>
    <t>팀 내 이슈: 아무래도 스토리와 전투부분에 소통 오류가 있는것 같군요.. 저는 UI 와 사운드를 맡게 되어서 여유롭게 작업중 입니다. 빠르게 Ui 를 마무리하고 연출쪽 작업을 노려보려합니다.</t>
  </si>
  <si>
    <t>gg.ikane13@gmail.com</t>
  </si>
  <si>
    <t>박기은</t>
  </si>
  <si>
    <t>어려워요.. 어렵습니다.. 모든게 어려워요...... 팀원분들이랑 조율하는 부분이 어렵습니다... 의견통합은 좋은데, 스토리, 이미지 제작, 전투 담당 셋이서 작업물을 합치는 방식이.. 정말 어려운 것 같습니다. 알고보니 셋이 다른 생각을 하고 있었다거나...ㅠㅠ 조별과제랑은 차원이 다르네요..</t>
  </si>
  <si>
    <t>tarentella92@gmail.com</t>
  </si>
  <si>
    <t>한지우</t>
  </si>
  <si>
    <t xml:space="preserve">아직 가늠이 잘 안되는것 같아요 ㅠㅠ </t>
  </si>
  <si>
    <t>정신이 없었지만 아이템 이미지를 어떻게 구현해야 할지 고민이 많았고 개그 장르라서 자신없는 장르이다보니 팀원분들과 협업하는게 중요해 보입니다 :)</t>
  </si>
  <si>
    <t>sznemo5565@gmail.com</t>
  </si>
  <si>
    <t>이준혁</t>
  </si>
  <si>
    <t xml:space="preserve">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했던 말 또 하고 </t>
  </si>
  <si>
    <t>slajswj123@gmail.com</t>
  </si>
  <si>
    <t>임소영</t>
  </si>
  <si>
    <t>비주얼노벨에 용사RPG를 사용하다보니 비주얼노벨에서 너무 벗어나게될까봐 많은 부분을 고민하는 시간을 가졌습니다. 신중하게 작업하고싶어 회의 시간이 길어지면서 잘할 수 있을까 하는 걱정이 앞서게 되었었는데 하루만에 뭔가 틀이 만들어지고 있다는게 느껴져서 기</t>
  </si>
  <si>
    <t>duddn04066@gmail.com</t>
  </si>
  <si>
    <t>이영우</t>
  </si>
  <si>
    <t>12팀</t>
  </si>
  <si>
    <t>메이플 월드에 대한 툴에 대한 적응이 너무 어려웠습니다. 배가 아프지만 않았다면 더 많이 진행되었을 것 같은 아쉬움이 있습니다.</t>
  </si>
  <si>
    <t>eogks3681@gmail.com</t>
  </si>
  <si>
    <t>김재환</t>
  </si>
  <si>
    <t>개인적으로 10%정도?</t>
  </si>
  <si>
    <t>내 생각을 제대로 언어화해서 말로 전달하지 못하는 점이 힘드네요</t>
  </si>
  <si>
    <t>changyu0306@naver.com</t>
  </si>
  <si>
    <t>이찬규</t>
  </si>
  <si>
    <t>우리는 네모난 바퀴로 달리는 자동차.</t>
  </si>
  <si>
    <t>baoo88000@gmail.com</t>
  </si>
  <si>
    <t>김태훈</t>
  </si>
  <si>
    <t>팀내 소통이 잘 안되는거 같고 코드가 너무 어렵습니다</t>
  </si>
  <si>
    <t>overman623@naver.com</t>
  </si>
  <si>
    <t>김범진</t>
  </si>
  <si>
    <t>13팀</t>
  </si>
  <si>
    <t>이미지생성에 어려움이 있지만 팀원들의 응원이 있어서 좋았습니다.</t>
  </si>
  <si>
    <t>gimyungyu9@gmail.com</t>
  </si>
  <si>
    <t>김윤규</t>
  </si>
  <si>
    <t>시나리오 담당으로 작업중인데 처음에는 되게 재밌고 아이디어가 계속 나올 줄 알았는데 하다보니깐 욕심 때문인지, 퀄리티가 실제로 떨어진건지 되게 별로인 것 처럼 보이고 머리가 생각보다 지끈거리네요 ㅋㅋㅋㅋ. 그치만 완벽하게 완성시켜서 팀원분이랑 잘 완성시키고 싶습니다.</t>
  </si>
  <si>
    <t>ceandgou10@gmail.com</t>
  </si>
  <si>
    <t>윤유나</t>
  </si>
  <si>
    <t>코드..코드가 너무 어려워요...</t>
  </si>
  <si>
    <t>sodgh3215@naver.com</t>
  </si>
  <si>
    <t>이승진</t>
  </si>
  <si>
    <t xml:space="preserve">오늘은 메이플스토리 월드를 활용하여 비주얼 노벨을 개발하는 프로젝트가 본격적으로 시작되었습니다.  
평소 해보지못한 영역에 도전해보고싶어 패기롭게 사운드를 담당하게 되었는데 사운드를 A.I로 뽑는거까진 어떻게 되지만 그걸 게임에 적용하는데서 막혀버렸습니다...  
윤석 강사님께 조언을 구하긴 했는데 아직 답장이 오지 않는걸보니 코딩의 ㅋ자도 모르는 초보에게 알려주긴 막막한 내용이었나 싶네요.  
열심히 음악을 뽑고있긴 하지만 이걸 제대로 써먹을수 있을지 모르겠습니다.  
팀에 민폐끼치고 싶진 않은데 이 난관을 돌파할수 있을지 모르겠네요.  
몇시간전에 팀원분들에게 미리 이야기해두긴 했으나 아직은 대수롭지않은 문제로 여기고 있어서 내일까지 조언을 받을수 없다면 팀원들에게 진지하게 다시 상의해봐야겠습니다.  </t>
  </si>
  <si>
    <t>hyunsu112913@gmail.com</t>
  </si>
  <si>
    <t>박현수</t>
  </si>
  <si>
    <t>코드를 모르니 뭐가 되고안되고의 파악이 힘들어서 애로사항이 있습니다. UI를 따로 제작하여야하는데 래퍼런스 사이트를 찾는게 힘드네요</t>
  </si>
  <si>
    <t>reals2006n@gmail.com</t>
  </si>
  <si>
    <t>오종호</t>
  </si>
  <si>
    <t>14팀</t>
  </si>
  <si>
    <t xml:space="preserve">다들 본인이 맡은 일을 너무 잘한다. 다들 성격도 좋다. 실력도 좋다. 그렇다고 예스맨이 아닌 서로서로 피드백도 충분히 해주고 있다. 이대로만 가즈아 </t>
  </si>
  <si>
    <t>dpfspr0632@gmail.com</t>
  </si>
  <si>
    <t>장윤우</t>
  </si>
  <si>
    <t>써도 써도 끝이 없는 이기분...</t>
  </si>
  <si>
    <t>팀원들이 하나같이 제 역할 이상의 것들을 해줘서 너무 편하게 작업을 진행했습니다. 정말 저만 잘하면 될 것 같네요. 화이팅! ai는 신이야!</t>
  </si>
  <si>
    <t>papalagioj@gmail.com</t>
  </si>
  <si>
    <t>김서현</t>
  </si>
  <si>
    <t>너무 잘 진행되고 있습니다! 다른 분들 모두 적극적으로 본인의 작업 내용을 공유해 주시고, 본인의 작업을 적극적으로 진행해주셔서 매우 순조롭습니다! 제가 팀장으로써 할 일이 별로 없습니다... ^_^) b</t>
  </si>
  <si>
    <t>monkey609s@gmail.com</t>
  </si>
  <si>
    <t>이원홍</t>
  </si>
  <si>
    <t>15팀</t>
  </si>
  <si>
    <t>약 35%정도</t>
  </si>
  <si>
    <t>어제보다 확실한 방향성이 정해진것같아 좋습니다.</t>
  </si>
  <si>
    <t>dlehalssla@gmail.com</t>
  </si>
  <si>
    <t>이도민</t>
  </si>
  <si>
    <t>핵심 콘텐츠 큰 틀 구성 완료</t>
  </si>
  <si>
    <t>cjsdudgus1@gmail.com</t>
  </si>
  <si>
    <t>천영현</t>
  </si>
  <si>
    <t>재밌게 자유롭게 대화하면서 했습니다!</t>
  </si>
  <si>
    <t>gustlrdn3@gmail.com</t>
  </si>
  <si>
    <t>김현우B</t>
  </si>
  <si>
    <t>다들 적극적으로 참여해주고 서로의 의견을 존중하면서 진행해서 좋았습니다.</t>
  </si>
  <si>
    <t>cjh1654@gmail.com</t>
  </si>
  <si>
    <t>최선동</t>
  </si>
  <si>
    <t>팀이 재밌어요~ㅎㅎ</t>
  </si>
  <si>
    <t>jsh001012@gmail.com</t>
  </si>
  <si>
    <t>정석현</t>
  </si>
  <si>
    <t>1팀</t>
  </si>
  <si>
    <t>메이플월드에 적용이 가능한 사운드 포맷, 스토리에 맞는 사운드 레퍼런스 방향성 잡기를 완료하였다. 지금은 AMB와 SFX를 분리시키는 코딩 작업을 시도중인데 쉽지 않다...
첫날이라 다들 방향성이 모호하고 처음 해보는 작업들도 있다보니 우왕좌왕 했던것 같지만 차차 방향성이 잡혀가고 있다는 느낌이 들어서 뿌듯함도 느껴졌다.</t>
  </si>
  <si>
    <t>leedogun3@gmail.com</t>
  </si>
  <si>
    <t>이도건</t>
  </si>
  <si>
    <t>시나리오 기획을 지망하고 어제 밤을 새서 시나리오를 썼지만 아쉽게도 다른 팀원분의 시나리오가 채택되어 약간은 아쉬웠습니다. 그래도 팀을 위한 좋은 방향이라 생각하면서 열심히 참여하려고 하고 있습니다. UI 및 연출 담당을 새로 맡게 되었는데 처음 접하는 부분이어서 솔직히 좀 막막했습니다. 하지만 팀원분들이 서로 잘 소통해주고 도와주셔서 방향을 알게 되었습니다. 역시 생각만 하는 것과 실제로 만드는 것은 천차만별인 것 같습니다. 남은 시간도 화이팅 해보겠습니다.</t>
  </si>
  <si>
    <t>jeungha89@gmail.com</t>
  </si>
  <si>
    <t>승정하</t>
  </si>
  <si>
    <t>팀원분들이 항상 생산적인 방향을 중심으로 소통하시는 것 같아서 원할하게 첫날이 진행된 것 같습니다. 1조 팀원분들 칭찬드립니다!</t>
  </si>
  <si>
    <t>sujin3752@gmail.com</t>
  </si>
  <si>
    <t>정수진</t>
  </si>
  <si>
    <t>처음쓰는 엔진인 만큼 스크립트에 대해 공부를 했습니다!</t>
  </si>
  <si>
    <t>yee8190@gmail.com</t>
  </si>
  <si>
    <t>예인해</t>
  </si>
  <si>
    <t>2팀</t>
  </si>
  <si>
    <t>검열이 너무 싫습니다...</t>
  </si>
  <si>
    <t>viliv8177@gmail.com</t>
  </si>
  <si>
    <t>권수빈</t>
  </si>
  <si>
    <t>팀 내적이나 외적으로 심의를 다루는 게 가장 어렵습니다</t>
  </si>
  <si>
    <t>0wjstjf10@gmail.com</t>
  </si>
  <si>
    <t>조준현</t>
  </si>
  <si>
    <t>팀장이지만 짬통이된듯한 이 상황...사실 팀장인지도 모르겠는 이 상황..ㅠ</t>
  </si>
  <si>
    <t>khal0429@gmail.com</t>
  </si>
  <si>
    <t>김경민</t>
  </si>
  <si>
    <t>팀원들과 방식을 맞춰가며 작업을 하는게 힘들었습니다.</t>
  </si>
  <si>
    <t>jechy0514@gmail.com</t>
  </si>
  <si>
    <t>장호윤</t>
  </si>
  <si>
    <t>15세 이용가정도면 될줄 알았는데 13세이용가라서 핸들을 살짝 틀어야 했었습니다...</t>
  </si>
  <si>
    <t>youtoo1729@gmail.com</t>
  </si>
  <si>
    <t>김현우</t>
  </si>
  <si>
    <t>3팀</t>
  </si>
  <si>
    <t>폭력성 수의 관련 이슈가 있었지만 해결되었다</t>
  </si>
  <si>
    <t>mangjihun6224@gmail.com</t>
  </si>
  <si>
    <t>맹지훈</t>
  </si>
  <si>
    <t>이미지를 기대 이상으로 생성하고 준비해주셔서 놀랐습니다.</t>
  </si>
  <si>
    <t>xoy1542@gmail.com</t>
  </si>
  <si>
    <t>손호진</t>
  </si>
  <si>
    <t>업무 분담과 서로 소통을 하는 데에도 하루를 쓴 것에 대해 시간이 너무 빠름을 느꼈습니다. 더 속도를 가해서 해야겠습니다</t>
  </si>
  <si>
    <t>naoeriki8@gmail.com</t>
  </si>
  <si>
    <t>정재용</t>
  </si>
  <si>
    <t>다들 잘 진행해주시고 팀장님의 리더쉽이 최고였습니다!</t>
  </si>
  <si>
    <t>tigerlow0723@gmail.com</t>
  </si>
  <si>
    <t>김흥규</t>
  </si>
  <si>
    <t>코드를 오랜만에 만지니까 새로운 거 하나 추가하는 것도 어려웠다. 시나리오랑 아트는 진도를 쫙쫙 나가는데 엔진 담당인 나만 진도가 잘 안 나가는 거 같아서 걱정이 되지만 오늘은 밤에도 시간 투자를 한다면 괜찮지 않을까 생각을 해본다. 팀원들은 각자의 자리에서 너무 잘해줘서 정말 정말 감사하다.</t>
  </si>
  <si>
    <t>dudtjd115@gmail.com</t>
  </si>
  <si>
    <t>박영성</t>
  </si>
  <si>
    <t>생각 이상으로 소통의 빈도와 구체적아어야 하는 수준이 높아서 실습을 통해 경험을 얻을 수 있는 점이 좋았습니다. 또 PD로서 어떤 점을 염두에 둬야하고 어디까지 방향성을 공유해야 하는지에 대한 경험이 특히 유익한 것 같고, 이전 조에서 얻은 경험들 덕에 스스로 발전한거 같아서 즐겁습니다. 다만 AI가 생각보다도 리소스 생성에 시간이 많이 드는 점도 알수 있었어서, 일정 관리에 대해선 더 감을 잡아가야 할 것 같습니다. 팀원분들이 각기 장점이 명확하고 의욕적이면서 소통도 적극적으로 해주셔서 첫 PD로서 너무 감사한 조인거 같습니다.</t>
  </si>
  <si>
    <t>spiderjocker@gmail.com</t>
  </si>
  <si>
    <t>박민규</t>
  </si>
  <si>
    <t>4팀</t>
  </si>
  <si>
    <t>중간 팀내에서 건설적인 토론 과정이 있었습니다</t>
  </si>
  <si>
    <t>waagle98@naver.com</t>
  </si>
  <si>
    <t>장근혁</t>
  </si>
  <si>
    <t>팀원분들이 수정사항도 너무 잘 수긍해주시고 분위기가 너무 좋았다</t>
  </si>
  <si>
    <t>formelodyne@gmail.com</t>
  </si>
  <si>
    <t>서진호</t>
  </si>
  <si>
    <t>조금 과열되서 파충류가 되는 상황이 좀 있었는데 강사님들과 매니저님의 도움으로 잘 해결됐습니다.
내일부터는 PD님께서 이틀간 안계시는데 잘 만들어보도록 하겠습니다.
현재까지는 재밌게 즐기고 있습니다 감사합니다!</t>
  </si>
  <si>
    <t>dltmdrn159@gmail.com</t>
  </si>
  <si>
    <t>이승구</t>
  </si>
  <si>
    <t xml:space="preserve">개인적 이슈 : 기본 태도가 불량한 팀원이 있습니다.
팀 내 이슈 : 볼륨을 어떻게 붙일 것 인가에 대한 이슈
근황 토크 : 살려주세요!!
궁금점 : 사운드 관련 기획은 처음인데 참고할 만한 자료나 영상이 있을까요? </t>
  </si>
  <si>
    <t>w01047898667@gmail.com</t>
  </si>
  <si>
    <t>홍태광</t>
  </si>
  <si>
    <t>5팀</t>
  </si>
  <si>
    <t>이야기의 토대를 짜는 것이 많이 어려웠습니다. 4일이라는 짧은 기간이다보니 생각했던 이야기 볼륨에서 많이 축소를 해야 했던 것 같습니다.</t>
  </si>
  <si>
    <t>areagate34@gmail.com</t>
  </si>
  <si>
    <t>김태환</t>
  </si>
  <si>
    <t>진행이 순서대로 이루어져야 하기 때문에 분업이 어려웠음. 카테고리별로 업무를 나누면 대기를 해야하는 상황 발생. 서로 시간에 쫓기는 작업이 어려웠음.</t>
  </si>
  <si>
    <t>wlgns30617@gmail.com</t>
  </si>
  <si>
    <t>김민수</t>
  </si>
  <si>
    <t>혹시 퍼센트의 의미를 알 수 있을까요? 오늘 원하는 작업은 전부하긴했습니다</t>
  </si>
  <si>
    <t>부족한 기능을 추가하는 점이 어려웠습니다.
팀원들과 소통을 통해 작업을 하는 점이 저희 팀의 장점이라고 생각하고 정헌님의 팀을 이끄는 리더십이 배울 점이라고 생각합니다</t>
  </si>
  <si>
    <t>power122926@gmail.com</t>
  </si>
  <si>
    <t>이균호</t>
  </si>
  <si>
    <t>6팀</t>
  </si>
  <si>
    <t>0%. 수업 종료 직전에 내용이 엎어짐. 아주 기초적인 부분을 의논중임</t>
  </si>
  <si>
    <t>각자 역할에 맞춰 열심히 해줘서 일이 어느정도 진행되는 것을 보니 기분이 묘하다. 하지만 결과적으로 검열 때문에 게임 스토리와 스타일을 처음부터 갈아엎는 걸로 진행하게 되었다. 오늘 열심히 작업한 것이 아쉽지만 내일 더욱 노력해서 시간 내로 게임을 완성할 수 있도록 해야겠다.</t>
  </si>
  <si>
    <t>bakafenxiguan@gmail.com</t>
  </si>
  <si>
    <t>한재환</t>
  </si>
  <si>
    <t>12세이기 때문에 스토리에 난항을 겪고 다시 처음 기획부터 시작합니다.</t>
  </si>
  <si>
    <t>소심한 성격을 고쳐야 합니다.</t>
  </si>
  <si>
    <t>dt8922dt8922@gmail.com</t>
  </si>
  <si>
    <t>오동건</t>
  </si>
  <si>
    <t>25 &gt; 검열로 0</t>
  </si>
  <si>
    <t>리더는 어렵다.
명확한 지시를 내리지 않으면 내맘대로 안굴러간다.
역할 분담은 확실하게 해야 한다. 그리고 서로의 영역을 존중해야 한다.
결정을 내리는 위치 - 책임이 무겁다.</t>
  </si>
  <si>
    <t>ashess7276@gmail.com</t>
  </si>
  <si>
    <t>이형진</t>
  </si>
  <si>
    <t>50% 이상이었다가, 검열 이후 자신있는 서브컬처 종목으로 변경하였습니다. 대부분의 시간을 엔진 기능 구현에 사용하였기에, 기존에 만들어진 부분을 잘 활용한 후 시나리오와 리소스만 변경한다면 어려울 것 없을 것 같습니다.</t>
  </si>
  <si>
    <t>어제 조금 어려운 방향으로 가고 있었는데
원만한 합의와 진행이 된 것 같습니다.
아쉽게 게임을 엎었지만, 오히려 모두가 잘 아는 서브컬쳐 게임으로 진행하는 오히려 좋은 상황이 된 것 같습니다.</t>
  </si>
  <si>
    <t>jsephf01@gmail.com</t>
  </si>
  <si>
    <t>조현일</t>
  </si>
  <si>
    <t>시나리오 작업을 열중해서 했으나....0부터 다시 시작이네요. 그래도 금일 조원분들에게 엑셀이나 DB에 대해 배운것들이 있어 유익한 시간이 되었던거 같습니다. 감사합니다.</t>
  </si>
  <si>
    <t>jhk920707@gmail.com</t>
  </si>
  <si>
    <t>김지훈</t>
  </si>
  <si>
    <t>7팀</t>
  </si>
  <si>
    <t>높은 목표대비 진전이 안나갑니다</t>
  </si>
  <si>
    <t>kmjzzang0808@gmail.com</t>
  </si>
  <si>
    <t>김민제</t>
  </si>
  <si>
    <t>포지셔닝 배분이 제일 어려웠다. 2명이서 스토리 짜는게 생각보다 힘들다... 머릿속의 정리가 잘 되면 좋겠는데.. 역량 부족인 것 같다 ㅠㅠ</t>
  </si>
  <si>
    <t>seungjoo9611@gmail.com</t>
  </si>
  <si>
    <t>고승주</t>
  </si>
  <si>
    <t>역할을 나누는 것이 어려웠습니다. 진행하며 유동적으로 조율해야 할 것 같습니다.</t>
  </si>
  <si>
    <t>xotjd209@gmail.com</t>
  </si>
  <si>
    <t>강태성</t>
  </si>
  <si>
    <t>팀원들의 의지가 시험받고 있습니다...
게임을 대부분 처음 만들다보니 컨셉 잡는데 시간을 많이 쓰고 있어요.
개인적인 소감으론, 
제미나이가 생각보다 Lua 문법을 잘다루는군요 
아주 좋습니다.</t>
  </si>
  <si>
    <t>yumin.k1023@gmail.com</t>
  </si>
  <si>
    <t>강유민</t>
  </si>
  <si>
    <t xml:space="preserve">팀 내 제작 방향 및 업무 분담을 진행했습니다.
</t>
  </si>
  <si>
    <t>tarrot00@gmail.com</t>
  </si>
  <si>
    <t>김수환</t>
  </si>
  <si>
    <t>8팀</t>
  </si>
  <si>
    <t xml:space="preserve">오랫만에 다시 프로그래밍을 하려고 하니 머리가 너무 아픕니다. </t>
  </si>
  <si>
    <t>fkrndy17@gmail.com</t>
  </si>
  <si>
    <t>정재훈</t>
  </si>
  <si>
    <t>다른사람의 기획의도를 파악하기 어려운 부분이 있었는데, 그런 부분에서 좀더 명확한 기획의도와 근거의 중요성을 깨닫게 되었다.</t>
  </si>
  <si>
    <t>dwoo0420@gmail.com</t>
  </si>
  <si>
    <t>이동우</t>
  </si>
  <si>
    <t>시온님이 조장인데 플로우 흐름도도 혼자 착착 잘 그려놔주시고 아이스브레이킹도 잘해주셔서 고마웠습니다. **근데!!** 제가 ui 와 연출 스크립트 담당이 되어서 코드를 보고있는데 머리가 너무 아픕니다.. 
연출 변경점이 반영되는 코드를 찾아보라는 미션을 받았는데 코드를 잘 모르다보니 몇시간이 걸려도 작업 효율이 안나오더라구요.. 그래서 생각해본게 저는 레퍼런스 게임들의 연출 방식을 조사한뒤 저희가 참고해서 만들만한 연출을 조사하고 코드를 만지는건 나중에 하는게 좋지 않을까.. 라는 말을 내일 아침 회의시간에 하려합니다! 고생하셨습니다</t>
  </si>
  <si>
    <t>sionkim0302@gmail.com</t>
  </si>
  <si>
    <t>김시온</t>
  </si>
  <si>
    <t>항상 커뮤니케이션이   직접적으로 되는 2,3명으로 프로젝트를 진행해보다가 5명이 되니 의견을 정리하고 작업 분배를 하기 어려웠습니다 ㅠㅠ
팀원분들 모두 의견을 잘 내주시고 이해가 안되거나 모르겠는 건 바로 물어봐주셔서 PM으로서는 부족했지만 팀이 어찌저찌 굴러갔습니다! 팔라딘 화이팅</t>
  </si>
  <si>
    <t>groovewithu1532@gmail.com</t>
  </si>
  <si>
    <t>이유송</t>
  </si>
  <si>
    <t>각자 담당 업무를 맡았고 다행히 시나리오파트라서 비교적 쉽게 적응할 수 있었다. 팀원들과 의견 조율하는 과정도 팀장(PD)님 덕분에 잘 되었다. 여기선 나만 잘 하면 됩니다만..?ㅋㅋ 내일도 화이팅!</t>
  </si>
  <si>
    <t>cowlgud9888@gmail.com</t>
  </si>
  <si>
    <t>채지형</t>
  </si>
  <si>
    <t>9팀</t>
  </si>
  <si>
    <t>검열이슈로 배경을 바꾸게 되었습니다.</t>
  </si>
  <si>
    <t>herobrinered327@gmail.com</t>
  </si>
  <si>
    <t>배주빈</t>
  </si>
  <si>
    <t>수업이 거의다 끝나갈 때 고어한 표현을 다시 순화시키는 작업이 생겨아서 빡셋다..</t>
  </si>
  <si>
    <t>ug777070@gmail.com</t>
  </si>
  <si>
    <t>이동현</t>
  </si>
  <si>
    <t>개발자가 열심히 개발하면 기획자들이 편합니다.</t>
  </si>
  <si>
    <t>drake741236@gmail.com</t>
  </si>
  <si>
    <t>주재형</t>
  </si>
  <si>
    <t>13세 이용가 이슈로 진행 중이던 부분을 폐기를 많이 해야 했다.</t>
  </si>
  <si>
    <t>막판에 문제가 있을 고어한 표현에 수업끝나고 전체를 수정해야할 작업이 늘어나 머리가 아팠다</t>
  </si>
  <si>
    <t>allishalee07@gmail.com</t>
  </si>
  <si>
    <t>이가현</t>
  </si>
  <si>
    <t>항상 일이 잘 풀릴 것 같을 때 조심하라고 했습니다. 생각지 못한 수위 조절 유의하겠습니다. 감사합니다.</t>
  </si>
  <si>
    <t>copycat9908@gmail.com</t>
  </si>
  <si>
    <t>이정헌</t>
  </si>
  <si>
    <t>생각보다 시간분배가 어려운 것 같습니다...
팀 인원간 역량체크를 포함해서 중간중간 분량이 과도하지 않게 개입해서 조절은 하고있으나
쉽지 않은것 같습니다</t>
  </si>
  <si>
    <t>wyvern741@gmail.com</t>
  </si>
  <si>
    <t>곽용준</t>
  </si>
  <si>
    <t>서로 피드백을 자유롭게 해주고
내가 잘못한 점에 대해 완곡하면서도 핵심적인 부분을 충고해주어서 좋았다
앞으로 더 좋은 방향으로 발전할 수 있을 것 같다는 느낌을 강하게 받았다</t>
  </si>
  <si>
    <t>woopower96@gmail.com</t>
  </si>
  <si>
    <t>우현승</t>
  </si>
  <si>
    <t>팀원 1명과 캐릭터 설정과 일러스트 등의 콘셉, 아트를 담당했다. 저는 로컬 SD, 팀원은 NovelAI를 활용해서 이미지를 생성했는데, 그림체가 달라서 통일시키고 그 이미지를 일관성 있게 변형하려고 하는과정이 개인적으로 굉장히 어렵고 답답했다.</t>
  </si>
  <si>
    <t>wonu1124@gmail.com</t>
  </si>
  <si>
    <t>박원우</t>
  </si>
  <si>
    <t>시간이..부족해오...</t>
  </si>
  <si>
    <t>ansungjin9888@gmail.com</t>
  </si>
  <si>
    <t>안성진</t>
  </si>
  <si>
    <t>오랜만의 코딩이라 힘들었습니다</t>
  </si>
  <si>
    <t>21일 (수)</t>
  </si>
  <si>
    <t>시나리오는 역시 짜면 짤 수록 더 어둠의 구렁텅이에 빠지는 느낌입니다..</t>
  </si>
  <si>
    <t>인간이 밉다. 증오가 쌓인다.</t>
  </si>
  <si>
    <t>기능 구현이 끝났습니다. 무한 루프에 걸리면 저장과 수정이 안됩니다. 그렇게 두번 날렸습니다.</t>
  </si>
  <si>
    <t>여러가지 할 수 있어서 재밌었습니다.</t>
  </si>
  <si>
    <t>피드백을 적극적으로 받으려고 하고 있습니다
어제 했던 일들을 바탕으로 평가를 받는 시간을 가지고
개인적으로 했던 밤샘 작업들로 앞으로의 방향성도 잡았습니다</t>
  </si>
  <si>
    <t>시간 안에 끝낼 수 있을까요....</t>
  </si>
  <si>
    <t>팀원들끼리 피드백이 실시간으로 잘 돼서 너무 좋았습니다!</t>
  </si>
  <si>
    <t>각자 맡은 항목들을 잘 해내고 있는것 같습니다</t>
  </si>
  <si>
    <t>UI작업은 오늘 완료했고 메인시작화면에 BGM이 나오게하는 작업중입니다</t>
  </si>
  <si>
    <t>a01043581218@gmail.com</t>
  </si>
  <si>
    <t>송아영</t>
  </si>
  <si>
    <t>AI가 잘못주는건 제 탓이 큰거겠죠 아아아아아아</t>
  </si>
  <si>
    <t>알파테스트를 진행했는데 수정사항이 너무 많이 나왔다.</t>
  </si>
  <si>
    <t>전☆속☆전☆진</t>
  </si>
  <si>
    <t>다들 적극적이고 좋은 분위기에서 작업해서 좋았습니다.</t>
  </si>
  <si>
    <t>이미지 만드는 워크 플로우를 알게되어 티져 영상을 만드려고 했는데, 생각보다 잘 안되서 어려웠습니다.</t>
  </si>
  <si>
    <t>프로토타입 개발이 완료 되었으며 수정부분과 추가할 부분이 생겨 그것을 작업해야합니다</t>
  </si>
  <si>
    <t>30?퍼 35퍼? 정도 진행된 것 같습니다</t>
  </si>
  <si>
    <t>오늘도 검열을 피하지 못했습니다... 건전함을 향해서 열심히 전진해보도록 하겠습니다!</t>
  </si>
  <si>
    <t>자유로운 의견소통으로 즉각적인 피드백을 할 수 있어서 좋았다</t>
  </si>
  <si>
    <t>PD라서 코드 관련 조언을 드리고 싶었지만 .. 지식의 한계로 드리지 못했습니다 .. 슬픕니다 ..</t>
  </si>
  <si>
    <t>스토리 2명, 아트 2, 코딩 1로 배분했는데 스토리에 3명 배정하지 않은 점을 후회했습니다. 팀장은 아트랑 코딩 쪽도 확인해야 하는데, 스토리 짜는데 급급해서 체크를 못한 부분이 아쉽습니다.</t>
  </si>
  <si>
    <t xml:space="preserve">제미나이 나노바나나PRO의 이미지 생성 개수가 넘어서 중간에 익숙하지 않은 이미지 생성 툴을 사용해야 되서 조금 당황했습니다 </t>
  </si>
  <si>
    <t>전반적으로 완만하게 잘 진행되고 있다. 분위기도 좋음</t>
  </si>
  <si>
    <t xml:space="preserve">소통문제로 인해 아침에 좀 트러블이 있었다. </t>
  </si>
  <si>
    <t>프로덕트 디자인같은 것은 stable diffusion으로 만들기 어려웠다. 일단 모델이나 LoRA부터가 어울리지 않고, 관련된 걸 받아봤는데 퀄리티가 낮았다. 몇 시간 시행착오 끝에 그냥 이건 GPT나 Gemini를 이용하는게 낫다고 판단, 이를 이용해 만들고 있다. 둘다 유료 구독을 해놔서 다행이었다.. 이런걸 만들 때에도 처음이 가장 잘만들고 수정할수록 쓸데없는 데이터가 쌓이는지 퀄리티나 요청사항이 반영이 잘 되지 않아, 처음부터 잘 작성하던지 새로 시작해서 다시 만드는게 좋을 것이라는 것을 알 수 있었다.</t>
  </si>
  <si>
    <t>반은 얼추 한 것 같습니다 :(</t>
  </si>
  <si>
    <t>조용하고 작업만 계속 했던것 같아용</t>
  </si>
  <si>
    <t>개발자는 회사에 반드시 필요한 인재입니다. 그리고 사람은 같은 것을 계속 보면 뭐가 뭔지 모릅니다. 간단한 것도 생각 못합니다. 감사합니다.</t>
  </si>
  <si>
    <t>이슈 없고 개인이 할 것 열심히 잘 하는 것 같습니다. 저만 잘하면 될거같아요</t>
  </si>
  <si>
    <t>오늘은 어제 작업했던 부분을 다 버리고 새 게임을 만들기 시작했다. 미연시를 만드려고 하는데 각자 아이디어를 작성해서 가져와가지고 괜찮은 거를 뽑기로 했는데 내가 작성한 설정과 스토리 골조가 뽑혔다. 그래서 어제까지는 리소스 제작을 맡았지만 오늘은 내가 작성한 것이기 때문에 내가 시나리오를 맡으라고 PD님이 조율해주셨다. 생각 못해본 부분이었는데 조율해주신 덕분에 더 좋은 결과가 나올 수 있었다고 생각한다.</t>
  </si>
  <si>
    <t>hanuiho98@gmail.com</t>
  </si>
  <si>
    <t>한의호</t>
  </si>
  <si>
    <t>팀원 분들이랑 작업 방식이나 기준을 하나 하나 맞춰 가면서 갈피가 잡히기 시작하니 어제보다도 진행 속도는 빠르게 흘러가는 것 같습니다. 오늘 목표치를 달성 하고 추가 작업을 할 수도 있겠다는 생각에 조금 안심이 되는 느낌이었습니다. 다만 한 가지 아쉬운 점이 있다면 시나리오의 표현 수위 조절을 위해 몰입감을 조금 포기해야 하는 부분이 아쉬웠습니다.</t>
  </si>
  <si>
    <t>팀장인데 하는게 없는 것 같다。첫날에는 결정하고、 시키고 했지만 내 결정이 맞을까에 대해 계속 생각하니 자꾸 소극적이게 된다。차라리 팀원이면 시킨거 한거 하면 되는데。。。。</t>
  </si>
  <si>
    <t>내일 손만 쉬지 않는다면 무난히 완성할 수 있을 것 같습니다.
AI의 발전이 정말 좋으면서도 제가 AI에게 설명을 잘 못하고, 학습된 데이터에 제가 원하는 장면이 없어 인체가 엉키거나, 일본의 배경으로 넘어가는 등 답답한 부분이 많았습니다.
그래도 간접적으로 게임 제작을 하는데 어떤 부분이 고려되어야 하고, DB의 실질적 활용을 해보니 시스템 기획이 얼마나 중요한지 다시 한 번 알게된 것 같습니다..</t>
  </si>
  <si>
    <t>소통 방식 정립, 리소스 취합 등 어느정도 프로젝트가 진행되고 있다는 느낌이 들었던 하루였다.
어제 구현했던 코드도 정상적으로 그룹 프로젝트에 적용했고 사운드 레퍼런스를 구체적으로 잡고 확장자 변경 프로그램을 확보하는 등 성과를 거두었다.
50%로 표기하긴 했지만 아직 할 일이 산더미같이 많다. 처음 해보는 작업 방식이기도 하고, 모르는 영역을 배워야 하기도 하다 보니 내가 맡은 바를 다 하기도 힘든 것 같다. 나 뿐만 아닌 우리 조, 다른 조의 모든 분들이 같은 마음으로 작업에 임하고 있을 것 같다. 그저 힘내자는 말 밖에 못 해주겠다...</t>
  </si>
  <si>
    <t xml:space="preserve">원래 나의 담당은 bgm, SE 였으나 공장처럼 뽑아내다보니 배경, 엑스트라 캐릭터까지 리소스를 만들고 지금은 컷씬까지 작업에 들어갔다. 세세한 수정은 그림 능력자 분들이 포토샾을 이용해 수정해주신다. 팀원들과 말도 잘 통해서 어제는 강의후에도 zep에 남아 잡담을했다(잡담을 하면서 부담없이 리소스도 몇개 더 뽑았다) </t>
  </si>
  <si>
    <t>코딩도 하고.. Ui리소스도 만들고.. 사운드도 찾아서 넣고 재미있게 하는 중입니다</t>
  </si>
  <si>
    <t xml:space="preserve">전일보다 수월하게 진행되었던 것 같습니다.
계획을 조금 타이트하게 잡았음에도 계획의 대부분이 진행됐다고 생각합니다.
팀원간에도 의견조율간에 마찰이 없었고, 무난하게 잘 진행되었다고 생각합니다.
작업간에도 특정역할에 고정되지 않고 유기적으로 진행 되었던 점도 긍정적으로 판단합니다.
그럼에도 작업량에 100%를 하지 않은것은, 현재상태로는 출시할 수 없기에
프로토타입이더라도 출시할 수 있을 정도가 된 이후 부터 계획달성도에 따라 100%가 될 수도 있을 것 같습니다.
</t>
  </si>
  <si>
    <t>사운드와 아트담당을 맡아서 뭔가 내가 생각한 기획자와는 다른 느낌이지만 팀플 경험을 채운다는 느낌으로 열심히 하겠습니다.</t>
  </si>
  <si>
    <t>오늘도 힘들었습니다.ㅜ</t>
  </si>
  <si>
    <t>다들 각자 할 일을 너무 잘해주셔서 감사합니다</t>
  </si>
  <si>
    <t>정재</t>
  </si>
  <si>
    <t>오늘 팀장 님이 주신 할당량의 팀원 대부분을 완료해서 다들 서로 서로 칭찬하며 좋은 분위기로 진행했습니다!</t>
  </si>
  <si>
    <t>여러 파트 분들이 작업에 집중하시다 보니 소통이 2번 3번 해야 하는 상황 조금 생겼던 것 같습니다. 그래도 모든 분들이 감정적이지 않게 서로를 존중하는 모습으로 소통해주셔서 제가 조금 더 원할하게 소통할 수 있도록 조율하는게 그렇게 어렵지 않았던 것 같아서 팀원분들을 칭찬합니다.</t>
  </si>
  <si>
    <t>시스템 구현을 해주시면서 플로우차트로 설명해주시니 이해가 쉬웠습니다.. 큰 그림을 보니까 제가 뭘 하고있는지 더 잘 보였어요</t>
  </si>
  <si>
    <t>오늘 순조롭게 진행되었다고 생각합니다.</t>
  </si>
  <si>
    <t>안되면 그냥 빼자고 말하려던 연출과 시스템 고민없이 빼자고 말하려고,
관련 유형정리하고 대체안 생각해뒀는 데,
여기저기서 실현하는 거 보고 오늘 실수로 전체 채팅에 '오 주여'를 외쳤습니다.
[분기 시스템, 캐릭터 표정 묘사]</t>
  </si>
  <si>
    <t>작업량이라는게 오늘 수업의 몇 퍼센트를 써서 작업을 했는가, 인가요?! 그러면 어제도 100%입니다! 근데 완성까지의 전체 작업량은 어제 오늘 합쳐서 25%인 것 같아요.... 저만 팀 내에서 완성 못할까봐 조급해 하는 것 같아서, 너무 완성완성 거렸더니... 팀원분들이 진정시켜 주시더라구요..... 팀원분들을 믿고 따라가야 할텐데, 너무 혼자 걱정하고 있었던 것 같아서, 오늘 조금 생각을 고쳐먹게 됐습니다.</t>
  </si>
  <si>
    <t>초기 설정, 규칙을 단단히 하는 것에 대한 중요성을 알게 되는 경험이 된 것 같습니다.</t>
  </si>
  <si>
    <t>엔진 코딩 구현하기 어렵습니다...</t>
  </si>
  <si>
    <t>사운드를 개별적으로 볼륨 조절하고 싶었는데 내 실력은 구현해내기 터무니 없는 실력이었다. 이제 개별 프로젝트에서 고친 내용을 그룹 프로젝트로 옮겨봐야 하는데 혹시나 잘 안 될까봐 걱정이다. 팀원들이 다들 각자의 자리에서 너무 잘하고 계셔서 더 걱정이다ㅜㅜ 화이팅!</t>
  </si>
  <si>
    <t>어제 사소한 기술적인 이슈를 최대한 해결했었기에 오늘은 크게 어려웠던 점은 없었습니다.
다만 게임에 리소스를 적용하는 과정은 내일부터 본격적으로 시작되기에 준비가 다 되었는지 잘 모르겠습니다.
이번 프로젝트의 사운드 담당으로서 BGM과 SFX는 A.I를 활용하여 최대한 뽑았고 비주얼 노벨에 적용이 되는지 기초 테스트도 거쳤지만 너무 음악을 뽑는데에만 열중해서 이 음악들을 어떻게 활용하여 연출할지 정리가 좀 덜 된거 같습니다.
야근... 까지 할 필요는 없지 않을까 싶지만 내일이면 더 까먹을거 같고 아무 계획도 없이 RUID를 짜넣으면 안될거 같아서 미리 제가 해야할 일에 대해서 정리를 좀 해두고 오늘 일정을 마무리지어야겠네요.</t>
  </si>
  <si>
    <t>연령 제한 이슈로 방향을 급선회 했지만 조원 분들이 모두 빠르게 적응하셔서 각자의 작업을 원활히 해주신 게 매우 인상적이었습니다. 금일 제가 한 시나리오 검수와 보완 작업이 다른 조원 분들이 하신 것보다 적어 보여 더욱 분발해야겠다는 생각이 듭니다. 감사합니다.</t>
  </si>
  <si>
    <t>작업 안정화 첫날에 서두른 덕에 마감일보다 조금 더 빨리 완성할 수 있을 것 같음</t>
  </si>
  <si>
    <t>리소스 사이즈 최적화를 위해 작업을 다량으로 했습니다. 생각했던 것보다 많은 량을 수정하게 되어서 일이 많아졌네요. 모두 묵묵히 잘 진행해주고 계셔서 좋습니다. 다만 아쉬운 것은 한가지에 매몰되어 계실 경우 너무 단호하게 잘라냈나 하는 죄송함이 있네요. 내일은 가능한 더 기분 상하지 않으시게 말씀 드리는 것에 더 신경 써야겠습니다.</t>
  </si>
  <si>
    <t>생각보다 할 일을 많다</t>
  </si>
  <si>
    <t>조작업50% 내작업 15%(하지만 깨닭았습니다 오늘부터 전력질주 하겠습니다)</t>
  </si>
  <si>
    <t>코드 짜다가 탈모걸려서 조퇴할뻔했지만 제미나이의 도움으로 다행히 기능을 하나 구현했다!(근데 코드 겹쳐서 보류됨) 그 뒤로 나의 역할은 채팅 ui제작 및 적용이 되었는데 피그마도 처음다뤄봐서(작업량이 15%인 이유)  그런지 상당히 조잡하다..ㅋㅋ 하지만 조원들의 응원으로 다시 힘냈고 작업 방향을 잡았다 내일까지 개쩌는 ui디자인을 만들어서 조원들에게 도움이 되고싶다. 아 그리고 금토일에 일본여행가야하는데 타이밍을 놓쳐서 아직 조원들한테 말을 못했다.. 여행 취소하려했는데 할머니랑 같이 가는거여서 좀 힘들기도하고 아.. 타이밍이 정말 안좋다 어쨋든 목요일 저녘까지 내 할일을 명확하게 다 끝내놓을 것이다.</t>
  </si>
  <si>
    <t>서로가 같은 목표를 정했다 보니 생각보다 빠르게 나아갈 수 있는 것 같습니다.</t>
  </si>
  <si>
    <t>저는 사운드 부분에 관해 진행을 하고 있었고, 부가적으로 도움이 되고 싶어 UI나 이미지 누끼따는 이런 것도 해보고 대사 데이터 테이블 오탈자라던가도 종종 찾아보고 했습니다. 아직 사운드 관련해서도 완성은 되지 않았지만 시나리오가 진행됨에 따라서 추가되는 사운드들이 더 있다보니 끝이란 없는 것도 같습니다. 오늘도 열심히 하시는 팀원분들께 감사합니다 ~</t>
  </si>
  <si>
    <t>프로토타입을 만든건 좋은 선택이었던 것 같습니다.
팀 내 이슈는 크게 없었고 개인적으로 어려웠던 점은 생성형 AI가 원하는 사이즈의 이미지를 지원하지 않아서 포토샵이 필요하게 되었습니다.</t>
  </si>
  <si>
    <t xml:space="preserve">팀 분위기가 정말 좋은 것 같아요. 작업하려고 밤 10시에 들어갔는데 다들 계시더라구요. 재밌게 작업하고 있습니다. </t>
  </si>
  <si>
    <t>좀 더 효율을 높이자. 작업의 획일화를 체계화하자.</t>
  </si>
  <si>
    <t>어제 자에 다들 AI한테 줄 레퍼런스가 덜 확보 된 상태에선 AI를 활용했을때 예상보다 시간을 몇배로 잡아먹었는데, 팀원분들이랑 제가 AI에 좀 익숙해지고 레퍼런스가 확보되니까 급속도로 속도가 붙은 것 같습니다. + 왜 실무에서 PD를 따로 빼는 직군으로 형성하는지 알겠습니다... 아트 디렉터 + PD + UI 작업 중인데 생각보다 살펴봐야하는 분야와 모멘텀이 잦아서 정신없이 움직이게 되는 것 같습니다</t>
  </si>
  <si>
    <t>연출 기획 담당인데, 붕 뜬 느낌이라, 0%인 것 같습니다.</t>
  </si>
  <si>
    <t>다들 잘하고 제가 소심해서...
조에서 제가 너무 하는 것 없고 버스를 타는 것 같습니다.
그래서 내일부터 적극적으로 사운드 쪽을 어필해야 겠습니다.</t>
  </si>
  <si>
    <t>검 열 싫 어 요</t>
  </si>
  <si>
    <t>팀이 원활하게 각자의 업무를 잘 해나가는 것 같아. 역시 우리 팀장님이 최고다.</t>
  </si>
  <si>
    <t>팀 내 이슈: 조장님과 일부 팀원 간의 마찰이 발생했습니다. 서로 소통에 있어서 불만을 제기했고 그걸 조율하기 위해 얘기를 서로 나누다가 저를 통해 중재하는 것으로 마무리가 되었습니다. 일단 표면적으로는 해결을 한 상황이나, 내적으로는 맡은 업무와 상대에 대한 아쉬움이 해소되지 않아서 프로젝트 기간 동안 지켜보며 잘 조율해보려고 합니다. 더 큰 문제로 이어지게 된다면 매니저님이나 강사님들께 도움을 요청 드리겠습니다. 관계가 나아질 수 있을거라 생각하며, 이번 프로젝트 열심히 해보겠습니다.</t>
  </si>
  <si>
    <t xml:space="preserve">팀 내 이슈 - 하나도 없었음
어려웠던 점 - 알파 버전을 만들기 위해서 리소스를 급하게 완성했고, 스토리의 부족함을 체감함
배운 점 - 일단 알파 버전(거의 프로토 타입)을 완성하고 서로 의견을 나누는 시간에서 배운 게 많았습니다. 스토리 적으로 어떤 부분이 부족했는지, 리소스적으로 어떤 부분이 부족했는지,
어떤 부분에서 버그가 발생헀는지에 대한 이야기를 할 수 있어서 좋았습니다
또한 아트팀이나 프로그래밍팀의 고충도 알 수 있었습니다
칭찬 - 다들 열심히 하시고 의견도 잘 주고받고 파충류가 되지 않으시고 정말 좋습니다
그리고 부족한 저를 많이 도와주셔서 정말 감사합니다
건의 - 없습니다
근황 토크 - 2조의 인해님과 현승님과 같이 AI와 관련해 의견을 주고받고 했었는데 배워가는 것도 많았고 제가 알려드린 눈차쿠도 잘 적용해서 이용 하신다고 하니 뿌듯했습니다
저희는 로컬 이미지를 거의 생성 안했지만.... 아무튼 좋았쓰
오늘 하루도 수고 많으셨습니다
</t>
  </si>
  <si>
    <t xml:space="preserve">오늘은 선택지 선택에 따른 호감도 상승 감소를 체크하는 시스템과 초상화가 최대 3개까지 화면에 나오는 시스템을 구현했다. 이제 엔딩을 위해 호감도를 확인하고 엔딩의 id로 보내는 시스템을 만들면 된다. 초상화가 움직이거나 fade 관련의 연출을 해달라고 하는데 또 코드를 짜라고 할거 같다. </t>
  </si>
  <si>
    <t>다른 조 팀원을 통해서 로컬 i2i 활용 방법을 배우게 되었더니, 드디어 일러스트 개인 작업 진도가 나가기 시작했다.</t>
  </si>
  <si>
    <t>시나리오를 쓰는 동시에, 스크립트를 따로 작성하고, 스크립트를 작성하면서 이미지 리소스도 함께 작업하다보니 번복되는 사항도 많고 아까운 리소스가 생기는 상황도 발생하는 것 같습니다.
평소에는 아케이드 위주의 게임이라 핵심 재미 메커니즘만 어긋나지 않으면 게임이 어떻게든 만들어졌는데, 스토리가 중요한 게임은 스토리를 수정하면서 게임을 만들어야하다보니 더 방향성이 흔들리기 쉽다는 걸 느꼈습니다.
그래서 스토리는 더욱 분리된 키워드가 중요한 듯합니다. 각 분기를 일으키는 트리거 키워드, 인물을 나타내는 외모/성격/욕망 각각의 핵심 키워드 같은 요소말이죠. 해당 키워드가 모호하지 않은 게 중요한 듯합니다.</t>
  </si>
  <si>
    <t>동시작업이 어려워서 구현간 언어가 겹치지 않을 수 있어 어려웠다.
태환님의 사운드 기술력이 엄청나셨습니다</t>
  </si>
  <si>
    <t>처음에는 너무 복잡한 코드들, UI 작업들 이라는 생각이 들어 걱정이 많이 되었지만 계속 궁금한것을 팀원들과 나누고 서로 피드백하고 수정하며 점점 무엇인가 만들어지고 있다는 생각이 들었습니다. 앞으로도 열심히 해보겠습니다.</t>
  </si>
  <si>
    <t xml:space="preserve">역할 분담이 역시 어려운 것 같습니다. </t>
  </si>
  <si>
    <t>초반에 다들 많이 혼란스러웠던 모양인지, 분위기가 심상치 않긴 했습니다.
솔직히 그럴만해요. 컨셉 기획도 제대로 잡히지 않은데다 
시스템 기획은 아무도 손대고 있지 않았거든요.
연출적인 부분을 개발할 수 있도록
디렉션이 있었음 좋겠지만, 어쩌겠습니까. 
그게 삶인거죠.
일단은 이 툴을 그럴듯하게 다듬는데 집중해야겠어요.
타이핑 효과랑 세이브 슬롯 구현한 것으로 만족합니다.
- DateTime에 지역 시간 변환도 없는 언어로 프로그래밍을 하고 있는 건에 대하여</t>
  </si>
  <si>
    <t>22일 (목)</t>
  </si>
  <si>
    <t>베타버전 출시후 마지막 공정들어갑니다!</t>
  </si>
  <si>
    <t>팀 활동이 너무 즐겁습니다!</t>
  </si>
  <si>
    <t>많이 일을 할 수 있어서 좋았다. 이미지 관련 역량이 늘어난것같다.</t>
  </si>
  <si>
    <t>매우 순항중입니다</t>
  </si>
  <si>
    <t>주말까지 프로젝트가 넘어가지는 않을 것 같아 다행입니다.</t>
  </si>
  <si>
    <t>게임 분량을 조금 넓게 잡았나 싶은 걱정이 들기 시작했습니다.</t>
  </si>
  <si>
    <t>구현하고자 하는건 전부구현하였고 내일 디테일작업만 들어가면 좋은데 요즘 초등학생컷이 높아서 죽을것 같습니다. 오류 수정 어떻게하는지..</t>
  </si>
  <si>
    <t>모든것이 수월하다</t>
  </si>
  <si>
    <t>시간이 지날수록 팀의 실력이 늘어가는 것 같습니다!</t>
  </si>
  <si>
    <t>윤곽이 드러날정도로 많이 진행되었습니다. 미구현 기능추가하고 QA하면 완성될거같네요!</t>
  </si>
  <si>
    <t>이미지 제작 95% 완료</t>
  </si>
  <si>
    <t xml:space="preserve">이미지 뽑는 건 지옥입니다. </t>
  </si>
  <si>
    <t>저희 조장님이 너무 다하시는거같아서 이게 맞나 싶습니다...시나리오가 쪼금 걱정돼요 분량이...만자를 넘어가셨다고..?</t>
  </si>
  <si>
    <t>새벽 4시까지 작업했습니다. 살려주세요.</t>
  </si>
  <si>
    <t>창작의 고통-!</t>
  </si>
  <si>
    <t>리소스 생성 작업량이
캐릭터 12개, 배경 5개가 남았다
밤샘 작업을 하여야 할 것 같다</t>
  </si>
  <si>
    <t>작업 마무리 단계입니다.</t>
  </si>
  <si>
    <t>이미지를 삽입하고 시트에 작성하는 단계입니다. 군데군데 없는 이미지가 보여서 작업을 마저 해야할것 같습니다.</t>
  </si>
  <si>
    <t>가뜩이나 5명으로 시잗했는데 이제 거의 4명이 되어 상당히 버겁습니다... 타협의 때가 온 것 같습니다</t>
  </si>
  <si>
    <t>조장님이 잘 이끌어주시고 팀원분들의 역할 분배에 따른 업무가 진짜 완벽한 것 같아서 실제로 회사에서 프로젝트 하는 느낌이었습니다..!! 힘들지만 재밌습니다!</t>
  </si>
  <si>
    <t>힘들어요</t>
  </si>
  <si>
    <t>화이팅</t>
  </si>
  <si>
    <t>담당 외 업무 진행, 작업 방식 변경</t>
  </si>
  <si>
    <t>오늘은 사운드 리소스를 잠시 내려놓고 기획서 검토 및 수정사항 기록에 역할을 할당했다. 3일이라는 시간이 정말 쏜살같이 지나가버렸다. 내일 게임을 구동하며 QA를 진행하기 전에 추가해야할 리소스도 남아있고, 아마 QA가 진행되면 또 해야할 일이 쌓일 것 같다. 다행히 주말에 스케줄이 없다! 화이팅!</t>
  </si>
  <si>
    <t>너무 욕심을 부렸는지 업무 진행도가 조금 느린것 같습니다. ㅜ</t>
  </si>
  <si>
    <t>오늘도 구현 요청을 하신 것은 다 했습니다
게임 내용 1~3일차도 거의 90%정도는 구현했고
중간중간 오류를 잡으면 되고
내일까진 어찌저찌 QA까지 해서 준비가 될 것 같은데
발표 준비까지 진행이 가능할진 모르겠지만 힘내보겠습니다
오늘 하루도 고생 하셨어요 (특히 검열이슈...ㅋㅋㅋㅋㅋ)</t>
  </si>
  <si>
    <t xml:space="preserve">이제 배경 아트만 추가하면 되는 상황이며 이것 관련에서 잘 끝낼 수 있다면 좋을 것 같습니다. </t>
  </si>
  <si>
    <t>욕심과 현실의 줄타기가 어려운거 같습니다. 목표 분량과 실제 수행 가능 분량이 분리되어 있다보니...</t>
  </si>
  <si>
    <t>얼추 기능은 다 완성</t>
  </si>
  <si>
    <t>각자 맡은 일을 성실하게 해내서 좋았습니다.</t>
  </si>
  <si>
    <t>조금 더 빨리 결정이 정해졌으면 좋았을 상황이 많이 있었습니다</t>
  </si>
  <si>
    <t>오류 수정 아직 못해서 무섭습니다 ㅠㅠ</t>
  </si>
  <si>
    <t>수고하셨습니다...</t>
  </si>
  <si>
    <t>소통을 잘 하지 못했던 점에 있어서 신경을 쓰게 해드려서 죄송한 마음이 들었고 이번기회로 배우게 된 것 같습니다.</t>
  </si>
  <si>
    <t>AI를 이용하는데, 몇몇은 로컬로, 몇몇은 ChatGPT나 Gemini로 생성하는데, 가끔 웹 서비스가 제대로 안되거나,, 그럴 때마다 작업시간이 확실히 너무 지연되는 탓에 조금 힘들었다. 또한 로컬로 돌리는 경우에, 계속해서 말하지도 않은 말(horse)이 튀어나온다던지.,. 갑자기 헤일로가 생긴다던지, 배경이 일본식으로바뀌는 등 나름 구체적으로 지정해도 변수가 많아서 조금 어려웠다.</t>
  </si>
  <si>
    <t>스토리의 디테일을 체크하니 양이 갑자기 거대해졌습니다..</t>
  </si>
  <si>
    <t>코인이 모자랍니다... 더 많은 그림... 더 많은 그림을 뽑아야해요...</t>
  </si>
  <si>
    <t>끝이 없는 시나리오의 굴레에 갇혀있습니다.</t>
  </si>
  <si>
    <t>말 안듣는 ai를 혼내면서 재밌게 작업했습니다. 얼른 더 똑똑해져라!</t>
  </si>
  <si>
    <t>할일이 추가가 되서 걱정이 됩니다  :0</t>
  </si>
  <si>
    <t>좀 오래 걸려서 재시간에 완성이 될지 고민이 됩니다 ㅠㅠ</t>
  </si>
  <si>
    <t>게임 하나 만드는데 어떤 작업이 필요할지 정확히 모르고 하면서 파악해나가다 보니까 작업의 틀이 안 갖춰져있는게 얼마나 비효율적인 건지 알게되었습니다. 작업의 틀, 데이터입력 규칙 등등 하나하나 모두가 다 동일하게 약속한 게 없다보니 소통하는데 오류가 많이 생기고 또 그 오류를 고치는데 시간이 많이 허비되었습니다. 이번에야 짧은 프로젝트니 그렇다치더라도 다음에 장기 프로젝트를 한다면 이런 공통된 약속을 꼭 만들고 시작해야겠다고 생각했습니다.</t>
  </si>
  <si>
    <t>간단한 게임도 할게 많네요 ㅎㅎ</t>
  </si>
  <si>
    <t>일단.. 계속 기능을 추가를 요청하셔서 컷트를 했고. 처음 논의할때 현재 시스템에서 진행하되 진짜 필요한 것만 추가하자 라고 했었는데. 잊어버리신듯하다.</t>
  </si>
  <si>
    <t>팀원 모두 짧은 시간이지만 6시 이후 늦게 까지 본인 할당량을 맡아주고 팀원의 작업이 좀 어려워보인다고 느낀다면 모두 솔선수범해서 도와주려고 해서 감사했습니다. 앞으로 또 같이 열심히 마무리하겠습니다.</t>
  </si>
  <si>
    <t>과연 이대로 괜찮을까 고민입니다.</t>
  </si>
  <si>
    <t>협업을 할 땐 나의 작업을 전체 그림에서 보는게 중요한 것 같다고 생각했습니다..</t>
  </si>
  <si>
    <t>이미지의 해상도 깨짐이나 여러 가지 문제 등으로 리소스를 넣어 완성하기 전까지는 걱정이 많이 됐는데 막상 1챕터를 만들고 나보니 생각보다 괜찮아서 조금 안도감이 들었다. 이제 화면 특수효과 같은 거나 게임 종료 시 자연스럽게 만들어가게 해놓으면 잘 끝낼 수 있을 거 같다.</t>
  </si>
  <si>
    <t>오늘부터 엑셀 시트에 본격적으로 기입하기 시작했기때문에 걱정이 앞섰습니다.
이런 속도로 충분한가? 하는 생각이 들지 않을수가 없더라고요.
그래도 하루종일 해보니까 어느정도 끝이 보이는거 같기는 합니다.
검수 과정이 남았고 예기치못한 오류가 또 우릴 얼마나 괴롭힐지 알수 없지만 내일 열심히 해봐야겠죠.
첫날엔 멘탈이 좀 깨졌었지만 그래도 지금은 회복되어서 어찌저찌 하고 있습니다.
팀 분위기도 굉장히 좋고 야근 강요하지 않고 배려해줘서 좋습니다.
오늘은 수업을 마치고도 좀 더 할듯 싶지만 가급적이면 너무 무리하지 않는선에서 마무리할수 있도록 설득해볼 생각입니다.
현업 개발자는 야근이 필수나 다름없지만 야근을 좋아하는 개발자는 없을거라고 생각하기에 일정에 맞춰서 마무리짓는것도 중요하지않을까 생각하니까요.</t>
  </si>
  <si>
    <t>각자의 작업물을 합치는 과정이 생각보다 힘들다는 걸 느꼈다.</t>
  </si>
  <si>
    <t>생각보다 스크립트 양이 많아서 아직 작업이 많이 남아버렸습니다... 야근 확정!
PM도 하고 스크립트 작업도 하려니 몸이 남아나질 않는군요...</t>
  </si>
  <si>
    <t>저는 데이터 테이블이 어렵습니다. 끝도 없는 것처럼 느껴지는 군요</t>
  </si>
  <si>
    <t>팀 내 이슈: 무사고 1일차 유지가 꽤 어렵네요.</t>
  </si>
  <si>
    <t>스토리 설정을 명확하게 정해놓지 않고 시작하다보니 이와 관련한 의견충돌이 있었습니다.</t>
  </si>
  <si>
    <t>현재 맡았던 사운드 관련해서는 작업을 완료한 상태이고 아직 게임안에 넣어서 돌려보는 시간은 갖지 못했습니다. 플레이 동안에 효과음이나 분위기적으로 안 맞는 사운드들이 추가될 거라고 예상하고 있고, 어느 부분에서 어느 효과음과 배경이 들어가고 어떤 것이 더 나을 지 시나리오를 계속 정독하고 때에 맞게 사운드까지 재생하여 검수 느낌으로 하고 있습니다. 중간마다 사운드를 최신화하여 업로드를 하면 팀원 분들이 이건 어떻다 이건 좋다 이런 분위기로 바꾸는 건 어떻겠냐 등등 피드백을 주셔서 덕분에 더 가늠하기 쉬워지는 것 같습니다. 그리고 조장님께서 제게 사운드 부분을 맡아달라 하여서 시도를 해봤는데 전 사운드는 쉬울 줄 알았습니다. 하지만 해보니까 내가 원하고 팀이 원하고 그 스토리나 상황에 맞는 사운드를 찾거나 하는 게 보통 일이 아니였습니다. 하루에 사운드만 100개 넘게 듣는 것 같습니다. 또한 시나리오를 보면서 아 이 부분에는 추가로 이런 사운드를 더 넣으면 몰입감이 더 살고 임팩트가 남겠다 싶은 것도 팀원분들과 얘기하며 진행하였습니다~!</t>
  </si>
  <si>
    <t>생각보다 작업 진행 속도가 더뎌져서 조금 서둘러야 할 것 같습니다.</t>
  </si>
  <si>
    <t>많이 부족함을 느끼는 중입니다.
특히 의사소통 부분에서 미숙한 부분이 많다고 느끼는 중입니다.</t>
  </si>
  <si>
    <t>처음으로 팀에서 뭔가 한 기분? 내가 직접만들기 보다 ai를 활용해서 만드는게 훨씬 빠름을 깨닭았다..
10시간동안 낑낑거리던게 30분만에 해결되는 매직. 이제 잘만든 게임들의 ui를 ai로 비슷하게 구현할 수 있지 않을까 싶다 작업 효율이 빨라졌으니 빨리 내일 다하고 다른 조원들 도와서 게임을 완성해보려한다 이상!</t>
  </si>
  <si>
    <t>프로토타입을 보는 데 스크립트 구분을 너무 세세하게 했나 걱정입니다.
팀원분들한테 스토리 수정할 부분 있으면 말씀해달라 했습니다.</t>
  </si>
  <si>
    <t>몸 컨디션이 안좋아서 작업을 많이 못했다. 팀원들에게 피해를 준거 같아 미안한 마음이 든다. 일단 최대한 빨리 작업 마무리해야겠다. 화이팅!!</t>
  </si>
  <si>
    <t>예상했던 계획만큼은 진행하지 못했던 것 같습니다.
비주얼노벨장르 특성상, 시나리오의 비중이 크고 작업이 선행되어야 이후 작업이 원활해지는 듯 했는데, 시나리오 작업간에 진척이 빠르게 진행되지는 않았던 점과,
작업자의 작업 완성도에 대한 욕심이 전체 지연으로 이어지는 부분에 대해서 원활한 설득을 진행하는 것이 어려웠던 것 같습니다.
감정을 상하지 않게 말하는 것과 '반드시' 설득해야 하는 상황에서 어떻게 잘 해야 하느냐가 정말 어려웠던 것 같습니다.
작업계획에 대해서도 일정을 일부러 타이트하게 잡긴했지만, 생각보다 계획대로 진행되기가 힘들었던 것 같습니다.</t>
  </si>
  <si>
    <t>금일은 시나리오 담당에서 시나리오 검수와 캐릭터 리소스 제작을 담당하니 시간이 배로 순삭 되는 거 같습니다. 동시에 하나씩 배워가는 점이 있어 유익하다고 생각합니다. 감사합니다.</t>
  </si>
  <si>
    <t>제가 오늘 하고자 했던 일을 생각보다 많이 진행하지 못해 아쉽습니다. 
리소스 사이즈 변경으로 인해 모든 리소스의 사이즈를 통일시키고 있고, 그게 AI 이미지로 요구를 해도 사이즈를 제대로 출력해주지 않는 문제가 있어서 직접 변경하다보니 손이 많이 갔던 것 같습니다.
완벽함을 내려놓아야 한다는 것도 많이 알고 있지만, 쉽지 않은 문제네요.
다른 분들이 하실 수 있도록 짐을 덜어내야 하는데, 사용하시는 툴이 팀원분들마다 각각 달라서 제가 하는 게 훨씬 수월하다보니 결국은 제가 하고 있게 되더라고요.
일단 해보시라고 열린 마인드를 가져야 하나 싶기도 하지만 어렵네요. 인력이 낭비되는 것은 또 싫어서 좀 더 유용한 부분에서 인력을 사용해주시길 바라는데, 제가 원하는 것과 팀원 분들이 원하시는 부분이 다르니 그걸 조율하는 부분도 어려웠습니다.
차라리 제가 아트 부분으로 문외했다면 가볍게 넘어갔을까 싶기도 하고, 여러모로 아쉬운 부분이 많습니다.
제가 좀 더 날서지 않은 말투로 좋게좋게 이끌어드리지 못한 것 같아서 많은 아쉬움이 남습니다.</t>
  </si>
  <si>
    <t>이제 게임에서 사용할 기능들은 전부 다 검사까지 끝내서 사용할 수 있게 했기 때문에, 가장 중요한 스토리 테이블에 스토리를 넣는 일만 남았습니다. 일정 내로 맞춰서 완성 또한 중요하기 때문에 남은 마지막 날까지 열심히 해보겠습니다.</t>
  </si>
  <si>
    <t xml:space="preserve">다들 화이팅. 오늘도 나는 공장처럼 리소스를 뽑아냈다 </t>
  </si>
  <si>
    <t>아직도 데이터 테이블이 대사도 완료되지 않았다...언제 넣고 파일명 알려줘서 이미지를 채우고 코드상에 분기점 별로 점수 부여하는 아이디를 써넣을까...첫날부터 강조한 목요일 오전까지는 무조건 데이터 테이블이 완성되야 한다는 말을 분명 팀 문서 1페이지 첫줄에 써두고 강조까지 했는데...
눈앞이 캄캄해졋다..</t>
  </si>
  <si>
    <t>오늘 제작한 게임 첫 파트 플레이를 해봤는데 재밌어요</t>
  </si>
  <si>
    <t>기본 스탠딩 일러스트를 어느정도 마무리 했다. 처음 진행은 대사 스크립트에 필요한 표정과 자세를 확인 후 생성하는 방식이었는데, 생각보다 결과물이 만족스럽지 않아서 마지막에 다양한 표정을 미리 만들어놓고 선택하는 방식으로 변경이 되었다.</t>
  </si>
  <si>
    <t>매일 뇌과부하가 온다</t>
  </si>
  <si>
    <t>이제 알맞은 RUID만 집어넣고, QA하면 마무리 됩니다!
야근을 더 하고 싶은데, 규칙이 야근 금지라 더 손보지 못하는게 아쉽네요..</t>
  </si>
  <si>
    <t xml:space="preserve">부서 간의 업무 속도 차이가 나고, 어딘가는 일이 과중 되는데 어딘가는 필수적인 일이 마무리 되어가는 상황에서 혼선을 크게 겪게 되는 것 같습니다. 이럴수록 소통도 점점 빈약해지고 요청사항이 오갈때 오류가 나타나고 있는데 PD로서 이 문제는 고민 해 봐야 할 것 같습니다. </t>
  </si>
  <si>
    <t>오늘도 100%를 불태웠습니다..ㅠㅠㅠ 시나리오가 이제야 거의 끝나갑니다...</t>
  </si>
  <si>
    <t>이번 프로젝트를 통해 팀원분들과 소통하는 부분에서 많은 걸 배우는 것 같습니다! 작업하면서 양이 꽤 많아서 압박감이 좀 있었는데 윤석 강사님이 저녁에 오셔서 응원도 해주시고.. 덕분에 마음이 조금 놓였습니다 감사합니다ㅎㅎ</t>
  </si>
  <si>
    <t>오늘은 순조로웠다. 내 할일 제대로 한 느낌.</t>
  </si>
  <si>
    <t xml:space="preserve">특정 파트가 진행도가 조금 더뎌지는 부분이 생겼습니다. 이 부분에 대해서 팀적으로 공유가 되었지만 그 시점이 기존 목표치 달성이 가능하게 도움을 주기에는 늦어버렸습니다. 진행이 빠른 타 파트 담당자들이 서포팅을 해주셔서 기존 목표치를 어느정도는 채울 수 있게 되었지만 PD이자 PM으로서 정기적으로 진행도를 확인하는 정도 vs 자율적인 작업 속도나 작업량에 대한 신뢰간의 균형을 잡기가 생각보다 어렵다는 생각이 들었습니다. 
팀적인 소통이 아직 서툰 팀원분들을 위해 조금 더 적극적이고 섬세하게 작업 속도와 현황에 대한 소통 환경을 조성해야겠다는 생각이 들었습니다. </t>
  </si>
  <si>
    <t>시스템 개발 완료</t>
  </si>
  <si>
    <t xml:space="preserve">완성하는게 되려나 걱정 가득 했는데 오늘 작업하던게 하나씩 조각이 맞춰지니까 가능할 것 같다는 생각이 드는게 신기했습니다. </t>
  </si>
  <si>
    <t>늦었다아아앗</t>
  </si>
  <si>
    <t>23일 (금)</t>
  </si>
  <si>
    <t>다 만들었습니다</t>
  </si>
  <si>
    <t>5팀 다들 고생많으셨습니다!!</t>
  </si>
  <si>
    <t>모오든게 순조롭게 진행이 되었다 99.99999완성</t>
  </si>
  <si>
    <t>거의 90%</t>
  </si>
  <si>
    <t>수고하셨습니다.</t>
  </si>
  <si>
    <t>처음 목표는 무조건 소박하게 잡아야 한다는 것을 뼈져리게 느끼고 있습니다...</t>
  </si>
  <si>
    <t>다들 맡은 바를 열심히 해주시고 좋은 성과도 거둔거 같아 좋은 경험이 된 것 같습니다</t>
  </si>
  <si>
    <t>시간내에 완성해서 좋아요~</t>
  </si>
  <si>
    <t>코드구현하는 게 이렇게나 너무나 머리가 아플정도로 힘들었던 기억이 납니다..</t>
  </si>
  <si>
    <t>매일 야근으로 100%를 채워왔습니다.</t>
  </si>
  <si>
    <t>못난 시나리오라 팀원에게 미안했습니다. 흑흑 더 빨리 하고 싶었는데...</t>
  </si>
  <si>
    <t>98% 됐습니다</t>
  </si>
  <si>
    <t>너무 방대한 AI생성 이미지 힘들어요~~</t>
  </si>
  <si>
    <t>시나리오 연출 작성을 빨리 했어야 하는데 늦어진 것 같아서 팀원 분들께 송구스럽기 그지 없었습니다;;</t>
  </si>
  <si>
    <t>85프로 정도입니다.</t>
  </si>
  <si>
    <t>오늘 6시 이후에도 잠깐 남아서 완성까지 할 것 같습니다.</t>
  </si>
  <si>
    <t>개발은 끝났어요... 리소스랑 시나리오 덮으면 끝~</t>
  </si>
  <si>
    <t>계속해서 수정하고 QA해보고 또 수정하고 하는게 골머리 아팠는데 완성본이 나오는 게 점점 보이고 플레이해보니깐 감격스럽기도 하고 뿌듯하기도 합니다..!!</t>
  </si>
  <si>
    <t>기본적인 작업은 대부분은 완료되었으나 몇가지 수정사항이 생길 수도 있습니다</t>
  </si>
  <si>
    <t>엄무조율이 힘들었다</t>
  </si>
  <si>
    <t>새벽 7시까지 진행하여서 2시간 수면 후 일어났습니다
놀랍게도 감자가 되지 않았습니다
새벽동안 열심히 해서 그런지 꽤 시간이 남았기에 기획서를 쓸 시간이 생겼습니다
여러므로 좋은 경험이었지만 아무래도 쿨타임이라는게 존재해야 할 것 같기에...
밤샘 작업을 자주 하지는 않아도 가끔? 하는 건 괜찮은 것 같습니다</t>
  </si>
  <si>
    <t xml:space="preserve">4명 정예가 되었지만 끝이 보입니다. pd로서 부족한 점이 많지만 너무 잘 이해해주시고 따라와주셔서 감사하고 있습니다. </t>
  </si>
  <si>
    <t>다 완성되었지만 프로그램 부분을 담당 하신 분이 추가 하고 싶은 것이 있다고 하여 추가 작업이 있을 예정입니다.</t>
  </si>
  <si>
    <t>오늘 중간 회의가 있었을 때 특정 인원이 다른 조원의 도움요청을 그저 모른다고 답하며 거부하였고 자기 의견만 피력해서 분위기가 가열된적이 있었습니다.</t>
  </si>
  <si>
    <t>99% 거의 다 끝냈고 마무리 작업만 남음</t>
  </si>
  <si>
    <t>프로그래머들의 심정을 이해하게 되었다</t>
  </si>
  <si>
    <t>100%를 향해서...</t>
  </si>
  <si>
    <t>끝나기 전까지 끝난게 아닙니다
진짜 안끝났다는게 너무 슬퍼요</t>
  </si>
  <si>
    <t>98%, 디버깅도 얼추 마무리 되어가는 중이다</t>
  </si>
  <si>
    <t>아트이라 그런지 아트 직무가 얼추 끝나니까 다른분들은 코딩이나 메월드 툴 잘만지면서 작업을 하시는데 정작나는 qa아니면 ppt나 작성하는 것말곤 할 수 있는 일이 없어서 조원들에게 미안한 마음이 들었다</t>
  </si>
  <si>
    <t>고생하셨습니다.</t>
  </si>
  <si>
    <t>90%?</t>
  </si>
  <si>
    <t>업무가 너무 많은 것같다. 의사소통은 참 어려운것 같다. 효율적인 의사소통을 위해 노력해야 겠다.</t>
  </si>
  <si>
    <t>이 프로젝트를 통해, 제가 뭐가 부족한지, 무엇이 문제인지 알 수 있어 확실히 좋았습니다.
이후에는 이 단점을 해결해보도록 하겠습니다.</t>
  </si>
  <si>
    <t>역시 주말 작업은 피할 수 없었다.
그래도 테스트 해보는 것 까진 성공했다. 나온 화면 토대로 추가 사운드 리소스를 추가하기만 하면 될 것 같다. 진짜 싸움은 지금부터 시작이다.
조원분들 모두 능력있고 활발한 소통이 가능했어서 작업 진행에 문제가 있진 않았지만, 리소스 양이 방대해져서 작업량이 많아진 것이 문제였던 것 같다. 프로젝트 관리 면에서도 많은 부분을 배웠다.
조금만 더 하면 끝나니 조금만 더 힘내자...</t>
  </si>
  <si>
    <t>팀 내 이슈는 생략하도록 하겠습니다
1. 플레이가 가능한 정도로 99.99% 완성했습니다
2. 나머지 디테일한 부분은 주말에 채우고, 월요일에 릴리즈 할 수 있도록 준비 하겠습니다
3. 팀원 여러분 정말 수고 많으셨습니다!</t>
  </si>
  <si>
    <t>지는거에요? 이겨.</t>
  </si>
  <si>
    <t>마지막 날이어서 약간 촉박한 감이 없지 않아 있었지만 다들 열심히 작업해주어 현재는 첫 구동을 하고 있습니다. 마치 같이 만든 영화를 보는 느낌이 있기도 하고 내가 만든 UI가 반영되어 있는 걸 보니 신기하기도 하고 걱정도 되고 그럽니다. 다음주 발표때까지 또 마무리 작업하고 완성하겠습니다.</t>
  </si>
  <si>
    <t xml:space="preserve">메인 여자 캐릭터를 묘사하는것 등이 계속 로컬 이미지 생성기가 이상하게 인식해서 너무 힘들었다. 프롬프트를 새로 다시 쓰고 negative prompt도 엄청 자세하게 작성해도 계속 형태를 바꿔서 나타났다. 왜 자꾸 쪼그마한 SD캐릭터가 옆에 같이 그려지는지.. 거기에 dark grey를 명시해도 자기 멋대로 beige 컬러로 바꾸는 등 이런 점이 통제하기가 어려웠다. 아예 캐릭터를 이미지를 많이 출력해 LoRA를 생성할까 혹은 다른 캐릭터의 LoRA를 가져올 까 생각도 했는데, 그건 너무 배보다 배꼽이 큰 느낌이기도 하고, 다른 캐릭터의 LoRA를 그대로쓰면 그것 나름대로 표절이라 느껴져서 수작업하느라 힘들었다.. </t>
  </si>
  <si>
    <t>예상치 못한 일이 많이 생겨서 뭔가 더 추가적인 일은 못했지만 그래도 우당탕탕하며 어떻게든 목표했던 부분을 작업 완료했다. 정말 계획대로 된 게 하나도 없었고 작업 파이프라인을 확실하게 잡아놓는 것이 중요하다는 것을 배울 수 있었다. 다음 프로젝트에서는 성장하여 좀 덜 우당탕탕하면서 만들 수 있기를 희망한다.</t>
  </si>
  <si>
    <t>음향 리소스를 코드로 입력해야한다는 것을 간과하고
시나리오 및 BGM연출을 작성한 것에 대해 엔진분께 죄송한 날이었습니다.
마케팅 과정 - 팀원이 제약사항만 반복적으로 얘기하는 경우 (진행의 도돌이 표 발생)
                      어떤 흐름으로 대화해야할지를 좀 더 고민해봐야 겠습니다.</t>
  </si>
  <si>
    <t>프로그래밍이란게 이해도가 없는 PD(저 자신입니다...) 측에서 일정 관리를 하니까 변수가 터지는 것에 대해서 일정 계산이 취약한 감이 큰것 같습니다. 그만큼 코딩 팀이랑 면밀하게 소통이 되어야 했었는데, 그러지 못해서 제한 시간 내 프로젝트가 마무리 되지 않고 추가 작업 시간을 할애애야 하는 상황을 만든게 죄송스러웠습니다. 제가 잘 모르는 분야일수록 더 면밀하게 소통할 필요가 있다는 것을 느낄 수 있었습니다. 또 특장점 하나 없는 PD를 존중해주고 적극적으로 임해주신 3조 여러분 모두에게 너무 감사합니다....</t>
  </si>
  <si>
    <t>생각보다 시간이 더 걸리네요</t>
  </si>
  <si>
    <t>오늘도 협업을 하며 자아 성찰의 시간을 가졌습니다..</t>
  </si>
  <si>
    <t xml:space="preserve">기존에 필요했던 배경음, 효과음, 배경, 엑스트라 캐릭터, 컷씬 전부 제작해놨고 새로 요청이 들어온 리소스 역시 제 시간에 다 끝내서 제출했다. 주어진 일은 다했고 남는 시간에 검수와 홍보용 영상제작을 시작했다.  </t>
  </si>
  <si>
    <t>팀원들이 공유에 대해서 살짝 갈등이 있었지만 이것 또한 배우는 과정이기에 성장했습니다!</t>
  </si>
  <si>
    <t>기획안을 스토리와 동일하게 진행해서 일정 조율이 아쉬웠습니다. 추가로 팀장인 제가 코딩 관련 지식이 없어 원활한 업무 및 일정분배가 이뤄지지 않은 것 같습니다.</t>
  </si>
  <si>
    <t>조금 더 잘했으면 시간 내에 잘 마무리 될 수 있을 것 같은데, 약간 진도가 나가지 않아 예정보다 더 오래 하게 되었습니다. 이번 일을 잘 생각하면서 다음에는 어떻게 조율을 해나가야 할지에 대한 고민을 해봐야겠습니다.</t>
  </si>
  <si>
    <t>사운드 관련은 끝마치고 추가로 더 들어가야 할 사운드나 Se가 있는 지 시나리오를 검토하면서 겸사겸사 오탈자나, 마침표, 이상한 문맥 등등을 살펴보는 검수시간을 가졌습니다. 분명 팀 구글 시트에는 수정을 해놓고 내용을 전달 드려도 인겜 대사 테이블을 보면 반영이 되어 있지 않은 경우도 있고, 메이플 엔진은 한명이 이미 작업 중인 파트는 다른 사람이 작업할 수가 없어서 시간이 좀 딜레이 되는 경우도 있던 것 같습니다. 그리고 정말 팀 프로젝트 진행 할 경우엔 팀원들의 역량 파악과 PM의 존재가 정말 중요한 것 같습니다. 대사 테이블 QA는 제가 맡은 파트를 하면서 겸사겸사 하긴 하였지만, 아직 게임 전체적인 QA를 많이는 못한 것 같아서 수업 시간 이후에도 진행을 하게 될 것 같습니다. 그래도 정말 많이 노력하시는 저희 팀원들 정말 고맙습니다!!</t>
  </si>
  <si>
    <t>99퍼???? 인게임 테스트만 하면 될것 같습니다 :)</t>
  </si>
  <si>
    <t>제가 할일은 다한것 같습니다 이제 인게임에 적용만 시키면 될것 같아요 :) AI랑 씨름만해서 어지럽네요</t>
  </si>
  <si>
    <t>다들 지금까지 한 사람도 빠짐 없이 의견을 내주셨고, 그 의견도 수용하며 프로젝트를 진행했습니다. 물론 프로젝트 기한에 맞추진 못했고 오늘도 늦게 까지 남아있어야 하고 내일도 아마 이어서 진행해야 할 것 같지만 그래도 제가 기획에 참여하고 만든 게임이 작동되는 것을 보면 무언가 뿌듯함이 남아 있습니다.</t>
  </si>
  <si>
    <t>주말 비상입니다.</t>
  </si>
  <si>
    <t>...</t>
  </si>
  <si>
    <t>코드 구현 다했더니 ppt를 해야한다 주말에 할게 너무 많다....</t>
  </si>
  <si>
    <t>오늘은 QA를 거치며 수정하는 단계를 가졌는데 생각보다 에러가 뜨는 부분도 있었고, 에러는 없어도 수정하고싶거나 추가하고 싶은 부분이 많이 보였습니다.
컨셉 기획서와 발표용 프레젠테이션까지 오늘 바로 준비했기때문에 수정할 여유가 크진 않았고 괜히 건드렸다가 또다른 에러가 발생할까봐 적당히 수정하는 선에서 그쳤지만 그래도 어떻게 마무리지을수 있어서 후련합니다.
물론 발표용 프레젠테이션은 아직 좀 더 작성해야할 부분이 남았고, 이번엔 발표를 제가 자진해서 맡았기때문에 좀 더 준비해봐야겠습니다.
내성적인 성격에 말수도 적은 저에게도 드디어 발표 기회가 주어진만큼 걱정도 되지만 월요일을 대비해봐야겠네요.</t>
  </si>
  <si>
    <t>주말에 불태우겠습니다 (강제)</t>
  </si>
  <si>
    <t>생각보다 많이 힘듭니다</t>
  </si>
  <si>
    <t>프로젝트 일정이 너무 짧은것 같습니다!</t>
  </si>
  <si>
    <t>다시는 코딩한다고 나서지 않겠습니다. 죄송합니다. 잘못했습니다.</t>
  </si>
  <si>
    <t xml:space="preserve">이번에 팀 프로젝트를 하며 조원분들에게서 배우는 점들이 여럿 있었다고 생각합니다. 더욱 유기적인 기획자가 되도록 노력하겠습니다. 감사합니다 </t>
  </si>
  <si>
    <t>스토리 부분 신입을 뽑지 않는 이유를 이번에 배우게 되었습니다...</t>
  </si>
  <si>
    <t>음.. 업무의 공유 부재로 인해 PD인 제가 갑자기 이건 뭐지? 하는 경우가 종종 나와서 대화를 통해 공유를 부탁 드렸습니다.</t>
  </si>
  <si>
    <t>팀활동 경험이 많지만 제대로 하나를 완성해본 경험은 적어서 너무 좋은 경험이라고 생각했습니다
다만 모든 갈등을 4일 만에 겪은 기분입니다 좋은 수업 감사합니다</t>
  </si>
  <si>
    <t>막연하게 이렇게 하면 되겠지 생각했는데,
인원관리나 일정관리, 진행등에 대해서 쉽게만 진행되진 않았던 것 같습니다.
작업자들의 열의는 좋지만 기간내 완성을 고려하여서, 잘 설득하여 반려하는 것에 대해
상처주지 않고  설득하는 좋은 방법이 있을까에 대해 고민이 있었습니다.
그래도 이번 한 과정을 통해서 다음번에는 어떻게 해야 더 잘 할 수 있을지 좋은 경험이었던 것 같습니다.</t>
  </si>
  <si>
    <t>체력 이슈가 일어나고 있습니다. 한 번에 쉬지 않고 몰아서 무언가를 하려고 하니 어질어질하네요...
오늘은 일감이 비는 분들께 적절한 일감을 드림으로써 더 효율적으로 팀 활동이 이어 나가지도록 노력했습니다.
다른 분들 모두 좋은 협력과 제안, 질의 등 소통해 주셔서 원활하게 팀 활동을 이어갈 수 있었습니다.
다만 아쉬운 점은, 소통이 잘되지 않으셨던 분이 계셨는데 제가 너무 당연하게 할당된 일을 하고 계신다고 생각했던 것 같습니다. 마무리에 가까워지니, 아니셨나 싶은 생각이 들었습니다. 이 부분에 있어서는 제가 계속 확인하지 않았던 탓도 있는 것 같아서 아쉬움이 남습니다.
공백이 있으실 때 적절한 일감을 드려야 했는데 말이죠... 완료되셨다거나, 어떤 것을 하고 계신다거나 하는 등 소통의 부재가 만든 문제라고 생각이 듭니다.
비록 예상했던 것보다 시간이 오래 걸릴 것 같지만, 끝까지 좋은 결과물을 낼 수 있도록 협업을 이어 나가야겠습니다.. ^__^ 마무리도 화이팅 하겠습니다.</t>
  </si>
  <si>
    <t>1. 팀 내 이슈
작업물 관리가 제대로 되지 않아 누락되거나 파일 이름이 다른 등 프로그래밍 담당자가 작업하기 매우 힘든 형태로 관리 됨
2. 칭찬 : 진호님 커피 사주기
3. 건의
휴가 일정이 잡힌 인원 때문에 4인이 작업해야 하는 어려움이 있었습니다
오늘 발생한 팀 내 이슈 또한 전체를 보고 관리하는 역할 때문에 생긴 일이라고 생각이드네요! 
앞으로의 프로젝트에서 휴가가 잡힌 팀원이 있고 ,이에 대해 운영진 측과 공유가 되었다면
저희조는5인 다른조는 6인인 곳이 있다고 들었는데
휴가 인원 포함 조는 6인으로 배정되길 건의드립니다.
4. 개인적 이슈
다음에는 석훈님과 같은 조가 되고 싶지 않습니다.
오히려 휴가 다녀오셔서 다행이라고 생각합니다.
사유1. 잘 모르는데 뭐든지 아는 것 처럼 이야기 함, 사실 아무것도 모름... 일을 안 해본 티가 많이 남 적극적인게 아니라 자기가 주인공이 되는 것을 즐기는 것 같아 보임
사유2. 작업을 하기를 꺼려하고 상황만 통제하길 원함, 작업물을 맡기면 책임감 있게 작업하는 것이 아닌 미루거나 어떻게 해야 할지 모르겠다 이렇게 할 필요가 없다는 등 핑계를 대고 일을 맡기고 시간이 지난 뒤 작업물에 대해 물어보면 어떻게 하는지 몰라서 안하고 있었다, 아까 이야기했는데 못 들었냐 등의 핑계를 댐, 정상적인 사람이라면 이야기 했을 때 이야기를 잘 들었는지 확인하는데 항상 혼잣말로 중얼거리시고 이야기 했다고 착각하심.
사유3. 팀원에 대한 배려 없이 필터링을 거치지 않거나 생각을 정리해서 말하는 것이 아닌 떠오르는대로만 이야기 해서 듣는 입장에서 무슨 말을 하는 건지 도통 알아먹을수가 없음. 본인만 그렇게 느끼는 걸 수는 있으니 다른 팀원들의 의견도 궁금함, 굳이 이런 내용을 공유하면서 정치질 하고 싶지는 않아요
사유4. 역량에 비해 자존심이 지나치게 강함, 누군가 반대 의견을 내거나 자신과 다른 의견을 대면 개인적으로 생각했을 때 말도 안되는 사유를 들며 반대하거나 정상적인 사람이라면 이해가 되게끔 설명했음에도 뜻을 굽히지 않음, 결말이 "나는 이해가 안되지만 여러분들이 그렇게 생각하면 그렇게 해라" 식
사유5. 운영진이 보고 있을 때 상황을 주도하는 것처럼 보이고 싶어함, 기획서가 필요하다고 초반에 이야기 했음에도 이번 과제는 기획하는게 아니라 경험하는게 목표라서 필요 없다고 해놓고 끝날 때 와서 필요하다고 강사님께서 짚어주셨을 때, 여기에 대해 제가 이야기를 꺼냄 &gt;  운영매니저님이 계실 때 이야기를 했더니 기획서 없는걸 운영 매니저님 앞에서 말하면 안된다는 식으로 메시지를 함, 무슨 심리인지 궁금함; 꿀밤 마려웠습니다. :)
사유6. 기본적인 참여 태도가 불량함, 캠, 마이크 정해진 시간에 안 키는 경우가 많으며 캠 킬 때는 다른 것에 몰두하고 있는지 팀원 모두 이야기 한 내용에 대해서 혼자만 모르고 있는 경우가 있음, 사람마다 과제에 중요도를 판단하는 정도는 다르기 때문에 적극적 참여는 어려울 수 있으나 기본적인 해야 할 작업의무조차 지키지 않고 분위기를 흐림
징징거려서 죄송하다고 생각하지만 만약 석훈님이 조금 소극적인 팀원이나 아직 사회생활을 하지 못한 분들과 팀원이 된다면 어떤 일이 발생할지 가늠이 안가고, 그 분들이 가스라이팅 당하거나 자신있게 말하는 모습에 맞다고 생각하면서 받을 피해가 더욱 안타까움, 그렇다고 본인이 석훈님과 같은 조가 되고싶은 생각도 없기에 말씀드립니다.
긴 글 읽어주셔서 감사합니다. 행복한 주말 보내세요 ~_~</t>
  </si>
  <si>
    <t>마지막까지 화이팅!!</t>
  </si>
  <si>
    <t>살려주세요데이터테이블에사람있어요아니왜UID같은걸집어넣어가지고보기도불편한데ㅔㅔㅔㅔ데이터시트구분하기도너무귀차ㅏㅏㅏㅏㅏㅏㅏㅏㅏ809b46f0d4f343a699e6113d32cbe59666d2ba4157274ceb9622826837e2c08dc5c7134b3655486ca028deeed0b28d23c48ef7fe9e0940e99349512858d146ded4843763d1b54da69857d199ea43ae385d04b0de4eaf4af3849b24fb7482f36fce2558a346c74cada1b65e68175d1863</t>
  </si>
  <si>
    <t>90%!</t>
  </si>
  <si>
    <t>프로젝트 마지막 날인데 진행하는 동안 부끄러운 모습들을 많이 보인 것 같아 죄송합니다.
첫 단추를 어떻게 꿰었어야 했던 것일까 생각해보게 되는데... 참 쉽지 않네요. 잘 해쳐나가겠습니다.</t>
  </si>
  <si>
    <t>피로는 분노를 이긴다는 깨달음</t>
  </si>
  <si>
    <t>시나리오 분량이 생각보다 많아져서 전체적인 완성도는 높아졋지만 개발 진행도가 조금 늦춰졌습니다. 그래도 마지막 날인만큼 이전 작업일들보다 협업이나 작업 속도등이 많이 좋아져서 정규 작업 기간에 초기 프로토 타입 구동까지 완료했습니다. 대부분의 기능이 잘 작동해서 약간의 디버깅과 세부 리소스 조정만 남겨놓고 있습니다. 아직 정식 출시 전이지만 팀원 모두 결과물을 보면서 보람과 설렘을 느꼈던 오늘 하루 마무리 였습니다. 발표와 개발 마무리까지 화이팅!</t>
  </si>
  <si>
    <t>다들 처음 만든다고 가정하면 제 생각에는 90% 라고 생각합니다</t>
  </si>
  <si>
    <t xml:space="preserve">AI(제미나이)를 좀 다룰 줄 알게되어 좋았습니다 </t>
  </si>
  <si>
    <t>어... 팀원분들 죄송합니다. 코드가 꼬여서 세이브를 제대로 구현하지 못했네요. 사과드리긴 했지만 제 자신에게 너무 실망했습니다. 흐윽흐윽ㅜㅜ 3조 팀원분들 진짜 너무 좋았습니다</t>
  </si>
  <si>
    <t>대사 스크립트 작성 후 캐릭터 별로 어울리는 초상화를 제작하는 과정에서 레퍼런스를 찾고, 다시 초상화를 배정하는 작업이 반복되며 작업 흐름이 자주 끊기는 문제가 있었습니다. 해당 문제를 해결하기 위해 표정 레퍼런스를 한 곳에 전부 모아 정리해두고 활용하면 레퍼런스 탐색에 소요되는 시간을 줄일 수 있을 것이라 판단하여 우선 작업을 진행했습니다. 
이후 다른 분들도 같이 초상화 제작에 합류하면서 모아둔 레퍼런스를 참고해 작업 속도가 빨라지는 것을 확인할 수 있었습니다. 이번 경험을 통해 캐릭터의 명확한 상태와 감정을 기준을 만들어 공유하는 게 협업과 제작 효율 측면에서 중요하다는 점을 체감하게 되었습니다.</t>
  </si>
  <si>
    <t>스탠딩 일러스트들 마무리하고, bgm을 선정하기 시작했다. 게임 플레이타임이 짧아서 전개가 빠른 편이라 어떻게 적절하게 배치해야하는지 고민을 했던것같다.</t>
  </si>
  <si>
    <t>시간이 촉박해서 주말까지 활용해야할거같습니다..</t>
  </si>
  <si>
    <t>데일리 체크인 종합 시트</t>
  </si>
  <si>
    <t>- 데일리 체크인 작성이 결국 개인 성실성과 과정 신뢰도, 과정 운영의 지시를 따르는 지표가 될 것으로 보입니다.
- 작성의 판단 기준은 당일 오후 5:00 ~ 다음날 오전 9:00 까지 작성된 데이터를 기준으로 판단합니다.</t>
  </si>
  <si>
    <t>팀</t>
  </si>
  <si>
    <t>미작성 횟수</t>
  </si>
  <si>
    <t>응답 비율</t>
  </si>
  <si>
    <t>김현우A</t>
  </si>
  <si>
    <t>개인</t>
  </si>
  <si>
    <t>이석훈</t>
  </si>
  <si>
    <t>날짜</t>
  </si>
  <si>
    <t>작업량</t>
  </si>
  <si>
    <t>한마디</t>
  </si>
  <si>
    <t>비고</t>
  </si>
  <si>
    <t>상태</t>
  </si>
  <si>
    <t>양호</t>
  </si>
  <si>
    <t>대기</t>
  </si>
  <si>
    <t>[김상준] 먼저 DM으로 소통해보겠습니다.</t>
  </si>
  <si>
    <t>주의</t>
  </si>
  <si>
    <t>[양윤석] 이걸 어케 처리해야할지 고민이 됩니다</t>
  </si>
  <si>
    <t>비상</t>
  </si>
  <si>
    <t/>
  </si>
  <si>
    <t>[김상준] 이석훈 이슈, 사운드 기획, 서진호 학생의 엔진 파트 이슈에 대해 20분정도 이야기 나누었습니다. 프로젝트 기간이 짧은 만큼 본격적인 기획 문서를 작성 후 이를 바탕으로 작업하는 프로세스가 쉽지 않은 것이 당연하고, 결과물 vs 학습 중 어느 쪽을 택할 지를 고민해보면 좋을 것 같다고 이야기했습니다.</t>
  </si>
  <si>
    <r>
      <rPr>
        <sz val="10"/>
        <color theme="1"/>
        <rFont val="Arial"/>
      </rPr>
      <t xml:space="preserve">[안중재]
?
[김상준]
</t>
    </r>
    <r>
      <rPr>
        <strike/>
        <sz val="10"/>
        <color theme="1"/>
        <rFont val="Arial"/>
      </rPr>
      <t>어제 면담을 한 차례 진행했던 인원이기 때문에, 제가 DM으로 소통하고 대신 박기은 쪽을 중점적으로 면담하는 건 어딸까 싶습니다!</t>
    </r>
  </si>
  <si>
    <t>[안중재]
내일 면담 필요</t>
  </si>
  <si>
    <t>[김상준] 이길준 학생이 반쯤 이탈했을 때부터 컨셉에 대한 논의를 진행하여, 4명이지만 진행에 큰 문제는 없다고 합니다. 이영우, 김태훈 학생이 엔진을 다루고 있고, 본인은 시나리오를 쓰고 있다고 합니다. 네모난 바퀴는 어떻게든 굴라간다는 의미로 사용했다고 합니다.</t>
  </si>
  <si>
    <t>[김상준] DM 먼저 진행하겠습니다. 심각한 경우 면담으로 이어 진행하겠습니다.</t>
  </si>
  <si>
    <t>이길준</t>
  </si>
  <si>
    <t>[안중재]
뭔가 질문이 갔나요?</t>
  </si>
  <si>
    <t>[김상준] 전체적으로 좋은 분위기로 보입니다. 안성진 학생에 대해서도 충분히 제 몫을 잘 하고 있다고 이야기했습니다.</t>
  </si>
  <si>
    <t>[김상준] 어제 면담 진행한 인원입니다. 이번 프로젝트에서 개선하기는 힘들겠지만, 배워갈 점과 다음 프로젝트에 적용할 점에 대해 좀더 고민하겠다고 합니다.</t>
  </si>
  <si>
    <t>[양윤석]
자신감 심어주는 면담 필요해보입니다.
-해결 완-</t>
  </si>
  <si>
    <t>[양윤석]
내일 면담 진행하고자 합니다 김지훈과 있었던 트러블입니다.
양쪽 의견을 들어봐야 정확한 진단을 할거같습니다</t>
  </si>
  <si>
    <t>[김상준] 생성형 AI 사용에 대한 어려움을 이야기한 것이라고 합니다. 소통 등의 다른 문제는 없다고 합니다.</t>
  </si>
  <si>
    <t>[김상준] 엔딩 시나리오에 대한 방향성 차이가 있었는데, 이정헌이 잘 중재했다고 합니다.</t>
  </si>
  <si>
    <t>[김상준] DM으로 자세한 내용 확인해보겠습니다.</t>
  </si>
  <si>
    <t>[김상준] DM으로 지속적으로 소통하겠습니다.</t>
  </si>
  <si>
    <t>[김상준] 유해찬 회고 관련, 확인해보겠습니다.</t>
  </si>
  <si>
    <t>[김상준] 오랜만에 코딩을 하니 힘들어서 푸념 느낌으로 썼다고 합니다. 큰 이슈는 없습니다.</t>
  </si>
  <si>
    <t>[김상준] 그냥 팀 작업간에 일반적으로 생기는 갈등정도였으며, 분위기 좋다고 합니다.</t>
  </si>
  <si>
    <t>[김상준] ?</t>
  </si>
  <si>
    <t>특정 파트가 진행도가 조금 더뎌지는 부분이 생겼습니다. 이 부분에 대해서 팀적으로 공유가 되었지만 그 시점이 기존 목표치 달성이 가능하게 도움을 주기에는 늦어버렸습니다. 진행이 빠른 타 파트 담당자들이 서포팅을 해주셔서 기존 목표치를 어느정도는 채울 수 있게 되었지만 PD이자 PM으로서 정기적으로 진행도를 확인하는 정도 vs 자율적인 작업 속도나 작업량에 대한 신뢰간의 균형을 잡기가 생각보다 어렵다는 생각이 들었습니다. 
팀적인 소통이 아직 서툰 팀원분들을 위해 조금 더 적극적이고 섬세하게 작업 속도와 현황에 대한 소통 환경을 조성해야겠다는 생각이 들었습니다.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</si>
</sst>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m/d/yyyy\ h:mm:ss"/>
    <numFmt numFmtId="177" formatCode="yyyy\-mm\-dd"/>
    <numFmt numFmtId="178" formatCode="mm&quot;/&quot;dd"/>
  </numFmts>
  <fonts count="7" x14ac:knownFonts="1">
    <font>
      <sz val="10"/>
      <color rgb="FF000000"/>
      <name val="Arial"/>
      <scheme val="minor"/>
    </font>
    <font>
      <sz val="10"/>
      <color theme="1"/>
      <name val="Arial"/>
      <scheme val="minor"/>
    </font>
    <font>
      <sz val="10"/>
      <color theme="1"/>
      <name val="Arial"/>
    </font>
    <font>
      <b/>
      <sz val="16"/>
      <color theme="1"/>
      <name val="Arial"/>
    </font>
    <font>
      <sz val="10"/>
      <color rgb="FFFFFFFF"/>
      <name val="Arial"/>
    </font>
    <font>
      <strike/>
      <sz val="10"/>
      <color theme="1"/>
      <name val="Arial"/>
    </font>
    <font>
      <sz val="8"/>
      <name val="Arial"/>
      <family val="3"/>
      <charset val="129"/>
      <scheme val="minor"/>
    </font>
  </fonts>
  <fills count="12">
    <fill>
      <patternFill patternType="none"/>
    </fill>
    <fill>
      <patternFill patternType="gray125"/>
    </fill>
    <fill>
      <patternFill patternType="solid">
        <fgColor rgb="FFF8F9FA"/>
        <bgColor rgb="FFF8F9FA"/>
      </patternFill>
    </fill>
    <fill>
      <patternFill patternType="solid">
        <fgColor rgb="FFFFFFFF"/>
        <bgColor rgb="FFFFFFFF"/>
      </patternFill>
    </fill>
    <fill>
      <patternFill patternType="solid">
        <fgColor rgb="FFD9D9D9"/>
        <bgColor rgb="FFD9D9D9"/>
      </patternFill>
    </fill>
    <fill>
      <patternFill patternType="solid">
        <fgColor rgb="FFF9CB9C"/>
        <bgColor rgb="FFF9CB9C"/>
      </patternFill>
    </fill>
    <fill>
      <patternFill patternType="solid">
        <fgColor rgb="FFEA9999"/>
        <bgColor rgb="FFEA9999"/>
      </patternFill>
    </fill>
    <fill>
      <patternFill patternType="solid">
        <fgColor rgb="FFFF00FF"/>
        <bgColor rgb="FFFF00FF"/>
      </patternFill>
    </fill>
    <fill>
      <patternFill patternType="solid">
        <fgColor rgb="FFFFE599"/>
        <bgColor rgb="FFFFE599"/>
      </patternFill>
    </fill>
    <fill>
      <patternFill patternType="solid">
        <fgColor rgb="FFFFCD00"/>
        <bgColor rgb="FFFFCD00"/>
      </patternFill>
    </fill>
    <fill>
      <patternFill patternType="solid">
        <fgColor rgb="FFFAF9F9"/>
        <bgColor rgb="FFFAF9F9"/>
      </patternFill>
    </fill>
    <fill>
      <patternFill patternType="solid">
        <fgColor rgb="FFFFF2CC"/>
        <bgColor rgb="FFFFF2C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5">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176" fontId="1" fillId="2" borderId="0" xfId="0" applyNumberFormat="1" applyFont="1" applyFill="1" applyAlignment="1">
      <alignment vertical="center"/>
    </xf>
    <xf numFmtId="0" fontId="1" fillId="2" borderId="0" xfId="0" applyFont="1" applyFill="1" applyAlignment="1">
      <alignment vertical="center"/>
    </xf>
    <xf numFmtId="9" fontId="1" fillId="2" borderId="0" xfId="0" applyNumberFormat="1" applyFont="1" applyFill="1" applyAlignment="1">
      <alignment vertical="center"/>
    </xf>
    <xf numFmtId="0" fontId="1" fillId="2" borderId="0" xfId="0" applyFont="1" applyFill="1" applyAlignment="1">
      <alignment vertical="center" wrapText="1"/>
    </xf>
    <xf numFmtId="176" fontId="1" fillId="0" borderId="0" xfId="0" applyNumberFormat="1" applyFont="1" applyAlignment="1">
      <alignment vertical="center"/>
    </xf>
    <xf numFmtId="0" fontId="1" fillId="0" borderId="0" xfId="0" applyFont="1" applyAlignment="1">
      <alignment vertical="center"/>
    </xf>
    <xf numFmtId="9" fontId="1" fillId="0" borderId="0" xfId="0" applyNumberFormat="1" applyFont="1" applyAlignment="1">
      <alignment vertical="center"/>
    </xf>
    <xf numFmtId="10" fontId="1" fillId="0" borderId="0" xfId="0" applyNumberFormat="1" applyFont="1" applyAlignment="1">
      <alignment vertical="center"/>
    </xf>
    <xf numFmtId="0" fontId="1" fillId="3" borderId="0" xfId="0" applyFont="1" applyFill="1" applyAlignment="1">
      <alignment vertical="center"/>
    </xf>
    <xf numFmtId="177" fontId="1" fillId="3" borderId="0" xfId="0" applyNumberFormat="1" applyFont="1" applyFill="1" applyAlignment="1">
      <alignment vertical="center"/>
    </xf>
    <xf numFmtId="0" fontId="1" fillId="3" borderId="0" xfId="0" applyFont="1" applyFill="1" applyAlignment="1">
      <alignment vertical="center" wrapText="1"/>
    </xf>
    <xf numFmtId="0" fontId="1" fillId="0" borderId="0" xfId="0" applyFont="1" applyAlignment="1">
      <alignment wrapText="1"/>
    </xf>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xf>
    <xf numFmtId="0" fontId="2" fillId="5" borderId="1" xfId="0" applyFont="1" applyFill="1" applyBorder="1" applyAlignment="1">
      <alignment horizontal="center"/>
    </xf>
    <xf numFmtId="0" fontId="1" fillId="6" borderId="1" xfId="0" applyFont="1" applyFill="1" applyBorder="1" applyAlignment="1">
      <alignment horizontal="center"/>
    </xf>
    <xf numFmtId="178" fontId="4" fillId="7" borderId="1" xfId="0" applyNumberFormat="1" applyFont="1" applyFill="1" applyBorder="1" applyAlignment="1">
      <alignment horizontal="center"/>
    </xf>
    <xf numFmtId="178" fontId="1" fillId="8" borderId="1" xfId="0" applyNumberFormat="1" applyFont="1" applyFill="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center"/>
    </xf>
    <xf numFmtId="9" fontId="2" fillId="9" borderId="1" xfId="0" applyNumberFormat="1" applyFont="1" applyFill="1" applyBorder="1" applyAlignment="1">
      <alignment horizontal="center"/>
    </xf>
    <xf numFmtId="0" fontId="2" fillId="0" borderId="0" xfId="0" applyFont="1" applyAlignment="1">
      <alignment horizontal="center" vertical="center" wrapText="1"/>
    </xf>
    <xf numFmtId="0" fontId="2" fillId="10" borderId="0" xfId="0" applyFont="1" applyFill="1" applyAlignment="1">
      <alignment horizontal="center"/>
    </xf>
    <xf numFmtId="0" fontId="2" fillId="0" borderId="0" xfId="0" applyFont="1" applyAlignment="1">
      <alignment vertical="center"/>
    </xf>
    <xf numFmtId="9" fontId="2" fillId="0" borderId="0" xfId="0" applyNumberFormat="1" applyFont="1" applyAlignment="1">
      <alignment horizontal="center" vertical="center" wrapText="1"/>
    </xf>
    <xf numFmtId="0" fontId="2" fillId="0" borderId="0" xfId="0" applyFont="1" applyAlignment="1">
      <alignment vertical="center" wrapText="1"/>
    </xf>
    <xf numFmtId="0" fontId="2" fillId="11" borderId="1" xfId="0" applyFont="1" applyFill="1" applyBorder="1" applyAlignment="1">
      <alignment horizontal="center" vertical="center"/>
    </xf>
    <xf numFmtId="177" fontId="2" fillId="0" borderId="1" xfId="0" applyNumberFormat="1" applyFont="1" applyBorder="1" applyAlignment="1">
      <alignment horizontal="center" vertical="center"/>
    </xf>
    <xf numFmtId="0" fontId="2" fillId="5" borderId="2" xfId="0" applyFont="1" applyFill="1" applyBorder="1" applyAlignment="1">
      <alignment horizontal="center" vertical="center"/>
    </xf>
    <xf numFmtId="9" fontId="2" fillId="5"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0" borderId="2" xfId="0" applyFont="1" applyBorder="1" applyAlignment="1">
      <alignment horizontal="center" vertical="center"/>
    </xf>
    <xf numFmtId="0" fontId="2" fillId="3" borderId="2" xfId="0" applyFont="1" applyFill="1" applyBorder="1" applyAlignment="1">
      <alignment horizontal="center" vertical="center"/>
    </xf>
    <xf numFmtId="9" fontId="2" fillId="0" borderId="2" xfId="0" applyNumberFormat="1" applyFont="1" applyBorder="1" applyAlignment="1">
      <alignment horizontal="center" vertical="center" wrapText="1"/>
    </xf>
    <xf numFmtId="0" fontId="2" fillId="0" borderId="2" xfId="0" applyFont="1" applyBorder="1" applyAlignment="1">
      <alignment vertical="center" wrapText="1"/>
    </xf>
    <xf numFmtId="9" fontId="2" fillId="0" borderId="0" xfId="0" applyNumberFormat="1" applyFont="1" applyAlignment="1">
      <alignment horizontal="center" vertical="center"/>
    </xf>
    <xf numFmtId="9" fontId="2" fillId="5" borderId="2" xfId="0" applyNumberFormat="1" applyFont="1" applyFill="1" applyBorder="1" applyAlignment="1">
      <alignment horizontal="center" vertical="center"/>
    </xf>
    <xf numFmtId="9" fontId="2" fillId="0" borderId="2" xfId="0" applyNumberFormat="1" applyFont="1" applyBorder="1" applyAlignment="1">
      <alignment horizontal="center" vertical="center"/>
    </xf>
    <xf numFmtId="0" fontId="2" fillId="0" borderId="2" xfId="0" applyFont="1" applyBorder="1" applyAlignment="1">
      <alignment vertical="center"/>
    </xf>
    <xf numFmtId="0" fontId="2" fillId="4" borderId="0" xfId="0" applyFont="1" applyFill="1" applyAlignment="1">
      <alignment horizontal="left"/>
    </xf>
    <xf numFmtId="0" fontId="0" fillId="0" borderId="0" xfId="0"/>
  </cellXfs>
  <cellStyles count="1">
    <cellStyle name="표준" xfId="0" builtinId="0"/>
  </cellStyles>
  <dxfs count="21">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F3F3F3"/>
          <bgColor rgb="FFF3F3F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F3F3F3"/>
          <bgColor rgb="FFF3F3F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F3F3F3"/>
          <bgColor rgb="FFF3F3F3"/>
        </patternFill>
      </fill>
    </dxf>
    <dxf>
      <fill>
        <patternFill patternType="solid">
          <fgColor rgb="FFCFE2F3"/>
          <bgColor rgb="FFCFE2F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F3F3F3"/>
          <bgColor rgb="FFF3F3F3"/>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17"/>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G287">
  <tableColumns count="7">
    <tableColumn id="1" xr3:uid="{00000000-0010-0000-0000-000001000000}" name="타임스탬프"/>
    <tableColumn id="2" xr3:uid="{00000000-0010-0000-0000-000002000000}" name="이메일 주소"/>
    <tableColumn id="3" xr3:uid="{00000000-0010-0000-0000-000003000000}" name="이름"/>
    <tableColumn id="4" xr3:uid="{00000000-0010-0000-0000-000004000000}" name="소속 팀"/>
    <tableColumn id="5" xr3:uid="{00000000-0010-0000-0000-000005000000}" name="작성 날짜"/>
    <tableColumn id="6" xr3:uid="{00000000-0010-0000-0000-000006000000}" name="오늘의 작업량"/>
    <tableColumn id="7" xr3:uid="{00000000-0010-0000-0000-000007000000}" name="자유로운 한마디"/>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386"/>
  <sheetViews>
    <sheetView tabSelected="1" workbookViewId="0">
      <pane ySplit="1" topLeftCell="A2" activePane="bottomLeft" state="frozen"/>
      <selection pane="bottomLeft" activeCell="G9" sqref="G9"/>
    </sheetView>
  </sheetViews>
  <sheetFormatPr defaultColWidth="12.5703125" defaultRowHeight="15.75" customHeight="1" x14ac:dyDescent="0.2"/>
  <cols>
    <col min="1" max="1" width="23.42578125" customWidth="1"/>
    <col min="2" max="2" width="6.42578125" customWidth="1"/>
    <col min="3" max="3" width="9.140625" customWidth="1"/>
    <col min="4" max="4" width="8.42578125" customWidth="1"/>
    <col min="5" max="5" width="12" customWidth="1"/>
    <col min="6" max="6" width="20.42578125" customWidth="1"/>
    <col min="7" max="7" width="116.140625" customWidth="1"/>
    <col min="8" max="8" width="2.42578125" customWidth="1"/>
    <col min="9" max="13" width="18.85546875" customWidth="1"/>
  </cols>
  <sheetData>
    <row r="1" spans="1:7" ht="22.5" customHeight="1" x14ac:dyDescent="0.2">
      <c r="A1" s="1" t="s">
        <v>0</v>
      </c>
      <c r="B1" s="1" t="s">
        <v>1</v>
      </c>
      <c r="C1" s="1" t="s">
        <v>2</v>
      </c>
      <c r="D1" s="1" t="s">
        <v>3</v>
      </c>
      <c r="E1" s="1" t="s">
        <v>4</v>
      </c>
      <c r="F1" s="1" t="s">
        <v>5</v>
      </c>
      <c r="G1" s="2" t="s">
        <v>6</v>
      </c>
    </row>
    <row r="2" spans="1:7" ht="22.5" customHeight="1" x14ac:dyDescent="0.2">
      <c r="A2" s="3">
        <v>46042.746140798612</v>
      </c>
      <c r="B2" s="4" t="s">
        <v>7</v>
      </c>
      <c r="C2" s="4" t="s">
        <v>8</v>
      </c>
      <c r="D2" s="4" t="s">
        <v>9</v>
      </c>
      <c r="E2" s="4" t="s">
        <v>10</v>
      </c>
      <c r="F2" s="5">
        <v>0.25</v>
      </c>
      <c r="G2" s="6" t="s">
        <v>11</v>
      </c>
    </row>
    <row r="3" spans="1:7" ht="22.5" customHeight="1" x14ac:dyDescent="0.2">
      <c r="A3" s="3">
        <v>46042.74631761574</v>
      </c>
      <c r="B3" s="4" t="s">
        <v>12</v>
      </c>
      <c r="C3" s="4" t="s">
        <v>13</v>
      </c>
      <c r="D3" s="4" t="s">
        <v>9</v>
      </c>
      <c r="E3" s="4" t="s">
        <v>10</v>
      </c>
      <c r="F3" s="5">
        <v>0.25</v>
      </c>
      <c r="G3" s="6" t="s">
        <v>14</v>
      </c>
    </row>
    <row r="4" spans="1:7" ht="22.5" customHeight="1" x14ac:dyDescent="0.2">
      <c r="A4" s="3">
        <v>46042.747157789352</v>
      </c>
      <c r="B4" s="4" t="s">
        <v>15</v>
      </c>
      <c r="C4" s="4" t="s">
        <v>16</v>
      </c>
      <c r="D4" s="4" t="s">
        <v>9</v>
      </c>
      <c r="E4" s="4" t="s">
        <v>10</v>
      </c>
      <c r="F4" s="5">
        <v>0.5</v>
      </c>
      <c r="G4" s="6" t="s">
        <v>17</v>
      </c>
    </row>
    <row r="5" spans="1:7" ht="22.5" customHeight="1" x14ac:dyDescent="0.2">
      <c r="A5" s="3">
        <v>46042.747656481486</v>
      </c>
      <c r="B5" s="4" t="s">
        <v>18</v>
      </c>
      <c r="C5" s="4" t="s">
        <v>19</v>
      </c>
      <c r="D5" s="4" t="s">
        <v>9</v>
      </c>
      <c r="E5" s="4" t="s">
        <v>10</v>
      </c>
      <c r="F5" s="5">
        <v>0.75</v>
      </c>
      <c r="G5" s="6" t="s">
        <v>20</v>
      </c>
    </row>
    <row r="6" spans="1:7" ht="22.5" customHeight="1" x14ac:dyDescent="0.2">
      <c r="A6" s="3">
        <v>46042.754743611113</v>
      </c>
      <c r="B6" s="4" t="s">
        <v>21</v>
      </c>
      <c r="C6" s="4" t="s">
        <v>22</v>
      </c>
      <c r="D6" s="4" t="s">
        <v>9</v>
      </c>
      <c r="E6" s="4" t="s">
        <v>10</v>
      </c>
      <c r="F6" s="5">
        <v>0.5</v>
      </c>
      <c r="G6" s="4" t="s">
        <v>23</v>
      </c>
    </row>
    <row r="7" spans="1:7" ht="22.5" customHeight="1" x14ac:dyDescent="0.2">
      <c r="A7" s="3">
        <v>46042.746107696759</v>
      </c>
      <c r="B7" s="4" t="s">
        <v>24</v>
      </c>
      <c r="C7" s="4" t="s">
        <v>25</v>
      </c>
      <c r="D7" s="4" t="s">
        <v>26</v>
      </c>
      <c r="E7" s="4" t="s">
        <v>10</v>
      </c>
      <c r="F7" s="5">
        <v>0.25</v>
      </c>
      <c r="G7" s="6" t="s">
        <v>27</v>
      </c>
    </row>
    <row r="8" spans="1:7" ht="22.5" customHeight="1" x14ac:dyDescent="0.2">
      <c r="A8" s="3">
        <v>46042.746482847222</v>
      </c>
      <c r="B8" s="4" t="s">
        <v>28</v>
      </c>
      <c r="C8" s="4" t="s">
        <v>29</v>
      </c>
      <c r="D8" s="4" t="s">
        <v>26</v>
      </c>
      <c r="E8" s="4" t="s">
        <v>10</v>
      </c>
      <c r="F8" s="5">
        <v>0.5</v>
      </c>
      <c r="G8" s="6" t="s">
        <v>30</v>
      </c>
    </row>
    <row r="9" spans="1:7" ht="22.5" customHeight="1" x14ac:dyDescent="0.2">
      <c r="A9" s="3">
        <v>46042.747886076388</v>
      </c>
      <c r="B9" s="4" t="s">
        <v>31</v>
      </c>
      <c r="C9" s="4" t="s">
        <v>32</v>
      </c>
      <c r="D9" s="4" t="s">
        <v>26</v>
      </c>
      <c r="E9" s="4" t="s">
        <v>10</v>
      </c>
      <c r="F9" s="5">
        <v>0.25</v>
      </c>
      <c r="G9" s="6" t="s">
        <v>33</v>
      </c>
    </row>
    <row r="10" spans="1:7" ht="22.5" customHeight="1" x14ac:dyDescent="0.2">
      <c r="A10" s="3">
        <v>46042.752833530089</v>
      </c>
      <c r="B10" s="4" t="s">
        <v>34</v>
      </c>
      <c r="C10" s="4" t="s">
        <v>35</v>
      </c>
      <c r="D10" s="4" t="s">
        <v>26</v>
      </c>
      <c r="E10" s="4" t="s">
        <v>10</v>
      </c>
      <c r="F10" s="4" t="s">
        <v>36</v>
      </c>
      <c r="G10" s="4" t="s">
        <v>37</v>
      </c>
    </row>
    <row r="11" spans="1:7" ht="22.5" customHeight="1" x14ac:dyDescent="0.2">
      <c r="A11" s="3">
        <v>46042.771260868059</v>
      </c>
      <c r="B11" s="4" t="s">
        <v>38</v>
      </c>
      <c r="C11" s="4" t="s">
        <v>39</v>
      </c>
      <c r="D11" s="4" t="s">
        <v>26</v>
      </c>
      <c r="E11" s="4" t="s">
        <v>10</v>
      </c>
      <c r="F11" s="5">
        <v>0.15</v>
      </c>
      <c r="G11" s="4" t="s">
        <v>40</v>
      </c>
    </row>
    <row r="12" spans="1:7" ht="22.5" customHeight="1" x14ac:dyDescent="0.2">
      <c r="A12" s="3">
        <v>46042.790806030098</v>
      </c>
      <c r="B12" s="4" t="s">
        <v>41</v>
      </c>
      <c r="C12" s="4" t="s">
        <v>42</v>
      </c>
      <c r="D12" s="4" t="s">
        <v>26</v>
      </c>
      <c r="E12" s="4" t="s">
        <v>10</v>
      </c>
      <c r="F12" s="5">
        <v>0.5</v>
      </c>
      <c r="G12" s="4" t="s">
        <v>43</v>
      </c>
    </row>
    <row r="13" spans="1:7" ht="22.5" customHeight="1" x14ac:dyDescent="0.2">
      <c r="A13" s="3">
        <v>46042.745769236106</v>
      </c>
      <c r="B13" s="4" t="s">
        <v>44</v>
      </c>
      <c r="C13" s="4" t="s">
        <v>45</v>
      </c>
      <c r="D13" s="4" t="s">
        <v>46</v>
      </c>
      <c r="E13" s="4" t="s">
        <v>10</v>
      </c>
      <c r="F13" s="5">
        <v>0.5</v>
      </c>
      <c r="G13" s="6" t="s">
        <v>47</v>
      </c>
    </row>
    <row r="14" spans="1:7" ht="22.5" customHeight="1" x14ac:dyDescent="0.2">
      <c r="A14" s="3">
        <v>46042.746762789349</v>
      </c>
      <c r="B14" s="4" t="s">
        <v>48</v>
      </c>
      <c r="C14" s="4" t="s">
        <v>49</v>
      </c>
      <c r="D14" s="4" t="s">
        <v>46</v>
      </c>
      <c r="E14" s="4" t="s">
        <v>10</v>
      </c>
      <c r="F14" s="4" t="s">
        <v>50</v>
      </c>
      <c r="G14" s="6" t="s">
        <v>51</v>
      </c>
    </row>
    <row r="15" spans="1:7" ht="22.5" customHeight="1" x14ac:dyDescent="0.2">
      <c r="A15" s="3">
        <v>46042.751746354166</v>
      </c>
      <c r="B15" s="4" t="s">
        <v>52</v>
      </c>
      <c r="C15" s="4" t="s">
        <v>53</v>
      </c>
      <c r="D15" s="4" t="s">
        <v>46</v>
      </c>
      <c r="E15" s="4" t="s">
        <v>10</v>
      </c>
      <c r="F15" s="5">
        <v>0.25</v>
      </c>
      <c r="G15" s="6" t="s">
        <v>54</v>
      </c>
    </row>
    <row r="16" spans="1:7" ht="22.5" customHeight="1" x14ac:dyDescent="0.2">
      <c r="A16" s="3">
        <v>46042.786162638891</v>
      </c>
      <c r="B16" s="4" t="s">
        <v>55</v>
      </c>
      <c r="C16" s="4" t="s">
        <v>56</v>
      </c>
      <c r="D16" s="4" t="s">
        <v>46</v>
      </c>
      <c r="E16" s="4" t="s">
        <v>10</v>
      </c>
      <c r="F16" s="5">
        <v>0.25</v>
      </c>
      <c r="G16" s="4" t="s">
        <v>57</v>
      </c>
    </row>
    <row r="17" spans="1:7" ht="22.5" customHeight="1" x14ac:dyDescent="0.2">
      <c r="A17" s="3">
        <v>46042.746401932869</v>
      </c>
      <c r="B17" s="4" t="s">
        <v>58</v>
      </c>
      <c r="C17" s="4" t="s">
        <v>59</v>
      </c>
      <c r="D17" s="4" t="s">
        <v>60</v>
      </c>
      <c r="E17" s="4" t="s">
        <v>10</v>
      </c>
      <c r="F17" s="5">
        <v>0.5</v>
      </c>
      <c r="G17" s="6" t="s">
        <v>61</v>
      </c>
    </row>
    <row r="18" spans="1:7" ht="22.5" customHeight="1" x14ac:dyDescent="0.2">
      <c r="A18" s="3">
        <v>46042.750946307875</v>
      </c>
      <c r="B18" s="4" t="s">
        <v>62</v>
      </c>
      <c r="C18" s="4" t="s">
        <v>63</v>
      </c>
      <c r="D18" s="4" t="s">
        <v>60</v>
      </c>
      <c r="E18" s="4" t="s">
        <v>10</v>
      </c>
      <c r="F18" s="5">
        <v>0.5</v>
      </c>
      <c r="G18" s="6" t="s">
        <v>64</v>
      </c>
    </row>
    <row r="19" spans="1:7" ht="22.5" customHeight="1" x14ac:dyDescent="0.2">
      <c r="A19" s="3">
        <v>46042.752673726849</v>
      </c>
      <c r="B19" s="4" t="s">
        <v>65</v>
      </c>
      <c r="C19" s="4" t="s">
        <v>66</v>
      </c>
      <c r="D19" s="4" t="s">
        <v>60</v>
      </c>
      <c r="E19" s="4" t="s">
        <v>10</v>
      </c>
      <c r="F19" s="5">
        <v>0.25</v>
      </c>
      <c r="G19" s="4" t="s">
        <v>67</v>
      </c>
    </row>
    <row r="20" spans="1:7" ht="22.5" customHeight="1" x14ac:dyDescent="0.2">
      <c r="A20" s="3">
        <v>46042.754262453702</v>
      </c>
      <c r="B20" s="4" t="s">
        <v>68</v>
      </c>
      <c r="C20" s="4" t="s">
        <v>69</v>
      </c>
      <c r="D20" s="4" t="s">
        <v>60</v>
      </c>
      <c r="E20" s="4" t="s">
        <v>10</v>
      </c>
      <c r="F20" s="5">
        <v>0.25</v>
      </c>
      <c r="G20" s="4" t="s">
        <v>70</v>
      </c>
    </row>
    <row r="21" spans="1:7" ht="22.5" customHeight="1" x14ac:dyDescent="0.2">
      <c r="A21" s="3">
        <v>46042.76016391204</v>
      </c>
      <c r="B21" s="4" t="s">
        <v>71</v>
      </c>
      <c r="C21" s="4" t="s">
        <v>72</v>
      </c>
      <c r="D21" s="4" t="s">
        <v>60</v>
      </c>
      <c r="E21" s="4" t="s">
        <v>10</v>
      </c>
      <c r="F21" s="5">
        <v>0.25</v>
      </c>
      <c r="G21" s="4" t="s">
        <v>73</v>
      </c>
    </row>
    <row r="22" spans="1:7" ht="22.5" customHeight="1" x14ac:dyDescent="0.2">
      <c r="A22" s="3">
        <v>46042.746824861111</v>
      </c>
      <c r="B22" s="4" t="s">
        <v>74</v>
      </c>
      <c r="C22" s="4" t="s">
        <v>75</v>
      </c>
      <c r="D22" s="4" t="s">
        <v>76</v>
      </c>
      <c r="E22" s="4" t="s">
        <v>10</v>
      </c>
      <c r="F22" s="5">
        <v>0.5</v>
      </c>
      <c r="G22" s="6" t="s">
        <v>77</v>
      </c>
    </row>
    <row r="23" spans="1:7" ht="22.5" customHeight="1" x14ac:dyDescent="0.2">
      <c r="A23" s="3">
        <v>46042.750130868051</v>
      </c>
      <c r="B23" s="4" t="s">
        <v>78</v>
      </c>
      <c r="C23" s="4" t="s">
        <v>79</v>
      </c>
      <c r="D23" s="4" t="s">
        <v>76</v>
      </c>
      <c r="E23" s="4" t="s">
        <v>10</v>
      </c>
      <c r="F23" s="4" t="s">
        <v>80</v>
      </c>
      <c r="G23" s="6" t="s">
        <v>81</v>
      </c>
    </row>
    <row r="24" spans="1:7" ht="22.5" customHeight="1" x14ac:dyDescent="0.2">
      <c r="A24" s="3">
        <v>46042.759382129632</v>
      </c>
      <c r="B24" s="4" t="s">
        <v>82</v>
      </c>
      <c r="C24" s="4" t="s">
        <v>83</v>
      </c>
      <c r="D24" s="4" t="s">
        <v>76</v>
      </c>
      <c r="E24" s="4" t="s">
        <v>10</v>
      </c>
      <c r="F24" s="5">
        <v>1</v>
      </c>
      <c r="G24" s="4" t="s">
        <v>84</v>
      </c>
    </row>
    <row r="25" spans="1:7" ht="22.5" customHeight="1" x14ac:dyDescent="0.2">
      <c r="A25" s="3">
        <v>46042.745894780091</v>
      </c>
      <c r="B25" s="4" t="s">
        <v>85</v>
      </c>
      <c r="C25" s="4" t="s">
        <v>86</v>
      </c>
      <c r="D25" s="4" t="s">
        <v>87</v>
      </c>
      <c r="E25" s="4" t="s">
        <v>10</v>
      </c>
      <c r="F25" s="4" t="s">
        <v>88</v>
      </c>
      <c r="G25" s="6" t="s">
        <v>89</v>
      </c>
    </row>
    <row r="26" spans="1:7" ht="22.5" customHeight="1" x14ac:dyDescent="0.2">
      <c r="A26" s="3">
        <v>46042.746456226851</v>
      </c>
      <c r="B26" s="4" t="s">
        <v>90</v>
      </c>
      <c r="C26" s="4" t="s">
        <v>91</v>
      </c>
      <c r="D26" s="4" t="s">
        <v>87</v>
      </c>
      <c r="E26" s="4" t="s">
        <v>10</v>
      </c>
      <c r="F26" s="5">
        <v>0.25</v>
      </c>
      <c r="G26" s="6" t="s">
        <v>92</v>
      </c>
    </row>
    <row r="27" spans="1:7" ht="22.5" customHeight="1" x14ac:dyDescent="0.2">
      <c r="A27" s="3">
        <v>46042.746498865745</v>
      </c>
      <c r="B27" s="4" t="s">
        <v>93</v>
      </c>
      <c r="C27" s="4" t="s">
        <v>94</v>
      </c>
      <c r="D27" s="4" t="s">
        <v>87</v>
      </c>
      <c r="E27" s="4" t="s">
        <v>10</v>
      </c>
      <c r="F27" s="5">
        <v>0.25</v>
      </c>
      <c r="G27" s="6" t="s">
        <v>95</v>
      </c>
    </row>
    <row r="28" spans="1:7" ht="22.5" customHeight="1" x14ac:dyDescent="0.2">
      <c r="A28" s="3">
        <v>46042.746619965277</v>
      </c>
      <c r="B28" s="4" t="s">
        <v>96</v>
      </c>
      <c r="C28" s="4" t="s">
        <v>97</v>
      </c>
      <c r="D28" s="4" t="s">
        <v>87</v>
      </c>
      <c r="E28" s="4" t="s">
        <v>10</v>
      </c>
      <c r="F28" s="5">
        <v>0.25</v>
      </c>
      <c r="G28" s="6" t="s">
        <v>98</v>
      </c>
    </row>
    <row r="29" spans="1:7" ht="22.5" customHeight="1" x14ac:dyDescent="0.2">
      <c r="A29" s="3">
        <v>46042.747053321757</v>
      </c>
      <c r="B29" s="4" t="s">
        <v>99</v>
      </c>
      <c r="C29" s="4" t="s">
        <v>100</v>
      </c>
      <c r="D29" s="4" t="s">
        <v>87</v>
      </c>
      <c r="E29" s="4" t="s">
        <v>10</v>
      </c>
      <c r="F29" s="5">
        <v>0.5</v>
      </c>
      <c r="G29" s="6" t="s">
        <v>101</v>
      </c>
    </row>
    <row r="30" spans="1:7" ht="22.5" customHeight="1" x14ac:dyDescent="0.2">
      <c r="A30" s="3">
        <v>46042.74751350694</v>
      </c>
      <c r="B30" s="4" t="s">
        <v>102</v>
      </c>
      <c r="C30" s="4" t="s">
        <v>103</v>
      </c>
      <c r="D30" s="4" t="s">
        <v>104</v>
      </c>
      <c r="E30" s="4" t="s">
        <v>10</v>
      </c>
      <c r="F30" s="5">
        <v>0.25</v>
      </c>
      <c r="G30" s="6" t="s">
        <v>105</v>
      </c>
    </row>
    <row r="31" spans="1:7" ht="22.5" customHeight="1" x14ac:dyDescent="0.2">
      <c r="A31" s="3">
        <v>46042.74866646991</v>
      </c>
      <c r="B31" s="4" t="s">
        <v>106</v>
      </c>
      <c r="C31" s="4" t="s">
        <v>107</v>
      </c>
      <c r="D31" s="4" t="s">
        <v>104</v>
      </c>
      <c r="E31" s="4" t="s">
        <v>10</v>
      </c>
      <c r="F31" s="5">
        <v>0.5</v>
      </c>
      <c r="G31" s="6" t="s">
        <v>108</v>
      </c>
    </row>
    <row r="32" spans="1:7" ht="22.5" customHeight="1" x14ac:dyDescent="0.2">
      <c r="A32" s="3">
        <v>46042.750689780092</v>
      </c>
      <c r="B32" s="4" t="s">
        <v>109</v>
      </c>
      <c r="C32" s="4" t="s">
        <v>110</v>
      </c>
      <c r="D32" s="4" t="s">
        <v>104</v>
      </c>
      <c r="E32" s="4" t="s">
        <v>10</v>
      </c>
      <c r="F32" s="5">
        <v>1</v>
      </c>
      <c r="G32" s="6" t="s">
        <v>111</v>
      </c>
    </row>
    <row r="33" spans="1:7" ht="22.5" customHeight="1" x14ac:dyDescent="0.2">
      <c r="A33" s="3">
        <v>46042.753659571754</v>
      </c>
      <c r="B33" s="4" t="s">
        <v>112</v>
      </c>
      <c r="C33" s="4" t="s">
        <v>113</v>
      </c>
      <c r="D33" s="4" t="s">
        <v>104</v>
      </c>
      <c r="E33" s="4" t="s">
        <v>10</v>
      </c>
      <c r="F33" s="5">
        <v>0.25</v>
      </c>
      <c r="G33" s="4" t="s">
        <v>114</v>
      </c>
    </row>
    <row r="34" spans="1:7" ht="22.5" customHeight="1" x14ac:dyDescent="0.2">
      <c r="A34" s="3">
        <v>46042.745797233802</v>
      </c>
      <c r="B34" s="4" t="s">
        <v>115</v>
      </c>
      <c r="C34" s="4" t="s">
        <v>116</v>
      </c>
      <c r="D34" s="4" t="s">
        <v>117</v>
      </c>
      <c r="E34" s="4" t="s">
        <v>10</v>
      </c>
      <c r="F34" s="5">
        <v>0.1</v>
      </c>
      <c r="G34" s="6" t="s">
        <v>118</v>
      </c>
    </row>
    <row r="35" spans="1:7" ht="22.5" customHeight="1" x14ac:dyDescent="0.2">
      <c r="A35" s="3">
        <v>46042.746336863427</v>
      </c>
      <c r="B35" s="4" t="s">
        <v>119</v>
      </c>
      <c r="C35" s="4" t="s">
        <v>120</v>
      </c>
      <c r="D35" s="4" t="s">
        <v>117</v>
      </c>
      <c r="E35" s="4" t="s">
        <v>10</v>
      </c>
      <c r="F35" s="5">
        <v>0.25</v>
      </c>
      <c r="G35" s="6" t="s">
        <v>121</v>
      </c>
    </row>
    <row r="36" spans="1:7" ht="22.5" customHeight="1" x14ac:dyDescent="0.2">
      <c r="A36" s="3">
        <v>46042.74683103009</v>
      </c>
      <c r="B36" s="4" t="s">
        <v>122</v>
      </c>
      <c r="C36" s="4" t="s">
        <v>123</v>
      </c>
      <c r="D36" s="4" t="s">
        <v>117</v>
      </c>
      <c r="E36" s="4" t="s">
        <v>10</v>
      </c>
      <c r="F36" s="5">
        <v>0.25</v>
      </c>
      <c r="G36" s="6" t="s">
        <v>124</v>
      </c>
    </row>
    <row r="37" spans="1:7" ht="22.5" customHeight="1" x14ac:dyDescent="0.2">
      <c r="A37" s="3">
        <v>46042.746882129628</v>
      </c>
      <c r="B37" s="4" t="s">
        <v>125</v>
      </c>
      <c r="C37" s="4" t="s">
        <v>126</v>
      </c>
      <c r="D37" s="4" t="s">
        <v>117</v>
      </c>
      <c r="E37" s="4" t="s">
        <v>10</v>
      </c>
      <c r="F37" s="5">
        <v>0.1</v>
      </c>
      <c r="G37" s="6" t="s">
        <v>127</v>
      </c>
    </row>
    <row r="38" spans="1:7" ht="22.5" customHeight="1" x14ac:dyDescent="0.2">
      <c r="A38" s="3">
        <v>46042.750831412035</v>
      </c>
      <c r="B38" s="4" t="s">
        <v>128</v>
      </c>
      <c r="C38" s="4" t="s">
        <v>129</v>
      </c>
      <c r="D38" s="4" t="s">
        <v>117</v>
      </c>
      <c r="E38" s="4" t="s">
        <v>10</v>
      </c>
      <c r="F38" s="5">
        <v>0.25</v>
      </c>
      <c r="G38" s="6" t="s">
        <v>130</v>
      </c>
    </row>
    <row r="39" spans="1:7" ht="22.5" customHeight="1" x14ac:dyDescent="0.2">
      <c r="A39" s="3">
        <v>46042.746213645834</v>
      </c>
      <c r="B39" s="4" t="s">
        <v>131</v>
      </c>
      <c r="C39" s="4" t="s">
        <v>132</v>
      </c>
      <c r="D39" s="4" t="s">
        <v>133</v>
      </c>
      <c r="E39" s="4" t="s">
        <v>10</v>
      </c>
      <c r="F39" s="5">
        <v>0.5</v>
      </c>
      <c r="G39" s="6" t="s">
        <v>134</v>
      </c>
    </row>
    <row r="40" spans="1:7" ht="22.5" customHeight="1" x14ac:dyDescent="0.2">
      <c r="A40" s="3">
        <v>46042.748259074069</v>
      </c>
      <c r="B40" s="4" t="s">
        <v>135</v>
      </c>
      <c r="C40" s="4" t="s">
        <v>136</v>
      </c>
      <c r="D40" s="4" t="s">
        <v>133</v>
      </c>
      <c r="E40" s="4" t="s">
        <v>10</v>
      </c>
      <c r="F40" s="5">
        <v>0.25</v>
      </c>
      <c r="G40" s="6" t="s">
        <v>137</v>
      </c>
    </row>
    <row r="41" spans="1:7" ht="22.5" customHeight="1" x14ac:dyDescent="0.2">
      <c r="A41" s="3">
        <v>46042.750469097227</v>
      </c>
      <c r="B41" s="4" t="s">
        <v>138</v>
      </c>
      <c r="C41" s="4" t="s">
        <v>139</v>
      </c>
      <c r="D41" s="4" t="s">
        <v>133</v>
      </c>
      <c r="E41" s="4" t="s">
        <v>10</v>
      </c>
      <c r="F41" s="5">
        <v>0.25</v>
      </c>
      <c r="G41" s="6" t="s">
        <v>140</v>
      </c>
    </row>
    <row r="42" spans="1:7" ht="22.5" customHeight="1" x14ac:dyDescent="0.2">
      <c r="A42" s="3">
        <v>46042.75345311343</v>
      </c>
      <c r="B42" s="4" t="s">
        <v>141</v>
      </c>
      <c r="C42" s="4" t="s">
        <v>142</v>
      </c>
      <c r="D42" s="4" t="s">
        <v>133</v>
      </c>
      <c r="E42" s="4" t="s">
        <v>10</v>
      </c>
      <c r="F42" s="5">
        <v>0.25</v>
      </c>
      <c r="G42" s="4" t="s">
        <v>143</v>
      </c>
    </row>
    <row r="43" spans="1:7" ht="22.5" customHeight="1" x14ac:dyDescent="0.2">
      <c r="A43" s="3">
        <v>46042.763209189812</v>
      </c>
      <c r="B43" s="4" t="s">
        <v>144</v>
      </c>
      <c r="C43" s="4" t="s">
        <v>145</v>
      </c>
      <c r="D43" s="4" t="s">
        <v>133</v>
      </c>
      <c r="E43" s="4" t="s">
        <v>10</v>
      </c>
      <c r="F43" s="5">
        <v>0.25</v>
      </c>
      <c r="G43" s="4" t="s">
        <v>146</v>
      </c>
    </row>
    <row r="44" spans="1:7" ht="22.5" customHeight="1" x14ac:dyDescent="0.2">
      <c r="A44" s="3">
        <v>46042.873230868056</v>
      </c>
      <c r="B44" s="4" t="s">
        <v>147</v>
      </c>
      <c r="C44" s="4" t="s">
        <v>148</v>
      </c>
      <c r="D44" s="4" t="s">
        <v>133</v>
      </c>
      <c r="E44" s="4" t="s">
        <v>10</v>
      </c>
      <c r="F44" s="5">
        <v>0.25</v>
      </c>
      <c r="G44" s="4" t="s">
        <v>149</v>
      </c>
    </row>
    <row r="45" spans="1:7" ht="22.5" customHeight="1" x14ac:dyDescent="0.2">
      <c r="A45" s="3">
        <v>46042.745531921297</v>
      </c>
      <c r="B45" s="4" t="s">
        <v>150</v>
      </c>
      <c r="C45" s="4" t="s">
        <v>151</v>
      </c>
      <c r="D45" s="4" t="s">
        <v>152</v>
      </c>
      <c r="E45" s="4" t="s">
        <v>10</v>
      </c>
      <c r="F45" s="5">
        <v>0.5</v>
      </c>
      <c r="G45" s="6" t="s">
        <v>153</v>
      </c>
    </row>
    <row r="46" spans="1:7" ht="22.5" customHeight="1" x14ac:dyDescent="0.2">
      <c r="A46" s="3">
        <v>46042.74612423611</v>
      </c>
      <c r="B46" s="4" t="s">
        <v>154</v>
      </c>
      <c r="C46" s="4" t="s">
        <v>155</v>
      </c>
      <c r="D46" s="4" t="s">
        <v>152</v>
      </c>
      <c r="E46" s="4" t="s">
        <v>10</v>
      </c>
      <c r="F46" s="5">
        <v>0.5</v>
      </c>
      <c r="G46" s="6" t="s">
        <v>156</v>
      </c>
    </row>
    <row r="47" spans="1:7" ht="22.5" customHeight="1" x14ac:dyDescent="0.2">
      <c r="A47" s="3">
        <v>46042.746948831016</v>
      </c>
      <c r="B47" s="4" t="s">
        <v>157</v>
      </c>
      <c r="C47" s="4" t="s">
        <v>158</v>
      </c>
      <c r="D47" s="4" t="s">
        <v>152</v>
      </c>
      <c r="E47" s="4" t="s">
        <v>10</v>
      </c>
      <c r="F47" s="5">
        <v>0.75</v>
      </c>
      <c r="G47" s="6" t="s">
        <v>159</v>
      </c>
    </row>
    <row r="48" spans="1:7" ht="22.5" customHeight="1" x14ac:dyDescent="0.2">
      <c r="A48" s="3">
        <v>46042.748143854165</v>
      </c>
      <c r="B48" s="4" t="s">
        <v>160</v>
      </c>
      <c r="C48" s="4" t="s">
        <v>161</v>
      </c>
      <c r="D48" s="4" t="s">
        <v>152</v>
      </c>
      <c r="E48" s="4" t="s">
        <v>10</v>
      </c>
      <c r="F48" s="5">
        <v>0.75</v>
      </c>
      <c r="G48" s="6" t="s">
        <v>162</v>
      </c>
    </row>
    <row r="49" spans="1:7" ht="22.5" customHeight="1" x14ac:dyDescent="0.2">
      <c r="A49" s="3">
        <v>46042.746708217594</v>
      </c>
      <c r="B49" s="4" t="s">
        <v>163</v>
      </c>
      <c r="C49" s="4" t="s">
        <v>164</v>
      </c>
      <c r="D49" s="4" t="s">
        <v>165</v>
      </c>
      <c r="E49" s="4" t="s">
        <v>10</v>
      </c>
      <c r="F49" s="5">
        <v>0.75</v>
      </c>
      <c r="G49" s="6" t="s">
        <v>166</v>
      </c>
    </row>
    <row r="50" spans="1:7" ht="22.5" customHeight="1" x14ac:dyDescent="0.2">
      <c r="A50" s="3">
        <v>46042.748258703708</v>
      </c>
      <c r="B50" s="4" t="s">
        <v>167</v>
      </c>
      <c r="C50" s="4" t="s">
        <v>168</v>
      </c>
      <c r="D50" s="4" t="s">
        <v>165</v>
      </c>
      <c r="E50" s="4" t="s">
        <v>10</v>
      </c>
      <c r="F50" s="5">
        <v>0.25</v>
      </c>
      <c r="G50" s="6" t="s">
        <v>169</v>
      </c>
    </row>
    <row r="51" spans="1:7" ht="22.5" customHeight="1" x14ac:dyDescent="0.2">
      <c r="A51" s="3">
        <v>46042.758249594903</v>
      </c>
      <c r="B51" s="4" t="s">
        <v>170</v>
      </c>
      <c r="C51" s="4" t="s">
        <v>171</v>
      </c>
      <c r="D51" s="4" t="s">
        <v>165</v>
      </c>
      <c r="E51" s="4" t="s">
        <v>10</v>
      </c>
      <c r="F51" s="4" t="s">
        <v>172</v>
      </c>
      <c r="G51" s="4" t="s">
        <v>173</v>
      </c>
    </row>
    <row r="52" spans="1:7" ht="22.5" customHeight="1" x14ac:dyDescent="0.2">
      <c r="A52" s="3">
        <v>46042.747082407412</v>
      </c>
      <c r="B52" s="4" t="s">
        <v>174</v>
      </c>
      <c r="C52" s="4" t="s">
        <v>175</v>
      </c>
      <c r="D52" s="4" t="s">
        <v>176</v>
      </c>
      <c r="E52" s="4" t="s">
        <v>10</v>
      </c>
      <c r="F52" s="4" t="s">
        <v>177</v>
      </c>
      <c r="G52" s="6" t="s">
        <v>178</v>
      </c>
    </row>
    <row r="53" spans="1:7" ht="22.5" customHeight="1" x14ac:dyDescent="0.2">
      <c r="A53" s="3">
        <v>46042.751693321756</v>
      </c>
      <c r="B53" s="4" t="s">
        <v>179</v>
      </c>
      <c r="C53" s="4" t="s">
        <v>180</v>
      </c>
      <c r="D53" s="4" t="s">
        <v>176</v>
      </c>
      <c r="E53" s="4" t="s">
        <v>10</v>
      </c>
      <c r="F53" s="4" t="s">
        <v>181</v>
      </c>
      <c r="G53" s="6" t="s">
        <v>182</v>
      </c>
    </row>
    <row r="54" spans="1:7" ht="22.5" customHeight="1" x14ac:dyDescent="0.2">
      <c r="A54" s="3">
        <v>46042.752086608802</v>
      </c>
      <c r="B54" s="4" t="s">
        <v>183</v>
      </c>
      <c r="C54" s="4" t="s">
        <v>184</v>
      </c>
      <c r="D54" s="4" t="s">
        <v>176</v>
      </c>
      <c r="E54" s="4" t="s">
        <v>10</v>
      </c>
      <c r="F54" s="4" t="s">
        <v>185</v>
      </c>
      <c r="G54" s="6" t="s">
        <v>186</v>
      </c>
    </row>
    <row r="55" spans="1:7" ht="22.5" customHeight="1" x14ac:dyDescent="0.2">
      <c r="A55" s="3">
        <v>46042.752450069442</v>
      </c>
      <c r="B55" s="4" t="s">
        <v>187</v>
      </c>
      <c r="C55" s="4" t="s">
        <v>188</v>
      </c>
      <c r="D55" s="4" t="s">
        <v>176</v>
      </c>
      <c r="E55" s="4" t="s">
        <v>10</v>
      </c>
      <c r="F55" s="4" t="s">
        <v>189</v>
      </c>
      <c r="G55" s="6" t="s">
        <v>190</v>
      </c>
    </row>
    <row r="56" spans="1:7" ht="22.5" customHeight="1" x14ac:dyDescent="0.2">
      <c r="A56" s="3">
        <v>46042.755023287042</v>
      </c>
      <c r="B56" s="4" t="s">
        <v>191</v>
      </c>
      <c r="C56" s="4" t="s">
        <v>192</v>
      </c>
      <c r="D56" s="4" t="s">
        <v>176</v>
      </c>
      <c r="E56" s="4" t="s">
        <v>10</v>
      </c>
      <c r="F56" s="5">
        <v>0.25</v>
      </c>
      <c r="G56" s="4" t="s">
        <v>193</v>
      </c>
    </row>
    <row r="57" spans="1:7" ht="22.5" customHeight="1" x14ac:dyDescent="0.2">
      <c r="A57" s="3">
        <v>46042.74608109954</v>
      </c>
      <c r="B57" s="4" t="s">
        <v>194</v>
      </c>
      <c r="C57" s="4" t="s">
        <v>195</v>
      </c>
      <c r="D57" s="4" t="s">
        <v>196</v>
      </c>
      <c r="E57" s="4" t="s">
        <v>10</v>
      </c>
      <c r="F57" s="5">
        <v>0.1</v>
      </c>
      <c r="G57" s="6" t="s">
        <v>197</v>
      </c>
    </row>
    <row r="58" spans="1:7" ht="22.5" customHeight="1" x14ac:dyDescent="0.2">
      <c r="A58" s="3">
        <v>46042.747772152783</v>
      </c>
      <c r="B58" s="4" t="s">
        <v>198</v>
      </c>
      <c r="C58" s="4" t="s">
        <v>199</v>
      </c>
      <c r="D58" s="4" t="s">
        <v>196</v>
      </c>
      <c r="E58" s="4" t="s">
        <v>10</v>
      </c>
      <c r="F58" s="5">
        <v>0.5</v>
      </c>
      <c r="G58" s="6" t="s">
        <v>200</v>
      </c>
    </row>
    <row r="59" spans="1:7" ht="22.5" customHeight="1" x14ac:dyDescent="0.2">
      <c r="A59" s="3">
        <v>46042.752693263887</v>
      </c>
      <c r="B59" s="4" t="s">
        <v>201</v>
      </c>
      <c r="C59" s="4" t="s">
        <v>202</v>
      </c>
      <c r="D59" s="4" t="s">
        <v>196</v>
      </c>
      <c r="E59" s="4" t="s">
        <v>10</v>
      </c>
      <c r="F59" s="5">
        <v>0.25</v>
      </c>
      <c r="G59" s="4" t="s">
        <v>203</v>
      </c>
    </row>
    <row r="60" spans="1:7" ht="22.5" customHeight="1" x14ac:dyDescent="0.2">
      <c r="A60" s="3">
        <v>46042.75367421296</v>
      </c>
      <c r="B60" s="4" t="s">
        <v>204</v>
      </c>
      <c r="C60" s="4" t="s">
        <v>205</v>
      </c>
      <c r="D60" s="4" t="s">
        <v>196</v>
      </c>
      <c r="E60" s="4" t="s">
        <v>10</v>
      </c>
      <c r="F60" s="5">
        <v>0.25</v>
      </c>
      <c r="G60" s="4" t="s">
        <v>206</v>
      </c>
    </row>
    <row r="61" spans="1:7" ht="22.5" customHeight="1" x14ac:dyDescent="0.2">
      <c r="A61" s="3">
        <v>46042.770826527776</v>
      </c>
      <c r="B61" s="4" t="s">
        <v>207</v>
      </c>
      <c r="C61" s="4" t="s">
        <v>208</v>
      </c>
      <c r="D61" s="4" t="s">
        <v>196</v>
      </c>
      <c r="E61" s="4" t="s">
        <v>10</v>
      </c>
      <c r="F61" s="5">
        <v>0.25</v>
      </c>
      <c r="G61" s="4" t="s">
        <v>209</v>
      </c>
    </row>
    <row r="62" spans="1:7" ht="22.5" customHeight="1" x14ac:dyDescent="0.2">
      <c r="A62" s="3">
        <v>46042.745612430561</v>
      </c>
      <c r="B62" s="4" t="s">
        <v>210</v>
      </c>
      <c r="C62" s="4" t="s">
        <v>211</v>
      </c>
      <c r="D62" s="4" t="s">
        <v>212</v>
      </c>
      <c r="E62" s="4" t="s">
        <v>10</v>
      </c>
      <c r="F62" s="5">
        <v>0.25</v>
      </c>
      <c r="G62" s="6" t="s">
        <v>213</v>
      </c>
    </row>
    <row r="63" spans="1:7" ht="22.5" customHeight="1" x14ac:dyDescent="0.2">
      <c r="A63" s="3">
        <v>46042.746219594905</v>
      </c>
      <c r="B63" s="4" t="s">
        <v>214</v>
      </c>
      <c r="C63" s="4" t="s">
        <v>215</v>
      </c>
      <c r="D63" s="4" t="s">
        <v>212</v>
      </c>
      <c r="E63" s="4" t="s">
        <v>10</v>
      </c>
      <c r="F63" s="5">
        <v>0.25</v>
      </c>
      <c r="G63" s="6" t="s">
        <v>216</v>
      </c>
    </row>
    <row r="64" spans="1:7" ht="22.5" customHeight="1" x14ac:dyDescent="0.2">
      <c r="A64" s="3">
        <v>46042.750005011578</v>
      </c>
      <c r="B64" s="4" t="s">
        <v>217</v>
      </c>
      <c r="C64" s="4" t="s">
        <v>218</v>
      </c>
      <c r="D64" s="4" t="s">
        <v>212</v>
      </c>
      <c r="E64" s="4" t="s">
        <v>10</v>
      </c>
      <c r="F64" s="5">
        <v>0.25</v>
      </c>
      <c r="G64" s="6" t="s">
        <v>219</v>
      </c>
    </row>
    <row r="65" spans="1:7" ht="22.5" customHeight="1" x14ac:dyDescent="0.2">
      <c r="A65" s="3">
        <v>46042.759420497685</v>
      </c>
      <c r="B65" s="4" t="s">
        <v>220</v>
      </c>
      <c r="C65" s="4" t="s">
        <v>221</v>
      </c>
      <c r="D65" s="4" t="s">
        <v>212</v>
      </c>
      <c r="E65" s="4" t="s">
        <v>10</v>
      </c>
      <c r="F65" s="5">
        <v>0.5</v>
      </c>
      <c r="G65" s="4" t="s">
        <v>222</v>
      </c>
    </row>
    <row r="66" spans="1:7" ht="22.5" customHeight="1" x14ac:dyDescent="0.2">
      <c r="A66" s="3">
        <v>46042.760087719907</v>
      </c>
      <c r="B66" s="4" t="s">
        <v>223</v>
      </c>
      <c r="C66" s="4" t="s">
        <v>224</v>
      </c>
      <c r="D66" s="4" t="s">
        <v>212</v>
      </c>
      <c r="E66" s="4" t="s">
        <v>10</v>
      </c>
      <c r="F66" s="5">
        <v>0.25</v>
      </c>
      <c r="G66" s="4" t="s">
        <v>225</v>
      </c>
    </row>
    <row r="67" spans="1:7" ht="22.5" customHeight="1" x14ac:dyDescent="0.2">
      <c r="A67" s="3">
        <v>46042.746000104162</v>
      </c>
      <c r="B67" s="4" t="s">
        <v>226</v>
      </c>
      <c r="C67" s="4" t="s">
        <v>227</v>
      </c>
      <c r="D67" s="4" t="s">
        <v>228</v>
      </c>
      <c r="E67" s="4" t="s">
        <v>10</v>
      </c>
      <c r="F67" s="5">
        <v>0.25</v>
      </c>
      <c r="G67" s="6" t="s">
        <v>229</v>
      </c>
    </row>
    <row r="68" spans="1:7" ht="22.5" customHeight="1" x14ac:dyDescent="0.2">
      <c r="A68" s="3">
        <v>46042.746504733797</v>
      </c>
      <c r="B68" s="4" t="s">
        <v>230</v>
      </c>
      <c r="C68" s="4" t="s">
        <v>231</v>
      </c>
      <c r="D68" s="4" t="s">
        <v>228</v>
      </c>
      <c r="E68" s="4" t="s">
        <v>10</v>
      </c>
      <c r="F68" s="5">
        <v>0.75</v>
      </c>
      <c r="G68" s="6" t="s">
        <v>232</v>
      </c>
    </row>
    <row r="69" spans="1:7" ht="22.5" customHeight="1" x14ac:dyDescent="0.2">
      <c r="A69" s="3">
        <v>46042.746698946758</v>
      </c>
      <c r="B69" s="4" t="s">
        <v>233</v>
      </c>
      <c r="C69" s="4" t="s">
        <v>234</v>
      </c>
      <c r="D69" s="4" t="s">
        <v>228</v>
      </c>
      <c r="E69" s="4" t="s">
        <v>10</v>
      </c>
      <c r="F69" s="5">
        <v>0.5</v>
      </c>
      <c r="G69" s="6" t="s">
        <v>235</v>
      </c>
    </row>
    <row r="70" spans="1:7" ht="22.5" customHeight="1" x14ac:dyDescent="0.2">
      <c r="A70" s="3">
        <v>46042.747085729163</v>
      </c>
      <c r="B70" s="4" t="s">
        <v>236</v>
      </c>
      <c r="C70" s="4" t="s">
        <v>237</v>
      </c>
      <c r="D70" s="4" t="s">
        <v>228</v>
      </c>
      <c r="E70" s="4" t="s">
        <v>10</v>
      </c>
      <c r="F70" s="5">
        <v>0.25</v>
      </c>
      <c r="G70" s="6" t="s">
        <v>238</v>
      </c>
    </row>
    <row r="71" spans="1:7" ht="22.5" customHeight="1" x14ac:dyDescent="0.2">
      <c r="A71" s="3">
        <v>46042.747873761575</v>
      </c>
      <c r="B71" s="4" t="s">
        <v>230</v>
      </c>
      <c r="C71" s="4" t="s">
        <v>231</v>
      </c>
      <c r="D71" s="4" t="s">
        <v>228</v>
      </c>
      <c r="E71" s="4" t="s">
        <v>10</v>
      </c>
      <c r="F71" s="5">
        <v>0.5</v>
      </c>
      <c r="G71" s="6" t="s">
        <v>239</v>
      </c>
    </row>
    <row r="72" spans="1:7" ht="22.5" customHeight="1" x14ac:dyDescent="0.2">
      <c r="A72" s="3">
        <v>46042.748366412037</v>
      </c>
      <c r="B72" s="4" t="s">
        <v>240</v>
      </c>
      <c r="C72" s="4" t="s">
        <v>241</v>
      </c>
      <c r="D72" s="4" t="s">
        <v>228</v>
      </c>
      <c r="E72" s="4" t="s">
        <v>10</v>
      </c>
      <c r="F72" s="5">
        <v>0.5</v>
      </c>
      <c r="G72" s="6" t="s">
        <v>242</v>
      </c>
    </row>
    <row r="73" spans="1:7" ht="22.5" customHeight="1" x14ac:dyDescent="0.2">
      <c r="A73" s="7">
        <v>46042.931066701392</v>
      </c>
      <c r="B73" s="8" t="s">
        <v>243</v>
      </c>
      <c r="C73" s="8" t="s">
        <v>244</v>
      </c>
      <c r="D73" s="8" t="s">
        <v>165</v>
      </c>
      <c r="E73" s="8" t="s">
        <v>10</v>
      </c>
      <c r="F73" s="9">
        <v>0.75</v>
      </c>
      <c r="G73" s="8" t="s">
        <v>245</v>
      </c>
    </row>
    <row r="74" spans="1:7" ht="22.5" customHeight="1" x14ac:dyDescent="0.2">
      <c r="A74" s="7">
        <v>46042.984056157409</v>
      </c>
      <c r="B74" s="8" t="s">
        <v>246</v>
      </c>
      <c r="C74" s="8" t="s">
        <v>247</v>
      </c>
      <c r="D74" s="8" t="s">
        <v>104</v>
      </c>
      <c r="E74" s="8" t="s">
        <v>10</v>
      </c>
      <c r="F74" s="9">
        <v>0.5</v>
      </c>
      <c r="G74" s="8" t="s">
        <v>248</v>
      </c>
    </row>
    <row r="75" spans="1:7" ht="22.5" customHeight="1" x14ac:dyDescent="0.2">
      <c r="A75" s="7">
        <v>46042.992568969908</v>
      </c>
      <c r="B75" s="8" t="s">
        <v>249</v>
      </c>
      <c r="C75" s="8" t="s">
        <v>250</v>
      </c>
      <c r="D75" s="8" t="s">
        <v>117</v>
      </c>
      <c r="E75" s="8" t="s">
        <v>10</v>
      </c>
      <c r="F75" s="9">
        <v>0.25</v>
      </c>
      <c r="G75" s="8" t="s">
        <v>251</v>
      </c>
    </row>
    <row r="76" spans="1:7" ht="22.5" customHeight="1" x14ac:dyDescent="0.2">
      <c r="A76" s="7">
        <v>46043.404341805552</v>
      </c>
      <c r="B76" s="8" t="s">
        <v>252</v>
      </c>
      <c r="C76" s="8" t="s">
        <v>253</v>
      </c>
      <c r="D76" s="8" t="s">
        <v>165</v>
      </c>
      <c r="E76" s="8" t="s">
        <v>10</v>
      </c>
      <c r="F76" s="9">
        <v>0.5</v>
      </c>
      <c r="G76" s="8" t="s">
        <v>254</v>
      </c>
    </row>
    <row r="77" spans="1:7" ht="22.5" customHeight="1" x14ac:dyDescent="0.2">
      <c r="A77" s="7">
        <v>46043.699873020829</v>
      </c>
      <c r="B77" s="8" t="s">
        <v>255</v>
      </c>
      <c r="C77" s="8" t="s">
        <v>256</v>
      </c>
      <c r="D77" s="8" t="s">
        <v>76</v>
      </c>
      <c r="E77" s="8" t="s">
        <v>10</v>
      </c>
      <c r="F77" s="9">
        <v>0.5</v>
      </c>
      <c r="G77" s="8" t="s">
        <v>257</v>
      </c>
    </row>
    <row r="78" spans="1:7" ht="22.5" customHeight="1" x14ac:dyDescent="0.2">
      <c r="A78" s="7">
        <v>46043.744082604171</v>
      </c>
      <c r="B78" s="8" t="s">
        <v>62</v>
      </c>
      <c r="C78" s="8" t="s">
        <v>63</v>
      </c>
      <c r="D78" s="8" t="s">
        <v>60</v>
      </c>
      <c r="E78" s="8" t="s">
        <v>258</v>
      </c>
      <c r="F78" s="9">
        <v>0.75</v>
      </c>
      <c r="G78" s="8" t="s">
        <v>259</v>
      </c>
    </row>
    <row r="79" spans="1:7" ht="22.5" customHeight="1" x14ac:dyDescent="0.2">
      <c r="A79" s="7">
        <v>46043.744134525463</v>
      </c>
      <c r="B79" s="8" t="s">
        <v>38</v>
      </c>
      <c r="C79" s="8" t="s">
        <v>39</v>
      </c>
      <c r="D79" s="8" t="s">
        <v>26</v>
      </c>
      <c r="E79" s="8" t="s">
        <v>258</v>
      </c>
      <c r="F79" s="9">
        <v>0.25</v>
      </c>
      <c r="G79" s="8" t="s">
        <v>260</v>
      </c>
    </row>
    <row r="80" spans="1:7" ht="22.5" customHeight="1" x14ac:dyDescent="0.2">
      <c r="A80" s="7">
        <v>46043.744190092591</v>
      </c>
      <c r="B80" s="8" t="s">
        <v>44</v>
      </c>
      <c r="C80" s="8" t="s">
        <v>45</v>
      </c>
      <c r="D80" s="8" t="s">
        <v>46</v>
      </c>
      <c r="E80" s="8" t="s">
        <v>258</v>
      </c>
      <c r="F80" s="9">
        <v>1</v>
      </c>
      <c r="G80" s="8" t="s">
        <v>261</v>
      </c>
    </row>
    <row r="81" spans="1:7" ht="22.5" customHeight="1" x14ac:dyDescent="0.2">
      <c r="A81" s="7">
        <v>46043.744302025458</v>
      </c>
      <c r="B81" s="8" t="s">
        <v>85</v>
      </c>
      <c r="C81" s="8" t="s">
        <v>86</v>
      </c>
      <c r="D81" s="8" t="s">
        <v>87</v>
      </c>
      <c r="E81" s="8" t="s">
        <v>258</v>
      </c>
      <c r="F81" s="9">
        <v>0.5</v>
      </c>
      <c r="G81" s="8" t="s">
        <v>262</v>
      </c>
    </row>
    <row r="82" spans="1:7" ht="22.5" customHeight="1" x14ac:dyDescent="0.2">
      <c r="A82" s="7">
        <v>46043.744380659722</v>
      </c>
      <c r="B82" s="8" t="s">
        <v>246</v>
      </c>
      <c r="C82" s="8" t="s">
        <v>247</v>
      </c>
      <c r="D82" s="8" t="s">
        <v>104</v>
      </c>
      <c r="E82" s="8" t="s">
        <v>258</v>
      </c>
      <c r="F82" s="9">
        <v>0.5</v>
      </c>
      <c r="G82" s="8" t="s">
        <v>263</v>
      </c>
    </row>
    <row r="83" spans="1:7" ht="22.5" customHeight="1" x14ac:dyDescent="0.2">
      <c r="A83" s="7">
        <v>46043.744406180558</v>
      </c>
      <c r="B83" s="8" t="s">
        <v>119</v>
      </c>
      <c r="C83" s="8" t="s">
        <v>120</v>
      </c>
      <c r="D83" s="8" t="s">
        <v>117</v>
      </c>
      <c r="E83" s="8" t="s">
        <v>258</v>
      </c>
      <c r="F83" s="9">
        <v>0.25</v>
      </c>
      <c r="G83" s="8" t="s">
        <v>264</v>
      </c>
    </row>
    <row r="84" spans="1:7" ht="22.5" customHeight="1" x14ac:dyDescent="0.2">
      <c r="A84" s="7">
        <v>46043.744444189811</v>
      </c>
      <c r="B84" s="8" t="s">
        <v>93</v>
      </c>
      <c r="C84" s="8" t="s">
        <v>94</v>
      </c>
      <c r="D84" s="8" t="s">
        <v>87</v>
      </c>
      <c r="E84" s="8" t="s">
        <v>258</v>
      </c>
      <c r="F84" s="9">
        <v>0.5</v>
      </c>
      <c r="G84" s="8" t="s">
        <v>265</v>
      </c>
    </row>
    <row r="85" spans="1:7" ht="22.5" customHeight="1" x14ac:dyDescent="0.2">
      <c r="A85" s="7">
        <v>46043.744477291664</v>
      </c>
      <c r="B85" s="8" t="s">
        <v>55</v>
      </c>
      <c r="C85" s="8" t="s">
        <v>56</v>
      </c>
      <c r="D85" s="8" t="s">
        <v>46</v>
      </c>
      <c r="E85" s="8" t="s">
        <v>258</v>
      </c>
      <c r="F85" s="9">
        <v>1</v>
      </c>
      <c r="G85" s="8" t="s">
        <v>266</v>
      </c>
    </row>
    <row r="86" spans="1:7" ht="22.5" customHeight="1" x14ac:dyDescent="0.2">
      <c r="A86" s="7">
        <v>46043.744557789352</v>
      </c>
      <c r="B86" s="8" t="s">
        <v>71</v>
      </c>
      <c r="C86" s="8" t="s">
        <v>72</v>
      </c>
      <c r="D86" s="8" t="s">
        <v>60</v>
      </c>
      <c r="E86" s="8" t="s">
        <v>258</v>
      </c>
      <c r="F86" s="9">
        <v>0.5</v>
      </c>
      <c r="G86" s="8" t="s">
        <v>267</v>
      </c>
    </row>
    <row r="87" spans="1:7" ht="22.5" customHeight="1" x14ac:dyDescent="0.2">
      <c r="A87" s="7">
        <v>46043.744562187501</v>
      </c>
      <c r="B87" s="8" t="s">
        <v>268</v>
      </c>
      <c r="C87" s="8" t="s">
        <v>269</v>
      </c>
      <c r="D87" s="8" t="s">
        <v>76</v>
      </c>
      <c r="E87" s="8" t="s">
        <v>258</v>
      </c>
      <c r="F87" s="9">
        <v>0.75</v>
      </c>
      <c r="G87" s="8" t="s">
        <v>270</v>
      </c>
    </row>
    <row r="88" spans="1:7" ht="22.5" customHeight="1" x14ac:dyDescent="0.2">
      <c r="A88" s="7">
        <v>46043.744582268519</v>
      </c>
      <c r="B88" s="8" t="s">
        <v>154</v>
      </c>
      <c r="C88" s="8" t="s">
        <v>155</v>
      </c>
      <c r="D88" s="8" t="s">
        <v>152</v>
      </c>
      <c r="E88" s="8" t="s">
        <v>258</v>
      </c>
      <c r="F88" s="9">
        <v>0.5</v>
      </c>
      <c r="G88" s="8" t="s">
        <v>271</v>
      </c>
    </row>
    <row r="89" spans="1:7" ht="22.5" customHeight="1" x14ac:dyDescent="0.2">
      <c r="A89" s="7">
        <v>46043.744602175924</v>
      </c>
      <c r="B89" s="8" t="s">
        <v>52</v>
      </c>
      <c r="C89" s="8" t="s">
        <v>53</v>
      </c>
      <c r="D89" s="8" t="s">
        <v>46</v>
      </c>
      <c r="E89" s="8" t="s">
        <v>258</v>
      </c>
      <c r="F89" s="9">
        <v>0.75</v>
      </c>
      <c r="G89" s="8" t="s">
        <v>272</v>
      </c>
    </row>
    <row r="90" spans="1:7" ht="22.5" customHeight="1" x14ac:dyDescent="0.2">
      <c r="A90" s="7">
        <v>46043.744613715273</v>
      </c>
      <c r="B90" s="8" t="s">
        <v>96</v>
      </c>
      <c r="C90" s="8" t="s">
        <v>97</v>
      </c>
      <c r="D90" s="8" t="s">
        <v>87</v>
      </c>
      <c r="E90" s="8" t="s">
        <v>258</v>
      </c>
      <c r="F90" s="9">
        <v>0.5</v>
      </c>
      <c r="G90" s="8" t="s">
        <v>273</v>
      </c>
    </row>
    <row r="91" spans="1:7" ht="22.5" customHeight="1" x14ac:dyDescent="0.2">
      <c r="A91" s="7">
        <v>46043.744666562503</v>
      </c>
      <c r="B91" s="8" t="s">
        <v>58</v>
      </c>
      <c r="C91" s="8" t="s">
        <v>59</v>
      </c>
      <c r="D91" s="8" t="s">
        <v>60</v>
      </c>
      <c r="E91" s="8" t="s">
        <v>258</v>
      </c>
      <c r="F91" s="9">
        <v>0.5</v>
      </c>
      <c r="G91" s="8" t="s">
        <v>274</v>
      </c>
    </row>
    <row r="92" spans="1:7" ht="22.5" customHeight="1" x14ac:dyDescent="0.2">
      <c r="A92" s="7">
        <v>46043.744749432866</v>
      </c>
      <c r="B92" s="8" t="s">
        <v>150</v>
      </c>
      <c r="C92" s="8" t="s">
        <v>151</v>
      </c>
      <c r="D92" s="8" t="s">
        <v>152</v>
      </c>
      <c r="E92" s="8" t="s">
        <v>258</v>
      </c>
      <c r="F92" s="9">
        <v>0.75</v>
      </c>
      <c r="G92" s="8" t="s">
        <v>275</v>
      </c>
    </row>
    <row r="93" spans="1:7" ht="22.5" customHeight="1" x14ac:dyDescent="0.2">
      <c r="A93" s="7">
        <v>46043.744823819448</v>
      </c>
      <c r="B93" s="8" t="s">
        <v>128</v>
      </c>
      <c r="C93" s="8" t="s">
        <v>129</v>
      </c>
      <c r="D93" s="8" t="s">
        <v>117</v>
      </c>
      <c r="E93" s="8" t="s">
        <v>258</v>
      </c>
      <c r="F93" s="8" t="s">
        <v>276</v>
      </c>
      <c r="G93" s="8" t="s">
        <v>277</v>
      </c>
    </row>
    <row r="94" spans="1:7" ht="22.5" customHeight="1" x14ac:dyDescent="0.2">
      <c r="A94" s="7">
        <v>46043.744924074075</v>
      </c>
      <c r="B94" s="8" t="s">
        <v>230</v>
      </c>
      <c r="C94" s="8" t="s">
        <v>231</v>
      </c>
      <c r="D94" s="8" t="s">
        <v>228</v>
      </c>
      <c r="E94" s="8" t="s">
        <v>258</v>
      </c>
      <c r="F94" s="9">
        <v>0.75</v>
      </c>
      <c r="G94" s="8" t="s">
        <v>278</v>
      </c>
    </row>
    <row r="95" spans="1:7" ht="22.5" customHeight="1" x14ac:dyDescent="0.2">
      <c r="A95" s="7">
        <v>46043.74500678241</v>
      </c>
      <c r="B95" s="8" t="s">
        <v>90</v>
      </c>
      <c r="C95" s="8" t="s">
        <v>91</v>
      </c>
      <c r="D95" s="8" t="s">
        <v>87</v>
      </c>
      <c r="E95" s="8" t="s">
        <v>258</v>
      </c>
      <c r="F95" s="9">
        <v>0.5</v>
      </c>
      <c r="G95" s="8" t="s">
        <v>279</v>
      </c>
    </row>
    <row r="96" spans="1:7" ht="22.5" customHeight="1" x14ac:dyDescent="0.2">
      <c r="A96" s="7">
        <v>46043.745244351856</v>
      </c>
      <c r="B96" s="8" t="s">
        <v>240</v>
      </c>
      <c r="C96" s="8" t="s">
        <v>241</v>
      </c>
      <c r="D96" s="8" t="s">
        <v>228</v>
      </c>
      <c r="E96" s="8" t="s">
        <v>258</v>
      </c>
      <c r="F96" s="9">
        <v>0.75</v>
      </c>
      <c r="G96" s="8" t="s">
        <v>280</v>
      </c>
    </row>
    <row r="97" spans="1:7" ht="22.5" customHeight="1" x14ac:dyDescent="0.2">
      <c r="A97" s="7">
        <v>46043.745250590277</v>
      </c>
      <c r="B97" s="8" t="s">
        <v>48</v>
      </c>
      <c r="C97" s="8" t="s">
        <v>49</v>
      </c>
      <c r="D97" s="8" t="s">
        <v>46</v>
      </c>
      <c r="E97" s="8" t="s">
        <v>258</v>
      </c>
      <c r="F97" s="9">
        <v>0.5</v>
      </c>
      <c r="G97" s="8" t="s">
        <v>281</v>
      </c>
    </row>
    <row r="98" spans="1:7" ht="22.5" customHeight="1" x14ac:dyDescent="0.2">
      <c r="A98" s="7">
        <v>46043.745302662035</v>
      </c>
      <c r="B98" s="8" t="s">
        <v>236</v>
      </c>
      <c r="C98" s="8" t="s">
        <v>237</v>
      </c>
      <c r="D98" s="8" t="s">
        <v>228</v>
      </c>
      <c r="E98" s="8" t="s">
        <v>258</v>
      </c>
      <c r="F98" s="9">
        <v>0.75</v>
      </c>
      <c r="G98" s="8" t="s">
        <v>282</v>
      </c>
    </row>
    <row r="99" spans="1:7" ht="22.5" customHeight="1" x14ac:dyDescent="0.2">
      <c r="A99" s="7">
        <v>46043.745325509255</v>
      </c>
      <c r="B99" s="8" t="s">
        <v>198</v>
      </c>
      <c r="C99" s="8" t="s">
        <v>199</v>
      </c>
      <c r="D99" s="8" t="s">
        <v>196</v>
      </c>
      <c r="E99" s="8" t="s">
        <v>258</v>
      </c>
      <c r="F99" s="9">
        <v>0.25</v>
      </c>
      <c r="G99" s="8" t="s">
        <v>283</v>
      </c>
    </row>
    <row r="100" spans="1:7" ht="22.5" customHeight="1" x14ac:dyDescent="0.2">
      <c r="A100" s="7">
        <v>46043.745869340273</v>
      </c>
      <c r="B100" s="8" t="s">
        <v>15</v>
      </c>
      <c r="C100" s="8" t="s">
        <v>16</v>
      </c>
      <c r="D100" s="8" t="s">
        <v>9</v>
      </c>
      <c r="E100" s="8" t="s">
        <v>258</v>
      </c>
      <c r="F100" s="9">
        <v>0.5</v>
      </c>
      <c r="G100" s="8" t="s">
        <v>284</v>
      </c>
    </row>
    <row r="101" spans="1:7" ht="22.5" customHeight="1" x14ac:dyDescent="0.2">
      <c r="A101" s="7">
        <v>46043.746021400468</v>
      </c>
      <c r="B101" s="8" t="s">
        <v>34</v>
      </c>
      <c r="C101" s="8" t="s">
        <v>35</v>
      </c>
      <c r="D101" s="8" t="s">
        <v>26</v>
      </c>
      <c r="E101" s="8" t="s">
        <v>258</v>
      </c>
      <c r="F101" s="8" t="s">
        <v>285</v>
      </c>
      <c r="G101" s="8" t="s">
        <v>286</v>
      </c>
    </row>
    <row r="102" spans="1:7" ht="22.5" customHeight="1" x14ac:dyDescent="0.2">
      <c r="A102" s="7">
        <v>46043.74616613426</v>
      </c>
      <c r="B102" s="8" t="s">
        <v>233</v>
      </c>
      <c r="C102" s="8" t="s">
        <v>234</v>
      </c>
      <c r="D102" s="8" t="s">
        <v>228</v>
      </c>
      <c r="E102" s="8" t="s">
        <v>258</v>
      </c>
      <c r="F102" s="9">
        <v>0.75</v>
      </c>
      <c r="G102" s="8" t="s">
        <v>287</v>
      </c>
    </row>
    <row r="103" spans="1:7" ht="22.5" customHeight="1" x14ac:dyDescent="0.2">
      <c r="A103" s="7">
        <v>46043.7461734838</v>
      </c>
      <c r="B103" s="8" t="s">
        <v>226</v>
      </c>
      <c r="C103" s="8" t="s">
        <v>227</v>
      </c>
      <c r="D103" s="8" t="s">
        <v>228</v>
      </c>
      <c r="E103" s="8" t="s">
        <v>258</v>
      </c>
      <c r="F103" s="9">
        <v>0.5</v>
      </c>
      <c r="G103" s="8" t="s">
        <v>288</v>
      </c>
    </row>
    <row r="104" spans="1:7" ht="22.5" customHeight="1" x14ac:dyDescent="0.2">
      <c r="A104" s="7">
        <v>46043.746257662038</v>
      </c>
      <c r="B104" s="8" t="s">
        <v>174</v>
      </c>
      <c r="C104" s="8" t="s">
        <v>175</v>
      </c>
      <c r="D104" s="8" t="s">
        <v>176</v>
      </c>
      <c r="E104" s="8" t="s">
        <v>258</v>
      </c>
      <c r="F104" s="9">
        <v>0.5</v>
      </c>
      <c r="G104" s="8" t="s">
        <v>289</v>
      </c>
    </row>
    <row r="105" spans="1:7" ht="22.5" customHeight="1" x14ac:dyDescent="0.2">
      <c r="A105" s="7">
        <v>46043.746715092595</v>
      </c>
      <c r="B105" s="8" t="s">
        <v>290</v>
      </c>
      <c r="C105" s="8" t="s">
        <v>291</v>
      </c>
      <c r="D105" s="8" t="s">
        <v>104</v>
      </c>
      <c r="E105" s="8" t="s">
        <v>10</v>
      </c>
      <c r="F105" s="9">
        <v>0.8</v>
      </c>
      <c r="G105" s="8" t="s">
        <v>292</v>
      </c>
    </row>
    <row r="106" spans="1:7" ht="22.5" customHeight="1" x14ac:dyDescent="0.2">
      <c r="A106" s="7">
        <v>46043.746892939816</v>
      </c>
      <c r="B106" s="8" t="s">
        <v>183</v>
      </c>
      <c r="C106" s="8" t="s">
        <v>184</v>
      </c>
      <c r="D106" s="8" t="s">
        <v>176</v>
      </c>
      <c r="E106" s="8" t="s">
        <v>258</v>
      </c>
      <c r="F106" s="9">
        <v>0.5</v>
      </c>
      <c r="G106" s="8" t="s">
        <v>293</v>
      </c>
    </row>
    <row r="107" spans="1:7" ht="22.5" customHeight="1" x14ac:dyDescent="0.2">
      <c r="A107" s="7">
        <v>46043.747165208333</v>
      </c>
      <c r="B107" s="8" t="s">
        <v>187</v>
      </c>
      <c r="C107" s="8" t="s">
        <v>188</v>
      </c>
      <c r="D107" s="8" t="s">
        <v>176</v>
      </c>
      <c r="E107" s="8" t="s">
        <v>258</v>
      </c>
      <c r="F107" s="9">
        <v>0.5</v>
      </c>
      <c r="G107" s="8" t="s">
        <v>294</v>
      </c>
    </row>
    <row r="108" spans="1:7" ht="22.5" customHeight="1" x14ac:dyDescent="0.2">
      <c r="A108" s="7">
        <v>46043.747256643517</v>
      </c>
      <c r="B108" s="8" t="s">
        <v>102</v>
      </c>
      <c r="C108" s="8" t="s">
        <v>103</v>
      </c>
      <c r="D108" s="8" t="s">
        <v>104</v>
      </c>
      <c r="E108" s="8" t="s">
        <v>258</v>
      </c>
      <c r="F108" s="9">
        <v>0.5</v>
      </c>
      <c r="G108" s="8" t="s">
        <v>295</v>
      </c>
    </row>
    <row r="109" spans="1:7" ht="22.5" customHeight="1" x14ac:dyDescent="0.2">
      <c r="A109" s="7">
        <v>46043.747436307865</v>
      </c>
      <c r="B109" s="8" t="s">
        <v>74</v>
      </c>
      <c r="C109" s="8" t="s">
        <v>75</v>
      </c>
      <c r="D109" s="8" t="s">
        <v>76</v>
      </c>
      <c r="E109" s="8" t="s">
        <v>258</v>
      </c>
      <c r="F109" s="9">
        <v>1</v>
      </c>
      <c r="G109" s="8" t="s">
        <v>296</v>
      </c>
    </row>
    <row r="110" spans="1:7" ht="22.5" customHeight="1" x14ac:dyDescent="0.2">
      <c r="A110" s="7">
        <v>46043.747613541665</v>
      </c>
      <c r="B110" s="8" t="s">
        <v>28</v>
      </c>
      <c r="C110" s="8" t="s">
        <v>29</v>
      </c>
      <c r="D110" s="8" t="s">
        <v>26</v>
      </c>
      <c r="E110" s="8" t="s">
        <v>258</v>
      </c>
      <c r="F110" s="9">
        <v>0.5</v>
      </c>
      <c r="G110" s="8" t="s">
        <v>297</v>
      </c>
    </row>
    <row r="111" spans="1:7" ht="22.5" customHeight="1" x14ac:dyDescent="0.2">
      <c r="A111" s="7">
        <v>46043.74764483796</v>
      </c>
      <c r="B111" s="8" t="s">
        <v>243</v>
      </c>
      <c r="C111" s="8" t="s">
        <v>244</v>
      </c>
      <c r="D111" s="8" t="s">
        <v>165</v>
      </c>
      <c r="E111" s="8" t="s">
        <v>258</v>
      </c>
      <c r="F111" s="9">
        <v>0.75</v>
      </c>
      <c r="G111" s="8" t="s">
        <v>298</v>
      </c>
    </row>
    <row r="112" spans="1:7" ht="22.5" customHeight="1" x14ac:dyDescent="0.2">
      <c r="A112" s="7">
        <v>46043.747657476852</v>
      </c>
      <c r="B112" s="8" t="s">
        <v>214</v>
      </c>
      <c r="C112" s="8" t="s">
        <v>215</v>
      </c>
      <c r="D112" s="8" t="s">
        <v>212</v>
      </c>
      <c r="E112" s="8" t="s">
        <v>258</v>
      </c>
      <c r="F112" s="9">
        <v>0.5</v>
      </c>
      <c r="G112" s="8" t="s">
        <v>299</v>
      </c>
    </row>
    <row r="113" spans="1:7" ht="22.5" customHeight="1" x14ac:dyDescent="0.2">
      <c r="A113" s="7">
        <v>46043.74788012731</v>
      </c>
      <c r="B113" s="8" t="s">
        <v>99</v>
      </c>
      <c r="C113" s="8" t="s">
        <v>100</v>
      </c>
      <c r="D113" s="8" t="s">
        <v>87</v>
      </c>
      <c r="E113" s="8" t="s">
        <v>258</v>
      </c>
      <c r="F113" s="9">
        <v>0.61</v>
      </c>
      <c r="G113" s="8" t="s">
        <v>300</v>
      </c>
    </row>
    <row r="114" spans="1:7" ht="22.5" customHeight="1" x14ac:dyDescent="0.2">
      <c r="A114" s="7">
        <v>46043.74793085648</v>
      </c>
      <c r="B114" s="8" t="s">
        <v>65</v>
      </c>
      <c r="C114" s="8" t="s">
        <v>66</v>
      </c>
      <c r="D114" s="8" t="s">
        <v>60</v>
      </c>
      <c r="E114" s="8" t="s">
        <v>258</v>
      </c>
      <c r="F114" s="9">
        <v>0.75</v>
      </c>
      <c r="G114" s="8" t="s">
        <v>301</v>
      </c>
    </row>
    <row r="115" spans="1:7" ht="22.5" customHeight="1" x14ac:dyDescent="0.2">
      <c r="A115" s="7">
        <v>46043.747984502319</v>
      </c>
      <c r="B115" s="8" t="s">
        <v>141</v>
      </c>
      <c r="C115" s="8" t="s">
        <v>302</v>
      </c>
      <c r="D115" s="8" t="s">
        <v>133</v>
      </c>
      <c r="E115" s="8" t="s">
        <v>258</v>
      </c>
      <c r="F115" s="9">
        <v>0.75</v>
      </c>
      <c r="G115" s="8" t="s">
        <v>303</v>
      </c>
    </row>
    <row r="116" spans="1:7" ht="22.5" customHeight="1" x14ac:dyDescent="0.2">
      <c r="A116" s="7">
        <v>46043.748138807874</v>
      </c>
      <c r="B116" s="8" t="s">
        <v>109</v>
      </c>
      <c r="C116" s="8" t="s">
        <v>110</v>
      </c>
      <c r="D116" s="8" t="s">
        <v>104</v>
      </c>
      <c r="E116" s="8" t="s">
        <v>258</v>
      </c>
      <c r="F116" s="9">
        <v>1</v>
      </c>
      <c r="G116" s="8" t="s">
        <v>304</v>
      </c>
    </row>
    <row r="117" spans="1:7" ht="22.5" customHeight="1" x14ac:dyDescent="0.2">
      <c r="A117" s="7">
        <v>46043.74816476852</v>
      </c>
      <c r="B117" s="8" t="s">
        <v>21</v>
      </c>
      <c r="C117" s="8" t="s">
        <v>22</v>
      </c>
      <c r="D117" s="8" t="s">
        <v>9</v>
      </c>
      <c r="E117" s="8" t="s">
        <v>258</v>
      </c>
      <c r="F117" s="9">
        <v>0.5</v>
      </c>
      <c r="G117" s="8" t="s">
        <v>305</v>
      </c>
    </row>
    <row r="118" spans="1:7" ht="22.5" customHeight="1" x14ac:dyDescent="0.2">
      <c r="A118" s="7">
        <v>46043.748263993053</v>
      </c>
      <c r="B118" s="8" t="s">
        <v>7</v>
      </c>
      <c r="C118" s="8" t="s">
        <v>8</v>
      </c>
      <c r="D118" s="8" t="s">
        <v>9</v>
      </c>
      <c r="E118" s="8" t="s">
        <v>258</v>
      </c>
      <c r="F118" s="9">
        <v>0.5</v>
      </c>
      <c r="G118" s="8" t="s">
        <v>306</v>
      </c>
    </row>
    <row r="119" spans="1:7" ht="22.5" customHeight="1" x14ac:dyDescent="0.2">
      <c r="A119" s="7">
        <v>46043.748403124999</v>
      </c>
      <c r="B119" s="8" t="s">
        <v>135</v>
      </c>
      <c r="C119" s="8" t="s">
        <v>136</v>
      </c>
      <c r="D119" s="8" t="s">
        <v>133</v>
      </c>
      <c r="E119" s="8" t="s">
        <v>258</v>
      </c>
      <c r="F119" s="9">
        <v>1</v>
      </c>
      <c r="G119" s="8" t="s">
        <v>307</v>
      </c>
    </row>
    <row r="120" spans="1:7" ht="22.5" customHeight="1" x14ac:dyDescent="0.2">
      <c r="A120" s="7">
        <v>46043.748463692129</v>
      </c>
      <c r="B120" s="8" t="s">
        <v>31</v>
      </c>
      <c r="C120" s="8" t="s">
        <v>32</v>
      </c>
      <c r="D120" s="8" t="s">
        <v>26</v>
      </c>
      <c r="E120" s="8" t="s">
        <v>258</v>
      </c>
      <c r="F120" s="9">
        <v>1</v>
      </c>
      <c r="G120" s="8" t="s">
        <v>308</v>
      </c>
    </row>
    <row r="121" spans="1:7" ht="22.5" customHeight="1" x14ac:dyDescent="0.2">
      <c r="A121" s="7">
        <v>46043.748789861114</v>
      </c>
      <c r="B121" s="8" t="s">
        <v>41</v>
      </c>
      <c r="C121" s="8" t="s">
        <v>42</v>
      </c>
      <c r="D121" s="8" t="s">
        <v>26</v>
      </c>
      <c r="E121" s="8" t="s">
        <v>258</v>
      </c>
      <c r="F121" s="9">
        <v>0.75</v>
      </c>
      <c r="G121" s="8" t="s">
        <v>309</v>
      </c>
    </row>
    <row r="122" spans="1:7" ht="22.5" customHeight="1" x14ac:dyDescent="0.2">
      <c r="A122" s="7">
        <v>46043.748932812501</v>
      </c>
      <c r="B122" s="8" t="s">
        <v>112</v>
      </c>
      <c r="C122" s="8" t="s">
        <v>113</v>
      </c>
      <c r="D122" s="8" t="s">
        <v>104</v>
      </c>
      <c r="E122" s="8" t="s">
        <v>258</v>
      </c>
      <c r="F122" s="9">
        <v>0.5</v>
      </c>
      <c r="G122" s="8" t="s">
        <v>310</v>
      </c>
    </row>
    <row r="123" spans="1:7" ht="22.5" customHeight="1" x14ac:dyDescent="0.2">
      <c r="A123" s="7">
        <v>46043.749211273149</v>
      </c>
      <c r="B123" s="8" t="s">
        <v>144</v>
      </c>
      <c r="C123" s="8" t="s">
        <v>145</v>
      </c>
      <c r="D123" s="8" t="s">
        <v>133</v>
      </c>
      <c r="E123" s="8" t="s">
        <v>258</v>
      </c>
      <c r="F123" s="9">
        <v>0.5</v>
      </c>
      <c r="G123" s="8" t="s">
        <v>311</v>
      </c>
    </row>
    <row r="124" spans="1:7" ht="22.5" customHeight="1" x14ac:dyDescent="0.2">
      <c r="A124" s="7">
        <v>46043.749242997685</v>
      </c>
      <c r="B124" s="8" t="s">
        <v>68</v>
      </c>
      <c r="C124" s="8" t="s">
        <v>69</v>
      </c>
      <c r="D124" s="8" t="s">
        <v>60</v>
      </c>
      <c r="E124" s="8" t="s">
        <v>258</v>
      </c>
      <c r="F124" s="9">
        <v>0.5</v>
      </c>
      <c r="G124" s="8" t="s">
        <v>312</v>
      </c>
    </row>
    <row r="125" spans="1:7" ht="22.5" customHeight="1" x14ac:dyDescent="0.2">
      <c r="A125" s="7">
        <v>46043.749720254629</v>
      </c>
      <c r="B125" s="8" t="s">
        <v>191</v>
      </c>
      <c r="C125" s="8" t="s">
        <v>192</v>
      </c>
      <c r="D125" s="8" t="s">
        <v>176</v>
      </c>
      <c r="E125" s="8" t="s">
        <v>258</v>
      </c>
      <c r="F125" s="9">
        <v>0.5</v>
      </c>
      <c r="G125" s="8" t="s">
        <v>313</v>
      </c>
    </row>
    <row r="126" spans="1:7" ht="22.5" customHeight="1" x14ac:dyDescent="0.2">
      <c r="A126" s="7">
        <v>46043.749882233795</v>
      </c>
      <c r="B126" s="8" t="s">
        <v>167</v>
      </c>
      <c r="C126" s="8" t="s">
        <v>168</v>
      </c>
      <c r="D126" s="8" t="s">
        <v>165</v>
      </c>
      <c r="E126" s="8" t="s">
        <v>258</v>
      </c>
      <c r="F126" s="9">
        <v>1</v>
      </c>
      <c r="G126" s="8" t="s">
        <v>314</v>
      </c>
    </row>
    <row r="127" spans="1:7" ht="22.5" customHeight="1" x14ac:dyDescent="0.2">
      <c r="A127" s="7">
        <v>46043.749914432876</v>
      </c>
      <c r="B127" s="8" t="s">
        <v>82</v>
      </c>
      <c r="C127" s="8" t="s">
        <v>83</v>
      </c>
      <c r="D127" s="8" t="s">
        <v>76</v>
      </c>
      <c r="E127" s="8" t="s">
        <v>258</v>
      </c>
      <c r="F127" s="9">
        <v>1.2</v>
      </c>
      <c r="G127" s="8" t="s">
        <v>315</v>
      </c>
    </row>
    <row r="128" spans="1:7" ht="22.5" customHeight="1" x14ac:dyDescent="0.2">
      <c r="A128" s="7">
        <v>46043.750208356483</v>
      </c>
      <c r="B128" s="8" t="s">
        <v>12</v>
      </c>
      <c r="C128" s="8" t="s">
        <v>13</v>
      </c>
      <c r="D128" s="8" t="s">
        <v>9</v>
      </c>
      <c r="E128" s="8" t="s">
        <v>258</v>
      </c>
      <c r="F128" s="9">
        <v>0.25</v>
      </c>
      <c r="G128" s="8" t="s">
        <v>316</v>
      </c>
    </row>
    <row r="129" spans="1:7" ht="22.5" customHeight="1" x14ac:dyDescent="0.2">
      <c r="A129" s="7">
        <v>46043.750432719906</v>
      </c>
      <c r="B129" s="8" t="s">
        <v>217</v>
      </c>
      <c r="C129" s="8" t="s">
        <v>218</v>
      </c>
      <c r="D129" s="8" t="s">
        <v>212</v>
      </c>
      <c r="E129" s="8" t="s">
        <v>258</v>
      </c>
      <c r="F129" s="8" t="s">
        <v>317</v>
      </c>
      <c r="G129" s="8" t="s">
        <v>318</v>
      </c>
    </row>
    <row r="130" spans="1:7" ht="22.5" customHeight="1" x14ac:dyDescent="0.2">
      <c r="A130" s="7">
        <v>46043.750996469906</v>
      </c>
      <c r="B130" s="8" t="s">
        <v>163</v>
      </c>
      <c r="C130" s="8" t="s">
        <v>164</v>
      </c>
      <c r="D130" s="8" t="s">
        <v>165</v>
      </c>
      <c r="E130" s="8" t="s">
        <v>258</v>
      </c>
      <c r="F130" s="9">
        <v>1</v>
      </c>
      <c r="G130" s="8" t="s">
        <v>319</v>
      </c>
    </row>
    <row r="131" spans="1:7" ht="22.5" customHeight="1" x14ac:dyDescent="0.2">
      <c r="A131" s="7">
        <v>46043.751005046295</v>
      </c>
      <c r="B131" s="8" t="s">
        <v>18</v>
      </c>
      <c r="C131" s="8" t="s">
        <v>19</v>
      </c>
      <c r="D131" s="8" t="s">
        <v>9</v>
      </c>
      <c r="E131" s="8" t="s">
        <v>258</v>
      </c>
      <c r="F131" s="9">
        <v>0.75</v>
      </c>
      <c r="G131" s="8" t="s">
        <v>320</v>
      </c>
    </row>
    <row r="132" spans="1:7" ht="22.5" customHeight="1" x14ac:dyDescent="0.2">
      <c r="A132" s="7">
        <v>46043.751225914355</v>
      </c>
      <c r="B132" s="8" t="s">
        <v>160</v>
      </c>
      <c r="C132" s="8" t="s">
        <v>161</v>
      </c>
      <c r="D132" s="8" t="s">
        <v>152</v>
      </c>
      <c r="E132" s="8" t="s">
        <v>258</v>
      </c>
      <c r="F132" s="9">
        <v>0.75</v>
      </c>
      <c r="G132" s="8" t="s">
        <v>321</v>
      </c>
    </row>
    <row r="133" spans="1:7" ht="22.5" customHeight="1" x14ac:dyDescent="0.2">
      <c r="A133" s="7">
        <v>46043.751628032405</v>
      </c>
      <c r="B133" s="8" t="s">
        <v>78</v>
      </c>
      <c r="C133" s="8" t="s">
        <v>79</v>
      </c>
      <c r="D133" s="8" t="s">
        <v>76</v>
      </c>
      <c r="E133" s="8" t="s">
        <v>258</v>
      </c>
      <c r="F133" s="9">
        <v>0.75</v>
      </c>
      <c r="G133" s="8" t="s">
        <v>322</v>
      </c>
    </row>
    <row r="134" spans="1:7" ht="22.5" customHeight="1" x14ac:dyDescent="0.2">
      <c r="A134" s="7">
        <v>46043.752594027777</v>
      </c>
      <c r="B134" s="8" t="s">
        <v>24</v>
      </c>
      <c r="C134" s="8" t="s">
        <v>25</v>
      </c>
      <c r="D134" s="8" t="s">
        <v>26</v>
      </c>
      <c r="E134" s="8" t="s">
        <v>258</v>
      </c>
      <c r="F134" s="9">
        <v>0.5</v>
      </c>
      <c r="G134" s="8" t="s">
        <v>323</v>
      </c>
    </row>
    <row r="135" spans="1:7" ht="22.5" customHeight="1" x14ac:dyDescent="0.2">
      <c r="A135" s="7">
        <v>46043.753507384259</v>
      </c>
      <c r="B135" s="8" t="s">
        <v>147</v>
      </c>
      <c r="C135" s="8" t="s">
        <v>148</v>
      </c>
      <c r="D135" s="8" t="s">
        <v>133</v>
      </c>
      <c r="E135" s="8" t="s">
        <v>258</v>
      </c>
      <c r="F135" s="9">
        <v>1</v>
      </c>
      <c r="G135" s="8" t="s">
        <v>324</v>
      </c>
    </row>
    <row r="136" spans="1:7" ht="22.5" customHeight="1" x14ac:dyDescent="0.2">
      <c r="A136" s="7">
        <v>46043.754663645828</v>
      </c>
      <c r="B136" s="8" t="s">
        <v>179</v>
      </c>
      <c r="C136" s="8" t="s">
        <v>180</v>
      </c>
      <c r="D136" s="8" t="s">
        <v>176</v>
      </c>
      <c r="E136" s="8" t="s">
        <v>258</v>
      </c>
      <c r="F136" s="8" t="s">
        <v>325</v>
      </c>
      <c r="G136" s="8" t="s">
        <v>326</v>
      </c>
    </row>
    <row r="137" spans="1:7" ht="22.5" customHeight="1" x14ac:dyDescent="0.2">
      <c r="A137" s="7">
        <v>46043.754954652773</v>
      </c>
      <c r="B137" s="8" t="s">
        <v>115</v>
      </c>
      <c r="C137" s="8" t="s">
        <v>116</v>
      </c>
      <c r="D137" s="8" t="s">
        <v>117</v>
      </c>
      <c r="E137" s="8" t="s">
        <v>258</v>
      </c>
      <c r="F137" s="9">
        <v>0.25</v>
      </c>
      <c r="G137" s="8" t="s">
        <v>327</v>
      </c>
    </row>
    <row r="138" spans="1:7" ht="22.5" customHeight="1" x14ac:dyDescent="0.2">
      <c r="A138" s="7">
        <v>46043.755759293985</v>
      </c>
      <c r="B138" s="8" t="s">
        <v>223</v>
      </c>
      <c r="C138" s="8" t="s">
        <v>224</v>
      </c>
      <c r="D138" s="8" t="s">
        <v>212</v>
      </c>
      <c r="E138" s="8" t="s">
        <v>258</v>
      </c>
      <c r="F138" s="9">
        <v>0.5</v>
      </c>
      <c r="G138" s="8" t="s">
        <v>328</v>
      </c>
    </row>
    <row r="139" spans="1:7" ht="22.5" customHeight="1" x14ac:dyDescent="0.2">
      <c r="A139" s="7">
        <v>46043.755940590279</v>
      </c>
      <c r="B139" s="8" t="s">
        <v>207</v>
      </c>
      <c r="C139" s="8" t="s">
        <v>208</v>
      </c>
      <c r="D139" s="8" t="s">
        <v>196</v>
      </c>
      <c r="E139" s="8" t="s">
        <v>258</v>
      </c>
      <c r="F139" s="9">
        <v>0.5</v>
      </c>
      <c r="G139" s="8" t="s">
        <v>329</v>
      </c>
    </row>
    <row r="140" spans="1:7" ht="22.5" customHeight="1" x14ac:dyDescent="0.2">
      <c r="A140" s="7">
        <v>46043.756465682869</v>
      </c>
      <c r="B140" s="8" t="s">
        <v>157</v>
      </c>
      <c r="C140" s="8" t="s">
        <v>158</v>
      </c>
      <c r="D140" s="8" t="s">
        <v>152</v>
      </c>
      <c r="E140" s="8" t="s">
        <v>258</v>
      </c>
      <c r="F140" s="9">
        <v>1</v>
      </c>
      <c r="G140" s="8" t="s">
        <v>330</v>
      </c>
    </row>
    <row r="141" spans="1:7" ht="22.5" customHeight="1" x14ac:dyDescent="0.2">
      <c r="A141" s="7">
        <v>46043.757103981479</v>
      </c>
      <c r="B141" s="8" t="s">
        <v>122</v>
      </c>
      <c r="C141" s="8" t="s">
        <v>123</v>
      </c>
      <c r="D141" s="8" t="s">
        <v>117</v>
      </c>
      <c r="E141" s="8" t="s">
        <v>258</v>
      </c>
      <c r="F141" s="9">
        <v>0.15</v>
      </c>
      <c r="G141" s="8" t="s">
        <v>331</v>
      </c>
    </row>
    <row r="142" spans="1:7" ht="22.5" customHeight="1" x14ac:dyDescent="0.2">
      <c r="A142" s="7">
        <v>46043.757645474536</v>
      </c>
      <c r="B142" s="8" t="s">
        <v>249</v>
      </c>
      <c r="C142" s="8" t="s">
        <v>250</v>
      </c>
      <c r="D142" s="8" t="s">
        <v>117</v>
      </c>
      <c r="E142" s="8" t="s">
        <v>258</v>
      </c>
      <c r="F142" s="9">
        <v>0.5</v>
      </c>
      <c r="G142" s="8" t="s">
        <v>332</v>
      </c>
    </row>
    <row r="143" spans="1:7" ht="22.5" customHeight="1" x14ac:dyDescent="0.2">
      <c r="A143" s="7">
        <v>46043.757657511575</v>
      </c>
      <c r="B143" s="8" t="s">
        <v>220</v>
      </c>
      <c r="C143" s="8" t="s">
        <v>221</v>
      </c>
      <c r="D143" s="8" t="s">
        <v>212</v>
      </c>
      <c r="E143" s="8" t="s">
        <v>258</v>
      </c>
      <c r="F143" s="9">
        <v>0.5</v>
      </c>
      <c r="G143" s="8" t="s">
        <v>333</v>
      </c>
    </row>
    <row r="144" spans="1:7" ht="22.5" customHeight="1" x14ac:dyDescent="0.2">
      <c r="A144" s="7">
        <v>46043.757969652783</v>
      </c>
      <c r="B144" s="8" t="s">
        <v>170</v>
      </c>
      <c r="C144" s="8" t="s">
        <v>171</v>
      </c>
      <c r="D144" s="8" t="s">
        <v>165</v>
      </c>
      <c r="E144" s="8" t="s">
        <v>258</v>
      </c>
      <c r="F144" s="9">
        <v>0.75</v>
      </c>
      <c r="G144" s="8" t="s">
        <v>334</v>
      </c>
    </row>
    <row r="145" spans="1:7" ht="22.5" customHeight="1" x14ac:dyDescent="0.2">
      <c r="A145" s="7">
        <v>46043.763011261573</v>
      </c>
      <c r="B145" s="8" t="s">
        <v>106</v>
      </c>
      <c r="C145" s="8" t="s">
        <v>107</v>
      </c>
      <c r="D145" s="8" t="s">
        <v>104</v>
      </c>
      <c r="E145" s="8" t="s">
        <v>258</v>
      </c>
      <c r="F145" s="9">
        <v>0.5</v>
      </c>
      <c r="G145" s="8" t="s">
        <v>335</v>
      </c>
    </row>
    <row r="146" spans="1:7" ht="22.5" customHeight="1" x14ac:dyDescent="0.2">
      <c r="A146" s="7">
        <v>46043.782250312499</v>
      </c>
      <c r="B146" s="8" t="s">
        <v>201</v>
      </c>
      <c r="C146" s="8" t="s">
        <v>202</v>
      </c>
      <c r="D146" s="8" t="s">
        <v>196</v>
      </c>
      <c r="E146" s="8" t="s">
        <v>258</v>
      </c>
      <c r="F146" s="9">
        <v>0.5</v>
      </c>
      <c r="G146" s="8" t="s">
        <v>336</v>
      </c>
    </row>
    <row r="147" spans="1:7" ht="22.5" customHeight="1" x14ac:dyDescent="0.2">
      <c r="A147" s="7">
        <v>46043.884026053245</v>
      </c>
      <c r="B147" s="8" t="s">
        <v>204</v>
      </c>
      <c r="C147" s="8" t="s">
        <v>205</v>
      </c>
      <c r="D147" s="8" t="s">
        <v>196</v>
      </c>
      <c r="E147" s="8" t="s">
        <v>258</v>
      </c>
      <c r="F147" s="9">
        <v>0.5</v>
      </c>
      <c r="G147" s="8" t="s">
        <v>337</v>
      </c>
    </row>
    <row r="148" spans="1:7" ht="22.5" customHeight="1" x14ac:dyDescent="0.2">
      <c r="A148" s="7">
        <v>46044.745823229168</v>
      </c>
      <c r="B148" s="8" t="s">
        <v>150</v>
      </c>
      <c r="C148" s="8" t="s">
        <v>151</v>
      </c>
      <c r="D148" s="8" t="s">
        <v>152</v>
      </c>
      <c r="E148" s="8" t="s">
        <v>338</v>
      </c>
      <c r="F148" s="8" t="s">
        <v>339</v>
      </c>
      <c r="G148" s="8" t="s">
        <v>340</v>
      </c>
    </row>
    <row r="149" spans="1:7" ht="22.5" customHeight="1" x14ac:dyDescent="0.2">
      <c r="A149" s="7">
        <v>46044.746173217594</v>
      </c>
      <c r="B149" s="8" t="s">
        <v>24</v>
      </c>
      <c r="C149" s="8" t="s">
        <v>25</v>
      </c>
      <c r="D149" s="8" t="s">
        <v>26</v>
      </c>
      <c r="E149" s="8" t="s">
        <v>338</v>
      </c>
      <c r="F149" s="9">
        <v>0.75</v>
      </c>
      <c r="G149" s="8" t="s">
        <v>341</v>
      </c>
    </row>
    <row r="150" spans="1:7" ht="22.5" customHeight="1" x14ac:dyDescent="0.2">
      <c r="A150" s="7">
        <v>46044.747764444444</v>
      </c>
      <c r="B150" s="8" t="s">
        <v>252</v>
      </c>
      <c r="C150" s="8" t="s">
        <v>253</v>
      </c>
      <c r="D150" s="8" t="s">
        <v>165</v>
      </c>
      <c r="E150" s="8" t="s">
        <v>258</v>
      </c>
      <c r="F150" s="9">
        <v>0.75</v>
      </c>
      <c r="G150" s="8" t="s">
        <v>342</v>
      </c>
    </row>
    <row r="151" spans="1:7" ht="22.5" customHeight="1" x14ac:dyDescent="0.2">
      <c r="A151" s="7">
        <v>46044.747957939813</v>
      </c>
      <c r="B151" s="8" t="s">
        <v>167</v>
      </c>
      <c r="C151" s="8" t="s">
        <v>168</v>
      </c>
      <c r="D151" s="8" t="s">
        <v>165</v>
      </c>
      <c r="E151" s="8" t="s">
        <v>338</v>
      </c>
      <c r="F151" s="9">
        <v>1</v>
      </c>
      <c r="G151" s="8" t="s">
        <v>343</v>
      </c>
    </row>
    <row r="152" spans="1:7" ht="22.5" customHeight="1" x14ac:dyDescent="0.2">
      <c r="A152" s="7">
        <v>46044.748225312505</v>
      </c>
      <c r="B152" s="8" t="s">
        <v>214</v>
      </c>
      <c r="C152" s="8" t="s">
        <v>215</v>
      </c>
      <c r="D152" s="8" t="s">
        <v>212</v>
      </c>
      <c r="E152" s="8" t="s">
        <v>338</v>
      </c>
      <c r="F152" s="9">
        <v>0.5</v>
      </c>
      <c r="G152" s="8" t="s">
        <v>344</v>
      </c>
    </row>
    <row r="153" spans="1:7" ht="22.5" customHeight="1" x14ac:dyDescent="0.2">
      <c r="A153" s="7">
        <v>46044.748398229167</v>
      </c>
      <c r="B153" s="8" t="s">
        <v>252</v>
      </c>
      <c r="C153" s="8" t="s">
        <v>253</v>
      </c>
      <c r="D153" s="8" t="s">
        <v>165</v>
      </c>
      <c r="E153" s="8" t="s">
        <v>338</v>
      </c>
      <c r="F153" s="9">
        <v>1</v>
      </c>
      <c r="G153" s="8" t="s">
        <v>345</v>
      </c>
    </row>
    <row r="154" spans="1:7" ht="22.5" customHeight="1" x14ac:dyDescent="0.2">
      <c r="A154" s="7">
        <v>46044.74840217593</v>
      </c>
      <c r="B154" s="8" t="s">
        <v>154</v>
      </c>
      <c r="C154" s="8" t="s">
        <v>155</v>
      </c>
      <c r="D154" s="8" t="s">
        <v>152</v>
      </c>
      <c r="E154" s="8" t="s">
        <v>338</v>
      </c>
      <c r="F154" s="9">
        <v>0.75</v>
      </c>
      <c r="G154" s="8" t="s">
        <v>346</v>
      </c>
    </row>
    <row r="155" spans="1:7" ht="22.5" customHeight="1" x14ac:dyDescent="0.2">
      <c r="A155" s="7">
        <v>46044.748404641199</v>
      </c>
      <c r="B155" s="8" t="s">
        <v>55</v>
      </c>
      <c r="C155" s="8" t="s">
        <v>56</v>
      </c>
      <c r="D155" s="8" t="s">
        <v>46</v>
      </c>
      <c r="E155" s="8" t="s">
        <v>338</v>
      </c>
      <c r="F155" s="9">
        <v>1</v>
      </c>
      <c r="G155" s="8" t="s">
        <v>347</v>
      </c>
    </row>
    <row r="156" spans="1:7" ht="22.5" customHeight="1" x14ac:dyDescent="0.2">
      <c r="A156" s="7">
        <v>46044.748512476857</v>
      </c>
      <c r="B156" s="8" t="s">
        <v>71</v>
      </c>
      <c r="C156" s="8" t="s">
        <v>72</v>
      </c>
      <c r="D156" s="8" t="s">
        <v>60</v>
      </c>
      <c r="E156" s="8" t="s">
        <v>338</v>
      </c>
      <c r="F156" s="9">
        <v>0.75</v>
      </c>
      <c r="G156" s="8" t="s">
        <v>348</v>
      </c>
    </row>
    <row r="157" spans="1:7" ht="22.5" customHeight="1" x14ac:dyDescent="0.2">
      <c r="A157" s="7">
        <v>46044.748523101851</v>
      </c>
      <c r="B157" s="8" t="s">
        <v>99</v>
      </c>
      <c r="C157" s="8" t="s">
        <v>100</v>
      </c>
      <c r="D157" s="8" t="s">
        <v>87</v>
      </c>
      <c r="E157" s="8" t="s">
        <v>338</v>
      </c>
      <c r="F157" s="8" t="s">
        <v>349</v>
      </c>
      <c r="G157" s="8" t="s">
        <v>350</v>
      </c>
    </row>
    <row r="158" spans="1:7" ht="22.5" customHeight="1" x14ac:dyDescent="0.2">
      <c r="A158" s="7">
        <v>46044.74854163194</v>
      </c>
      <c r="B158" s="8" t="s">
        <v>268</v>
      </c>
      <c r="C158" s="8" t="s">
        <v>269</v>
      </c>
      <c r="D158" s="8" t="s">
        <v>76</v>
      </c>
      <c r="E158" s="8" t="s">
        <v>338</v>
      </c>
      <c r="F158" s="9">
        <v>1</v>
      </c>
      <c r="G158" s="8" t="s">
        <v>351</v>
      </c>
    </row>
    <row r="159" spans="1:7" ht="22.5" customHeight="1" x14ac:dyDescent="0.2">
      <c r="A159" s="7">
        <v>46044.748600763887</v>
      </c>
      <c r="B159" s="8" t="s">
        <v>119</v>
      </c>
      <c r="C159" s="8" t="s">
        <v>120</v>
      </c>
      <c r="D159" s="8" t="s">
        <v>117</v>
      </c>
      <c r="E159" s="8" t="s">
        <v>338</v>
      </c>
      <c r="F159" s="9">
        <v>0.75</v>
      </c>
      <c r="G159" s="8" t="s">
        <v>352</v>
      </c>
    </row>
    <row r="160" spans="1:7" ht="22.5" customHeight="1" x14ac:dyDescent="0.2">
      <c r="A160" s="7">
        <v>46044.748643206018</v>
      </c>
      <c r="B160" s="8" t="s">
        <v>160</v>
      </c>
      <c r="C160" s="8" t="s">
        <v>161</v>
      </c>
      <c r="D160" s="8" t="s">
        <v>152</v>
      </c>
      <c r="E160" s="8" t="s">
        <v>338</v>
      </c>
      <c r="F160" s="9">
        <v>0.75</v>
      </c>
      <c r="G160" s="8" t="s">
        <v>353</v>
      </c>
    </row>
    <row r="161" spans="1:7" ht="22.5" customHeight="1" x14ac:dyDescent="0.2">
      <c r="A161" s="7">
        <v>46044.748660243058</v>
      </c>
      <c r="B161" s="8" t="s">
        <v>246</v>
      </c>
      <c r="C161" s="8" t="s">
        <v>247</v>
      </c>
      <c r="D161" s="8" t="s">
        <v>104</v>
      </c>
      <c r="E161" s="8" t="s">
        <v>338</v>
      </c>
      <c r="F161" s="9">
        <v>0.75</v>
      </c>
      <c r="G161" s="8" t="s">
        <v>354</v>
      </c>
    </row>
    <row r="162" spans="1:7" ht="22.5" customHeight="1" x14ac:dyDescent="0.2">
      <c r="A162" s="7">
        <v>46044.748753749998</v>
      </c>
      <c r="B162" s="8" t="s">
        <v>52</v>
      </c>
      <c r="C162" s="8" t="s">
        <v>53</v>
      </c>
      <c r="D162" s="8" t="s">
        <v>46</v>
      </c>
      <c r="E162" s="8" t="s">
        <v>338</v>
      </c>
      <c r="F162" s="9">
        <v>0.75</v>
      </c>
      <c r="G162" s="8" t="s">
        <v>355</v>
      </c>
    </row>
    <row r="163" spans="1:7" ht="22.5" customHeight="1" x14ac:dyDescent="0.2">
      <c r="A163" s="7">
        <v>46044.748781076385</v>
      </c>
      <c r="B163" s="8" t="s">
        <v>58</v>
      </c>
      <c r="C163" s="8" t="s">
        <v>59</v>
      </c>
      <c r="D163" s="8" t="s">
        <v>60</v>
      </c>
      <c r="E163" s="8" t="s">
        <v>338</v>
      </c>
      <c r="F163" s="9">
        <v>0.75</v>
      </c>
      <c r="G163" s="8" t="s">
        <v>356</v>
      </c>
    </row>
    <row r="164" spans="1:7" ht="22.5" customHeight="1" x14ac:dyDescent="0.2">
      <c r="A164" s="7">
        <v>46044.748828599535</v>
      </c>
      <c r="B164" s="8" t="s">
        <v>198</v>
      </c>
      <c r="C164" s="8" t="s">
        <v>199</v>
      </c>
      <c r="D164" s="8" t="s">
        <v>196</v>
      </c>
      <c r="E164" s="8" t="s">
        <v>338</v>
      </c>
      <c r="F164" s="9">
        <v>0.5</v>
      </c>
      <c r="G164" s="8" t="s">
        <v>357</v>
      </c>
    </row>
    <row r="165" spans="1:7" ht="22.5" customHeight="1" x14ac:dyDescent="0.2">
      <c r="A165" s="7">
        <v>46044.748838125</v>
      </c>
      <c r="B165" s="8" t="s">
        <v>62</v>
      </c>
      <c r="C165" s="8" t="s">
        <v>63</v>
      </c>
      <c r="D165" s="8" t="s">
        <v>60</v>
      </c>
      <c r="E165" s="8" t="s">
        <v>338</v>
      </c>
      <c r="F165" s="9">
        <v>0.75</v>
      </c>
      <c r="G165" s="8" t="s">
        <v>358</v>
      </c>
    </row>
    <row r="166" spans="1:7" ht="22.5" customHeight="1" x14ac:dyDescent="0.2">
      <c r="A166" s="7">
        <v>46044.748934687501</v>
      </c>
      <c r="B166" s="8" t="s">
        <v>255</v>
      </c>
      <c r="C166" s="8" t="s">
        <v>256</v>
      </c>
      <c r="D166" s="8" t="s">
        <v>76</v>
      </c>
      <c r="E166" s="8" t="s">
        <v>338</v>
      </c>
      <c r="F166" s="9">
        <v>0.75</v>
      </c>
      <c r="G166" s="8" t="s">
        <v>359</v>
      </c>
    </row>
    <row r="167" spans="1:7" ht="22.5" customHeight="1" x14ac:dyDescent="0.2">
      <c r="A167" s="7">
        <v>46044.748995995367</v>
      </c>
      <c r="B167" s="8" t="s">
        <v>226</v>
      </c>
      <c r="C167" s="8" t="s">
        <v>227</v>
      </c>
      <c r="D167" s="8" t="s">
        <v>228</v>
      </c>
      <c r="E167" s="8" t="s">
        <v>338</v>
      </c>
      <c r="F167" s="9">
        <v>0.75</v>
      </c>
      <c r="G167" s="8" t="s">
        <v>360</v>
      </c>
    </row>
    <row r="168" spans="1:7" ht="22.5" customHeight="1" x14ac:dyDescent="0.2">
      <c r="A168" s="7">
        <v>46044.749027060185</v>
      </c>
      <c r="B168" s="8" t="s">
        <v>102</v>
      </c>
      <c r="C168" s="8" t="s">
        <v>103</v>
      </c>
      <c r="D168" s="8" t="s">
        <v>104</v>
      </c>
      <c r="E168" s="8" t="s">
        <v>338</v>
      </c>
      <c r="F168" s="8" t="s">
        <v>361</v>
      </c>
      <c r="G168" s="8" t="s">
        <v>362</v>
      </c>
    </row>
    <row r="169" spans="1:7" ht="22.5" customHeight="1" x14ac:dyDescent="0.2">
      <c r="A169" s="7">
        <v>46044.749042731477</v>
      </c>
      <c r="B169" s="8" t="s">
        <v>210</v>
      </c>
      <c r="C169" s="8" t="s">
        <v>211</v>
      </c>
      <c r="D169" s="8" t="s">
        <v>212</v>
      </c>
      <c r="E169" s="8" t="s">
        <v>338</v>
      </c>
      <c r="F169" s="9">
        <v>0.5</v>
      </c>
      <c r="G169" s="8" t="s">
        <v>363</v>
      </c>
    </row>
    <row r="170" spans="1:7" ht="22.5" customHeight="1" x14ac:dyDescent="0.2">
      <c r="A170" s="7">
        <v>46044.749124097223</v>
      </c>
      <c r="B170" s="8" t="s">
        <v>157</v>
      </c>
      <c r="C170" s="8" t="s">
        <v>158</v>
      </c>
      <c r="D170" s="8" t="s">
        <v>152</v>
      </c>
      <c r="E170" s="8" t="s">
        <v>338</v>
      </c>
      <c r="F170" s="9">
        <v>1</v>
      </c>
      <c r="G170" s="8" t="s">
        <v>364</v>
      </c>
    </row>
    <row r="171" spans="1:7" ht="22.5" customHeight="1" x14ac:dyDescent="0.2">
      <c r="A171" s="7">
        <v>46044.749145578702</v>
      </c>
      <c r="B171" s="8" t="s">
        <v>7</v>
      </c>
      <c r="C171" s="8" t="s">
        <v>8</v>
      </c>
      <c r="D171" s="8" t="s">
        <v>9</v>
      </c>
      <c r="E171" s="8" t="s">
        <v>338</v>
      </c>
      <c r="F171" s="9">
        <v>0.75</v>
      </c>
      <c r="G171" s="8" t="s">
        <v>365</v>
      </c>
    </row>
    <row r="172" spans="1:7" ht="22.5" customHeight="1" x14ac:dyDescent="0.2">
      <c r="A172" s="7">
        <v>46044.749175219906</v>
      </c>
      <c r="B172" s="8" t="s">
        <v>115</v>
      </c>
      <c r="C172" s="8" t="s">
        <v>116</v>
      </c>
      <c r="D172" s="8" t="s">
        <v>117</v>
      </c>
      <c r="E172" s="8" t="s">
        <v>338</v>
      </c>
      <c r="F172" s="9">
        <v>1</v>
      </c>
      <c r="G172" s="8" t="s">
        <v>366</v>
      </c>
    </row>
    <row r="173" spans="1:7" ht="22.5" customHeight="1" x14ac:dyDescent="0.2">
      <c r="A173" s="7">
        <v>46044.749247939813</v>
      </c>
      <c r="B173" s="8" t="s">
        <v>255</v>
      </c>
      <c r="C173" s="8" t="s">
        <v>256</v>
      </c>
      <c r="D173" s="8" t="s">
        <v>76</v>
      </c>
      <c r="E173" s="8" t="s">
        <v>258</v>
      </c>
      <c r="F173" s="9">
        <v>0.75</v>
      </c>
      <c r="G173" s="8" t="s">
        <v>367</v>
      </c>
    </row>
    <row r="174" spans="1:7" ht="22.5" customHeight="1" x14ac:dyDescent="0.2">
      <c r="A174" s="7">
        <v>46044.749260671291</v>
      </c>
      <c r="B174" s="8" t="s">
        <v>201</v>
      </c>
      <c r="C174" s="8" t="s">
        <v>202</v>
      </c>
      <c r="D174" s="8" t="s">
        <v>196</v>
      </c>
      <c r="E174" s="8" t="s">
        <v>338</v>
      </c>
      <c r="F174" s="9">
        <v>0.75</v>
      </c>
      <c r="G174" s="8" t="s">
        <v>368</v>
      </c>
    </row>
    <row r="175" spans="1:7" ht="22.5" customHeight="1" x14ac:dyDescent="0.2">
      <c r="A175" s="7">
        <v>46044.749290208332</v>
      </c>
      <c r="B175" s="8" t="s">
        <v>48</v>
      </c>
      <c r="C175" s="8" t="s">
        <v>49</v>
      </c>
      <c r="D175" s="8" t="s">
        <v>46</v>
      </c>
      <c r="E175" s="8" t="s">
        <v>338</v>
      </c>
      <c r="F175" s="9">
        <v>0.75</v>
      </c>
      <c r="G175" s="8" t="s">
        <v>369</v>
      </c>
    </row>
    <row r="176" spans="1:7" ht="22.5" customHeight="1" x14ac:dyDescent="0.2">
      <c r="A176" s="7">
        <v>46044.749367071759</v>
      </c>
      <c r="B176" s="8" t="s">
        <v>93</v>
      </c>
      <c r="C176" s="8" t="s">
        <v>94</v>
      </c>
      <c r="D176" s="8" t="s">
        <v>87</v>
      </c>
      <c r="E176" s="8" t="s">
        <v>338</v>
      </c>
      <c r="F176" s="9">
        <v>0.75</v>
      </c>
      <c r="G176" s="8" t="s">
        <v>370</v>
      </c>
    </row>
    <row r="177" spans="1:7" ht="22.5" customHeight="1" x14ac:dyDescent="0.2">
      <c r="A177" s="7">
        <v>46044.749454236109</v>
      </c>
      <c r="B177" s="8" t="s">
        <v>85</v>
      </c>
      <c r="C177" s="8" t="s">
        <v>86</v>
      </c>
      <c r="D177" s="8" t="s">
        <v>87</v>
      </c>
      <c r="E177" s="8" t="s">
        <v>338</v>
      </c>
      <c r="F177" s="9">
        <v>0.75</v>
      </c>
      <c r="G177" s="8" t="s">
        <v>371</v>
      </c>
    </row>
    <row r="178" spans="1:7" ht="22.5" customHeight="1" x14ac:dyDescent="0.2">
      <c r="A178" s="7">
        <v>46044.749519907404</v>
      </c>
      <c r="B178" s="8" t="s">
        <v>65</v>
      </c>
      <c r="C178" s="8" t="s">
        <v>66</v>
      </c>
      <c r="D178" s="8" t="s">
        <v>60</v>
      </c>
      <c r="E178" s="8" t="s">
        <v>338</v>
      </c>
      <c r="F178" s="9">
        <v>0.75</v>
      </c>
      <c r="G178" s="8" t="s">
        <v>372</v>
      </c>
    </row>
    <row r="179" spans="1:7" ht="22.5" customHeight="1" x14ac:dyDescent="0.2">
      <c r="A179" s="7">
        <v>46044.749549976856</v>
      </c>
      <c r="B179" s="8" t="s">
        <v>15</v>
      </c>
      <c r="C179" s="8" t="s">
        <v>16</v>
      </c>
      <c r="D179" s="8" t="s">
        <v>9</v>
      </c>
      <c r="E179" s="8" t="s">
        <v>338</v>
      </c>
      <c r="F179" s="9">
        <v>0.75</v>
      </c>
      <c r="G179" s="8" t="s">
        <v>373</v>
      </c>
    </row>
    <row r="180" spans="1:7" ht="22.5" customHeight="1" x14ac:dyDescent="0.2">
      <c r="A180" s="7">
        <v>46044.749575023146</v>
      </c>
      <c r="B180" s="8" t="s">
        <v>90</v>
      </c>
      <c r="C180" s="8" t="s">
        <v>91</v>
      </c>
      <c r="D180" s="8" t="s">
        <v>87</v>
      </c>
      <c r="E180" s="8" t="s">
        <v>338</v>
      </c>
      <c r="F180" s="9">
        <v>0.75</v>
      </c>
      <c r="G180" s="8" t="s">
        <v>374</v>
      </c>
    </row>
    <row r="181" spans="1:7" ht="22.5" customHeight="1" x14ac:dyDescent="0.2">
      <c r="A181" s="7">
        <v>46044.749779849539</v>
      </c>
      <c r="B181" s="8" t="s">
        <v>128</v>
      </c>
      <c r="C181" s="8" t="s">
        <v>129</v>
      </c>
      <c r="D181" s="8" t="s">
        <v>117</v>
      </c>
      <c r="E181" s="8" t="s">
        <v>338</v>
      </c>
      <c r="F181" s="9">
        <v>0.75</v>
      </c>
      <c r="G181" s="8" t="s">
        <v>375</v>
      </c>
    </row>
    <row r="182" spans="1:7" ht="22.5" customHeight="1" x14ac:dyDescent="0.2">
      <c r="A182" s="7">
        <v>46044.749791712966</v>
      </c>
      <c r="B182" s="8" t="s">
        <v>78</v>
      </c>
      <c r="C182" s="8" t="s">
        <v>79</v>
      </c>
      <c r="D182" s="8" t="s">
        <v>76</v>
      </c>
      <c r="E182" s="8" t="s">
        <v>338</v>
      </c>
      <c r="F182" s="8" t="s">
        <v>376</v>
      </c>
      <c r="G182" s="8" t="s">
        <v>377</v>
      </c>
    </row>
    <row r="183" spans="1:7" ht="22.5" customHeight="1" x14ac:dyDescent="0.2">
      <c r="A183" s="7">
        <v>46044.749802129634</v>
      </c>
      <c r="B183" s="8" t="s">
        <v>34</v>
      </c>
      <c r="C183" s="8" t="s">
        <v>35</v>
      </c>
      <c r="D183" s="8" t="s">
        <v>26</v>
      </c>
      <c r="E183" s="8" t="s">
        <v>338</v>
      </c>
      <c r="F183" s="8" t="s">
        <v>378</v>
      </c>
      <c r="G183" s="8" t="s">
        <v>379</v>
      </c>
    </row>
    <row r="184" spans="1:7" ht="22.5" customHeight="1" x14ac:dyDescent="0.2">
      <c r="A184" s="7">
        <v>46044.749878229166</v>
      </c>
      <c r="B184" s="8" t="s">
        <v>174</v>
      </c>
      <c r="C184" s="8" t="s">
        <v>175</v>
      </c>
      <c r="D184" s="8" t="s">
        <v>176</v>
      </c>
      <c r="E184" s="8" t="s">
        <v>338</v>
      </c>
      <c r="F184" s="9">
        <v>0.75</v>
      </c>
      <c r="G184" s="8" t="s">
        <v>380</v>
      </c>
    </row>
    <row r="185" spans="1:7" ht="22.5" customHeight="1" x14ac:dyDescent="0.2">
      <c r="A185" s="7">
        <v>46044.75001290509</v>
      </c>
      <c r="B185" s="8" t="s">
        <v>96</v>
      </c>
      <c r="C185" s="8" t="s">
        <v>132</v>
      </c>
      <c r="D185" s="8" t="s">
        <v>87</v>
      </c>
      <c r="E185" s="8" t="s">
        <v>338</v>
      </c>
      <c r="F185" s="9">
        <v>0.75</v>
      </c>
      <c r="G185" s="8" t="s">
        <v>381</v>
      </c>
    </row>
    <row r="186" spans="1:7" ht="22.5" customHeight="1" x14ac:dyDescent="0.2">
      <c r="A186" s="7">
        <v>46044.750069340276</v>
      </c>
      <c r="B186" s="8" t="s">
        <v>28</v>
      </c>
      <c r="C186" s="8" t="s">
        <v>29</v>
      </c>
      <c r="D186" s="8" t="s">
        <v>26</v>
      </c>
      <c r="E186" s="8" t="s">
        <v>338</v>
      </c>
      <c r="F186" s="9">
        <v>0.75</v>
      </c>
      <c r="G186" s="8" t="s">
        <v>382</v>
      </c>
    </row>
    <row r="187" spans="1:7" ht="22.5" customHeight="1" x14ac:dyDescent="0.2">
      <c r="A187" s="7">
        <v>46044.750105648149</v>
      </c>
      <c r="B187" s="8" t="s">
        <v>106</v>
      </c>
      <c r="C187" s="8" t="s">
        <v>107</v>
      </c>
      <c r="D187" s="8" t="s">
        <v>104</v>
      </c>
      <c r="E187" s="8" t="s">
        <v>338</v>
      </c>
      <c r="F187" s="9">
        <v>0.75</v>
      </c>
      <c r="G187" s="8" t="s">
        <v>383</v>
      </c>
    </row>
    <row r="188" spans="1:7" ht="22.5" customHeight="1" x14ac:dyDescent="0.2">
      <c r="A188" s="7">
        <v>46044.750170219908</v>
      </c>
      <c r="B188" s="8" t="s">
        <v>38</v>
      </c>
      <c r="C188" s="8" t="s">
        <v>39</v>
      </c>
      <c r="D188" s="8" t="s">
        <v>26</v>
      </c>
      <c r="E188" s="8" t="s">
        <v>338</v>
      </c>
      <c r="F188" s="9">
        <v>0.5</v>
      </c>
      <c r="G188" s="8" t="s">
        <v>384</v>
      </c>
    </row>
    <row r="189" spans="1:7" ht="22.5" customHeight="1" x14ac:dyDescent="0.2">
      <c r="A189" s="7">
        <v>46044.7502303125</v>
      </c>
      <c r="B189" s="8" t="s">
        <v>21</v>
      </c>
      <c r="C189" s="8" t="s">
        <v>22</v>
      </c>
      <c r="D189" s="8" t="s">
        <v>9</v>
      </c>
      <c r="E189" s="8" t="s">
        <v>338</v>
      </c>
      <c r="F189" s="9">
        <v>0.75</v>
      </c>
      <c r="G189" s="8" t="s">
        <v>385</v>
      </c>
    </row>
    <row r="190" spans="1:7" ht="22.5" customHeight="1" x14ac:dyDescent="0.2">
      <c r="A190" s="7">
        <v>46044.750469606486</v>
      </c>
      <c r="B190" s="8" t="s">
        <v>144</v>
      </c>
      <c r="C190" s="8" t="s">
        <v>145</v>
      </c>
      <c r="D190" s="8" t="s">
        <v>133</v>
      </c>
      <c r="E190" s="8" t="s">
        <v>338</v>
      </c>
      <c r="F190" s="9">
        <v>0.5</v>
      </c>
      <c r="G190" s="8" t="s">
        <v>386</v>
      </c>
    </row>
    <row r="191" spans="1:7" ht="22.5" customHeight="1" x14ac:dyDescent="0.2">
      <c r="A191" s="7">
        <v>46044.750476180554</v>
      </c>
      <c r="B191" s="8" t="s">
        <v>68</v>
      </c>
      <c r="C191" s="8" t="s">
        <v>69</v>
      </c>
      <c r="D191" s="8" t="s">
        <v>60</v>
      </c>
      <c r="E191" s="8" t="s">
        <v>338</v>
      </c>
      <c r="F191" s="9">
        <v>0.75</v>
      </c>
      <c r="G191" s="8" t="s">
        <v>387</v>
      </c>
    </row>
    <row r="192" spans="1:7" ht="22.5" customHeight="1" x14ac:dyDescent="0.2">
      <c r="A192" s="7">
        <v>46044.750520347225</v>
      </c>
      <c r="B192" s="8" t="s">
        <v>236</v>
      </c>
      <c r="C192" s="8" t="s">
        <v>237</v>
      </c>
      <c r="D192" s="8" t="s">
        <v>228</v>
      </c>
      <c r="E192" s="8" t="s">
        <v>338</v>
      </c>
      <c r="F192" s="9">
        <v>0.75</v>
      </c>
      <c r="G192" s="8" t="s">
        <v>388</v>
      </c>
    </row>
    <row r="193" spans="1:7" ht="22.5" customHeight="1" x14ac:dyDescent="0.2">
      <c r="A193" s="7">
        <v>46044.750769178238</v>
      </c>
      <c r="B193" s="8" t="s">
        <v>220</v>
      </c>
      <c r="C193" s="8" t="s">
        <v>221</v>
      </c>
      <c r="D193" s="8" t="s">
        <v>212</v>
      </c>
      <c r="E193" s="8" t="s">
        <v>338</v>
      </c>
      <c r="F193" s="9">
        <v>0.5</v>
      </c>
      <c r="G193" s="8" t="s">
        <v>389</v>
      </c>
    </row>
    <row r="194" spans="1:7" ht="22.5" customHeight="1" x14ac:dyDescent="0.2">
      <c r="A194" s="7">
        <v>46044.750784085649</v>
      </c>
      <c r="B194" s="8" t="s">
        <v>240</v>
      </c>
      <c r="C194" s="8" t="s">
        <v>241</v>
      </c>
      <c r="D194" s="8" t="s">
        <v>228</v>
      </c>
      <c r="E194" s="8" t="s">
        <v>338</v>
      </c>
      <c r="F194" s="9">
        <v>0.75</v>
      </c>
      <c r="G194" s="8" t="s">
        <v>390</v>
      </c>
    </row>
    <row r="195" spans="1:7" ht="22.5" customHeight="1" x14ac:dyDescent="0.2">
      <c r="A195" s="7">
        <v>46044.750859756939</v>
      </c>
      <c r="B195" s="8" t="s">
        <v>207</v>
      </c>
      <c r="C195" s="8" t="s">
        <v>208</v>
      </c>
      <c r="D195" s="8" t="s">
        <v>196</v>
      </c>
      <c r="E195" s="8" t="s">
        <v>338</v>
      </c>
      <c r="F195" s="9">
        <v>0.75</v>
      </c>
      <c r="G195" s="8" t="s">
        <v>391</v>
      </c>
    </row>
    <row r="196" spans="1:7" ht="22.5" customHeight="1" x14ac:dyDescent="0.2">
      <c r="A196" s="7">
        <v>46044.751048599537</v>
      </c>
      <c r="B196" s="8" t="s">
        <v>163</v>
      </c>
      <c r="C196" s="8" t="s">
        <v>164</v>
      </c>
      <c r="D196" s="8" t="s">
        <v>165</v>
      </c>
      <c r="E196" s="8" t="s">
        <v>338</v>
      </c>
      <c r="F196" s="9">
        <v>0.75</v>
      </c>
      <c r="G196" s="8" t="s">
        <v>392</v>
      </c>
    </row>
    <row r="197" spans="1:7" ht="22.5" customHeight="1" x14ac:dyDescent="0.2">
      <c r="A197" s="7">
        <v>46044.75151047454</v>
      </c>
      <c r="B197" s="8" t="s">
        <v>18</v>
      </c>
      <c r="C197" s="8" t="s">
        <v>19</v>
      </c>
      <c r="D197" s="8" t="s">
        <v>9</v>
      </c>
      <c r="E197" s="8" t="s">
        <v>338</v>
      </c>
      <c r="F197" s="9">
        <v>1</v>
      </c>
      <c r="G197" s="8" t="s">
        <v>393</v>
      </c>
    </row>
    <row r="198" spans="1:7" ht="22.5" customHeight="1" x14ac:dyDescent="0.2">
      <c r="A198" s="7">
        <v>46044.752046134265</v>
      </c>
      <c r="B198" s="8" t="s">
        <v>290</v>
      </c>
      <c r="C198" s="8" t="s">
        <v>291</v>
      </c>
      <c r="D198" s="8" t="s">
        <v>104</v>
      </c>
      <c r="E198" s="8" t="s">
        <v>338</v>
      </c>
      <c r="F198" s="9">
        <v>0.5</v>
      </c>
      <c r="G198" s="8" t="s">
        <v>394</v>
      </c>
    </row>
    <row r="199" spans="1:7" ht="22.5" customHeight="1" x14ac:dyDescent="0.2">
      <c r="A199" s="7">
        <v>46044.75231891204</v>
      </c>
      <c r="B199" s="8" t="s">
        <v>179</v>
      </c>
      <c r="C199" s="8" t="s">
        <v>180</v>
      </c>
      <c r="D199" s="8" t="s">
        <v>176</v>
      </c>
      <c r="E199" s="8" t="s">
        <v>338</v>
      </c>
      <c r="F199" s="9">
        <v>0.5</v>
      </c>
      <c r="G199" s="8" t="s">
        <v>395</v>
      </c>
    </row>
    <row r="200" spans="1:7" ht="22.5" customHeight="1" x14ac:dyDescent="0.2">
      <c r="A200" s="7">
        <v>46044.752500590279</v>
      </c>
      <c r="B200" s="8" t="s">
        <v>217</v>
      </c>
      <c r="C200" s="8" t="s">
        <v>218</v>
      </c>
      <c r="D200" s="8" t="s">
        <v>212</v>
      </c>
      <c r="E200" s="8" t="s">
        <v>338</v>
      </c>
      <c r="F200" s="9">
        <v>0.5</v>
      </c>
      <c r="G200" s="8" t="s">
        <v>396</v>
      </c>
    </row>
    <row r="201" spans="1:7" ht="22.5" customHeight="1" x14ac:dyDescent="0.2">
      <c r="A201" s="7">
        <v>46044.752508067133</v>
      </c>
      <c r="B201" s="8" t="s">
        <v>135</v>
      </c>
      <c r="C201" s="8" t="s">
        <v>136</v>
      </c>
      <c r="D201" s="8" t="s">
        <v>133</v>
      </c>
      <c r="E201" s="8" t="s">
        <v>338</v>
      </c>
      <c r="F201" s="9">
        <v>1</v>
      </c>
      <c r="G201" s="8" t="s">
        <v>397</v>
      </c>
    </row>
    <row r="202" spans="1:7" ht="22.5" customHeight="1" x14ac:dyDescent="0.2">
      <c r="A202" s="7">
        <v>46044.752602233799</v>
      </c>
      <c r="B202" s="8" t="s">
        <v>223</v>
      </c>
      <c r="C202" s="8" t="s">
        <v>224</v>
      </c>
      <c r="D202" s="8" t="s">
        <v>212</v>
      </c>
      <c r="E202" s="8" t="s">
        <v>338</v>
      </c>
      <c r="F202" s="9">
        <v>0.5</v>
      </c>
      <c r="G202" s="8" t="s">
        <v>398</v>
      </c>
    </row>
    <row r="203" spans="1:7" ht="22.5" customHeight="1" x14ac:dyDescent="0.2">
      <c r="A203" s="7">
        <v>46044.753029201383</v>
      </c>
      <c r="B203" s="8" t="s">
        <v>243</v>
      </c>
      <c r="C203" s="8" t="s">
        <v>244</v>
      </c>
      <c r="D203" s="8" t="s">
        <v>165</v>
      </c>
      <c r="E203" s="8" t="s">
        <v>338</v>
      </c>
      <c r="F203" s="9">
        <v>0.5</v>
      </c>
      <c r="G203" s="8" t="s">
        <v>399</v>
      </c>
    </row>
    <row r="204" spans="1:7" ht="22.5" customHeight="1" x14ac:dyDescent="0.2">
      <c r="A204" s="7">
        <v>46044.753046562502</v>
      </c>
      <c r="B204" s="8" t="s">
        <v>191</v>
      </c>
      <c r="C204" s="8" t="s">
        <v>192</v>
      </c>
      <c r="D204" s="8" t="s">
        <v>176</v>
      </c>
      <c r="E204" s="8" t="s">
        <v>338</v>
      </c>
      <c r="F204" s="9">
        <v>0.75</v>
      </c>
      <c r="G204" s="8" t="s">
        <v>400</v>
      </c>
    </row>
    <row r="205" spans="1:7" ht="22.5" customHeight="1" x14ac:dyDescent="0.2">
      <c r="A205" s="7">
        <v>46044.753156712963</v>
      </c>
      <c r="B205" s="8" t="s">
        <v>82</v>
      </c>
      <c r="C205" s="8" t="s">
        <v>83</v>
      </c>
      <c r="D205" s="8" t="s">
        <v>76</v>
      </c>
      <c r="E205" s="8" t="s">
        <v>338</v>
      </c>
      <c r="F205" s="9">
        <v>0.75</v>
      </c>
      <c r="G205" s="8" t="s">
        <v>401</v>
      </c>
    </row>
    <row r="206" spans="1:7" ht="22.5" customHeight="1" x14ac:dyDescent="0.2">
      <c r="A206" s="7">
        <v>46044.753188263887</v>
      </c>
      <c r="B206" s="8" t="s">
        <v>138</v>
      </c>
      <c r="C206" s="8" t="s">
        <v>139</v>
      </c>
      <c r="D206" s="8" t="s">
        <v>133</v>
      </c>
      <c r="E206" s="8" t="s">
        <v>338</v>
      </c>
      <c r="F206" s="9">
        <v>0.5</v>
      </c>
      <c r="G206" s="8" t="s">
        <v>402</v>
      </c>
    </row>
    <row r="207" spans="1:7" ht="22.5" customHeight="1" x14ac:dyDescent="0.2">
      <c r="A207" s="7">
        <v>46044.753228032409</v>
      </c>
      <c r="B207" s="8" t="s">
        <v>74</v>
      </c>
      <c r="C207" s="8" t="s">
        <v>75</v>
      </c>
      <c r="D207" s="8" t="s">
        <v>76</v>
      </c>
      <c r="E207" s="8" t="s">
        <v>338</v>
      </c>
      <c r="F207" s="9">
        <v>1</v>
      </c>
      <c r="G207" s="8" t="s">
        <v>403</v>
      </c>
    </row>
    <row r="208" spans="1:7" ht="22.5" customHeight="1" x14ac:dyDescent="0.2">
      <c r="A208" s="7">
        <v>46044.754538379631</v>
      </c>
      <c r="B208" s="8" t="s">
        <v>122</v>
      </c>
      <c r="C208" s="8" t="s">
        <v>123</v>
      </c>
      <c r="D208" s="8" t="s">
        <v>117</v>
      </c>
      <c r="E208" s="8" t="s">
        <v>338</v>
      </c>
      <c r="F208" s="9">
        <v>0.25</v>
      </c>
      <c r="G208" s="8" t="s">
        <v>404</v>
      </c>
    </row>
    <row r="209" spans="1:7" ht="22.5" customHeight="1" x14ac:dyDescent="0.2">
      <c r="A209" s="7">
        <v>46044.757690937498</v>
      </c>
      <c r="B209" s="8" t="s">
        <v>141</v>
      </c>
      <c r="C209" s="8" t="s">
        <v>142</v>
      </c>
      <c r="D209" s="8" t="s">
        <v>133</v>
      </c>
      <c r="E209" s="8" t="s">
        <v>338</v>
      </c>
      <c r="F209" s="9">
        <v>0.75</v>
      </c>
      <c r="G209" s="8" t="s">
        <v>405</v>
      </c>
    </row>
    <row r="210" spans="1:7" ht="22.5" customHeight="1" x14ac:dyDescent="0.2">
      <c r="A210" s="7">
        <v>46044.75869613426</v>
      </c>
      <c r="B210" s="8" t="s">
        <v>249</v>
      </c>
      <c r="C210" s="8" t="s">
        <v>250</v>
      </c>
      <c r="D210" s="8" t="s">
        <v>117</v>
      </c>
      <c r="E210" s="8" t="s">
        <v>338</v>
      </c>
      <c r="F210" s="9">
        <v>0.75</v>
      </c>
      <c r="G210" s="8" t="s">
        <v>406</v>
      </c>
    </row>
    <row r="211" spans="1:7" ht="22.5" customHeight="1" x14ac:dyDescent="0.2">
      <c r="A211" s="7">
        <v>46044.759460127316</v>
      </c>
      <c r="B211" s="8" t="s">
        <v>230</v>
      </c>
      <c r="C211" s="8" t="s">
        <v>231</v>
      </c>
      <c r="D211" s="8" t="s">
        <v>228</v>
      </c>
      <c r="E211" s="8" t="s">
        <v>338</v>
      </c>
      <c r="F211" s="9">
        <v>0.75</v>
      </c>
      <c r="G211" s="8" t="s">
        <v>407</v>
      </c>
    </row>
    <row r="212" spans="1:7" ht="22.5" customHeight="1" x14ac:dyDescent="0.2">
      <c r="A212" s="7">
        <v>46044.7637153588</v>
      </c>
      <c r="B212" s="8" t="s">
        <v>187</v>
      </c>
      <c r="C212" s="8" t="s">
        <v>188</v>
      </c>
      <c r="D212" s="8" t="s">
        <v>165</v>
      </c>
      <c r="E212" s="8" t="s">
        <v>338</v>
      </c>
      <c r="F212" s="9">
        <v>0.75</v>
      </c>
      <c r="G212" s="8" t="s">
        <v>408</v>
      </c>
    </row>
    <row r="213" spans="1:7" ht="22.5" customHeight="1" x14ac:dyDescent="0.2">
      <c r="A213" s="7">
        <v>46044.763801180554</v>
      </c>
      <c r="B213" s="8" t="s">
        <v>147</v>
      </c>
      <c r="C213" s="8" t="s">
        <v>148</v>
      </c>
      <c r="D213" s="8" t="s">
        <v>133</v>
      </c>
      <c r="E213" s="8" t="s">
        <v>338</v>
      </c>
      <c r="F213" s="9">
        <v>0.75</v>
      </c>
      <c r="G213" s="8" t="s">
        <v>409</v>
      </c>
    </row>
    <row r="214" spans="1:7" ht="22.5" customHeight="1" x14ac:dyDescent="0.2">
      <c r="A214" s="7">
        <v>46044.783098032407</v>
      </c>
      <c r="B214" s="8" t="s">
        <v>31</v>
      </c>
      <c r="C214" s="8" t="s">
        <v>32</v>
      </c>
      <c r="D214" s="8" t="s">
        <v>26</v>
      </c>
      <c r="E214" s="8" t="s">
        <v>338</v>
      </c>
      <c r="F214" s="8" t="s">
        <v>410</v>
      </c>
      <c r="G214" s="8" t="s">
        <v>411</v>
      </c>
    </row>
    <row r="215" spans="1:7" ht="22.5" customHeight="1" x14ac:dyDescent="0.2">
      <c r="A215" s="7">
        <v>46044.843461180557</v>
      </c>
      <c r="B215" s="8" t="s">
        <v>183</v>
      </c>
      <c r="C215" s="8" t="s">
        <v>184</v>
      </c>
      <c r="D215" s="8" t="s">
        <v>176</v>
      </c>
      <c r="E215" s="8" t="s">
        <v>338</v>
      </c>
      <c r="F215" s="9">
        <v>0.75</v>
      </c>
      <c r="G215" s="8" t="s">
        <v>412</v>
      </c>
    </row>
    <row r="216" spans="1:7" ht="22.5" customHeight="1" x14ac:dyDescent="0.2">
      <c r="A216" s="7">
        <v>46044.935064988429</v>
      </c>
      <c r="B216" s="8" t="s">
        <v>109</v>
      </c>
      <c r="C216" s="8" t="s">
        <v>110</v>
      </c>
      <c r="D216" s="8" t="s">
        <v>104</v>
      </c>
      <c r="E216" s="8" t="s">
        <v>338</v>
      </c>
      <c r="F216" s="9">
        <v>1</v>
      </c>
      <c r="G216" s="8" t="s">
        <v>413</v>
      </c>
    </row>
    <row r="217" spans="1:7" ht="22.5" customHeight="1" x14ac:dyDescent="0.2">
      <c r="A217" s="7">
        <v>46044.938263969903</v>
      </c>
      <c r="B217" s="8" t="s">
        <v>44</v>
      </c>
      <c r="C217" s="8" t="s">
        <v>45</v>
      </c>
      <c r="D217" s="8" t="s">
        <v>46</v>
      </c>
      <c r="E217" s="8" t="s">
        <v>338</v>
      </c>
      <c r="F217" s="9">
        <v>1</v>
      </c>
      <c r="G217" s="8" t="s">
        <v>414</v>
      </c>
    </row>
    <row r="218" spans="1:7" ht="22.5" customHeight="1" x14ac:dyDescent="0.2">
      <c r="A218" s="7">
        <v>46044.999444618057</v>
      </c>
      <c r="B218" s="8" t="s">
        <v>41</v>
      </c>
      <c r="C218" s="8" t="s">
        <v>42</v>
      </c>
      <c r="D218" s="8" t="s">
        <v>26</v>
      </c>
      <c r="E218" s="8" t="s">
        <v>338</v>
      </c>
      <c r="F218" s="9">
        <v>0.75</v>
      </c>
      <c r="G218" s="8" t="s">
        <v>415</v>
      </c>
    </row>
    <row r="219" spans="1:7" ht="22.5" customHeight="1" x14ac:dyDescent="0.2">
      <c r="A219" s="7">
        <v>46045.392927094908</v>
      </c>
      <c r="B219" s="8" t="s">
        <v>204</v>
      </c>
      <c r="C219" s="8" t="s">
        <v>205</v>
      </c>
      <c r="D219" s="8" t="s">
        <v>196</v>
      </c>
      <c r="E219" s="8" t="s">
        <v>338</v>
      </c>
      <c r="F219" s="9">
        <v>0.6</v>
      </c>
      <c r="G219" s="8" t="s">
        <v>416</v>
      </c>
    </row>
    <row r="220" spans="1:7" ht="22.5" customHeight="1" x14ac:dyDescent="0.2">
      <c r="A220" s="7">
        <v>46045.745427824077</v>
      </c>
      <c r="B220" s="8" t="s">
        <v>44</v>
      </c>
      <c r="C220" s="8" t="s">
        <v>45</v>
      </c>
      <c r="D220" s="8" t="s">
        <v>46</v>
      </c>
      <c r="E220" s="8" t="s">
        <v>417</v>
      </c>
      <c r="F220" s="9">
        <v>1</v>
      </c>
      <c r="G220" s="8" t="s">
        <v>418</v>
      </c>
    </row>
    <row r="221" spans="1:7" ht="22.5" customHeight="1" x14ac:dyDescent="0.2">
      <c r="A221" s="7">
        <v>46045.745490428242</v>
      </c>
      <c r="B221" s="8" t="s">
        <v>252</v>
      </c>
      <c r="C221" s="8" t="s">
        <v>253</v>
      </c>
      <c r="D221" s="8" t="s">
        <v>165</v>
      </c>
      <c r="E221" s="8" t="s">
        <v>417</v>
      </c>
      <c r="F221" s="9">
        <v>1</v>
      </c>
      <c r="G221" s="8" t="s">
        <v>419</v>
      </c>
    </row>
    <row r="222" spans="1:7" ht="22.5" customHeight="1" x14ac:dyDescent="0.2">
      <c r="A222" s="7">
        <v>46045.745506840278</v>
      </c>
      <c r="B222" s="8" t="s">
        <v>154</v>
      </c>
      <c r="C222" s="8" t="s">
        <v>155</v>
      </c>
      <c r="D222" s="8" t="s">
        <v>152</v>
      </c>
      <c r="E222" s="8" t="s">
        <v>417</v>
      </c>
      <c r="F222" s="9">
        <v>1</v>
      </c>
      <c r="G222" s="8" t="s">
        <v>420</v>
      </c>
    </row>
    <row r="223" spans="1:7" ht="22.5" customHeight="1" x14ac:dyDescent="0.2">
      <c r="A223" s="7">
        <v>46045.745542638891</v>
      </c>
      <c r="B223" s="8" t="s">
        <v>85</v>
      </c>
      <c r="C223" s="8" t="s">
        <v>86</v>
      </c>
      <c r="D223" s="8" t="s">
        <v>87</v>
      </c>
      <c r="E223" s="8" t="s">
        <v>417</v>
      </c>
      <c r="F223" s="8" t="s">
        <v>421</v>
      </c>
      <c r="G223" s="8" t="s">
        <v>422</v>
      </c>
    </row>
    <row r="224" spans="1:7" ht="22.5" customHeight="1" x14ac:dyDescent="0.2">
      <c r="A224" s="7">
        <v>46045.745602372685</v>
      </c>
      <c r="B224" s="8" t="s">
        <v>115</v>
      </c>
      <c r="C224" s="8" t="s">
        <v>116</v>
      </c>
      <c r="D224" s="8" t="s">
        <v>117</v>
      </c>
      <c r="E224" s="8" t="s">
        <v>417</v>
      </c>
      <c r="F224" s="9">
        <v>1</v>
      </c>
      <c r="G224" s="8" t="s">
        <v>423</v>
      </c>
    </row>
    <row r="225" spans="1:7" ht="22.5" customHeight="1" x14ac:dyDescent="0.2">
      <c r="A225" s="7">
        <v>46045.745646736112</v>
      </c>
      <c r="B225" s="8" t="s">
        <v>55</v>
      </c>
      <c r="C225" s="8" t="s">
        <v>56</v>
      </c>
      <c r="D225" s="8" t="s">
        <v>46</v>
      </c>
      <c r="E225" s="8" t="s">
        <v>417</v>
      </c>
      <c r="F225" s="9">
        <v>1</v>
      </c>
      <c r="G225" s="8" t="s">
        <v>424</v>
      </c>
    </row>
    <row r="226" spans="1:7" ht="22.5" customHeight="1" x14ac:dyDescent="0.2">
      <c r="A226" s="7">
        <v>46045.745648854165</v>
      </c>
      <c r="B226" s="8" t="s">
        <v>167</v>
      </c>
      <c r="C226" s="8" t="s">
        <v>168</v>
      </c>
      <c r="D226" s="8" t="s">
        <v>165</v>
      </c>
      <c r="E226" s="8" t="s">
        <v>417</v>
      </c>
      <c r="F226" s="9">
        <v>1</v>
      </c>
      <c r="G226" s="8" t="s">
        <v>425</v>
      </c>
    </row>
    <row r="227" spans="1:7" ht="22.5" customHeight="1" x14ac:dyDescent="0.2">
      <c r="A227" s="7">
        <v>46045.74576377315</v>
      </c>
      <c r="B227" s="8" t="s">
        <v>65</v>
      </c>
      <c r="C227" s="8" t="s">
        <v>66</v>
      </c>
      <c r="D227" s="8" t="s">
        <v>60</v>
      </c>
      <c r="E227" s="8" t="s">
        <v>417</v>
      </c>
      <c r="F227" s="9">
        <v>1</v>
      </c>
      <c r="G227" s="8" t="s">
        <v>426</v>
      </c>
    </row>
    <row r="228" spans="1:7" ht="22.5" customHeight="1" x14ac:dyDescent="0.2">
      <c r="A228" s="7">
        <v>46045.745852326392</v>
      </c>
      <c r="B228" s="8" t="s">
        <v>78</v>
      </c>
      <c r="C228" s="8" t="s">
        <v>79</v>
      </c>
      <c r="D228" s="8" t="s">
        <v>76</v>
      </c>
      <c r="E228" s="8" t="s">
        <v>417</v>
      </c>
      <c r="F228" s="8" t="s">
        <v>427</v>
      </c>
      <c r="G228" s="8" t="s">
        <v>428</v>
      </c>
    </row>
    <row r="229" spans="1:7" ht="22.5" customHeight="1" x14ac:dyDescent="0.2">
      <c r="A229" s="7">
        <v>46045.7458921875</v>
      </c>
      <c r="B229" s="8" t="s">
        <v>93</v>
      </c>
      <c r="C229" s="8" t="s">
        <v>94</v>
      </c>
      <c r="D229" s="8" t="s">
        <v>87</v>
      </c>
      <c r="E229" s="8" t="s">
        <v>417</v>
      </c>
      <c r="F229" s="8" t="s">
        <v>429</v>
      </c>
      <c r="G229" s="8" t="s">
        <v>430</v>
      </c>
    </row>
    <row r="230" spans="1:7" ht="22.5" customHeight="1" x14ac:dyDescent="0.2">
      <c r="A230" s="7">
        <v>46045.745923773153</v>
      </c>
      <c r="B230" s="8" t="s">
        <v>290</v>
      </c>
      <c r="C230" s="8" t="s">
        <v>291</v>
      </c>
      <c r="D230" s="8" t="s">
        <v>104</v>
      </c>
      <c r="E230" s="8" t="s">
        <v>417</v>
      </c>
      <c r="F230" s="9">
        <v>0.75</v>
      </c>
      <c r="G230" s="8" t="s">
        <v>431</v>
      </c>
    </row>
    <row r="231" spans="1:7" ht="22.5" customHeight="1" x14ac:dyDescent="0.2">
      <c r="A231" s="7">
        <v>46045.745951874997</v>
      </c>
      <c r="B231" s="8" t="s">
        <v>7</v>
      </c>
      <c r="C231" s="8" t="s">
        <v>8</v>
      </c>
      <c r="D231" s="8" t="s">
        <v>9</v>
      </c>
      <c r="E231" s="8" t="s">
        <v>417</v>
      </c>
      <c r="F231" s="8" t="s">
        <v>432</v>
      </c>
      <c r="G231" s="8" t="s">
        <v>433</v>
      </c>
    </row>
    <row r="232" spans="1:7" ht="22.5" customHeight="1" x14ac:dyDescent="0.2">
      <c r="A232" s="7">
        <v>46045.746070567126</v>
      </c>
      <c r="B232" s="8" t="s">
        <v>255</v>
      </c>
      <c r="C232" s="8" t="s">
        <v>256</v>
      </c>
      <c r="D232" s="8" t="s">
        <v>76</v>
      </c>
      <c r="E232" s="8" t="s">
        <v>417</v>
      </c>
      <c r="F232" s="9">
        <v>1</v>
      </c>
      <c r="G232" s="8" t="s">
        <v>434</v>
      </c>
    </row>
    <row r="233" spans="1:7" ht="22.5" customHeight="1" x14ac:dyDescent="0.2">
      <c r="A233" s="7">
        <v>46045.746180092596</v>
      </c>
      <c r="B233" s="8" t="s">
        <v>62</v>
      </c>
      <c r="C233" s="8" t="s">
        <v>63</v>
      </c>
      <c r="D233" s="8" t="s">
        <v>60</v>
      </c>
      <c r="E233" s="8" t="s">
        <v>417</v>
      </c>
      <c r="F233" s="9">
        <v>1</v>
      </c>
      <c r="G233" s="8" t="s">
        <v>435</v>
      </c>
    </row>
    <row r="234" spans="1:7" ht="22.5" customHeight="1" x14ac:dyDescent="0.2">
      <c r="A234" s="7">
        <v>46045.746206793978</v>
      </c>
      <c r="B234" s="8" t="s">
        <v>71</v>
      </c>
      <c r="C234" s="8" t="s">
        <v>72</v>
      </c>
      <c r="D234" s="8" t="s">
        <v>60</v>
      </c>
      <c r="E234" s="8" t="s">
        <v>417</v>
      </c>
      <c r="F234" s="9">
        <v>1</v>
      </c>
      <c r="G234" s="8" t="s">
        <v>436</v>
      </c>
    </row>
    <row r="235" spans="1:7" ht="22.5" customHeight="1" x14ac:dyDescent="0.2">
      <c r="A235" s="7">
        <v>46045.746278692124</v>
      </c>
      <c r="B235" s="8" t="s">
        <v>131</v>
      </c>
      <c r="C235" s="8" t="s">
        <v>132</v>
      </c>
      <c r="D235" s="8" t="s">
        <v>133</v>
      </c>
      <c r="E235" s="8" t="s">
        <v>417</v>
      </c>
      <c r="F235" s="9">
        <v>0.75</v>
      </c>
      <c r="G235" s="8" t="s">
        <v>437</v>
      </c>
    </row>
    <row r="236" spans="1:7" ht="22.5" customHeight="1" x14ac:dyDescent="0.2">
      <c r="A236" s="7">
        <v>46045.746398217598</v>
      </c>
      <c r="B236" s="8" t="s">
        <v>246</v>
      </c>
      <c r="C236" s="8" t="s">
        <v>247</v>
      </c>
      <c r="D236" s="8" t="s">
        <v>104</v>
      </c>
      <c r="E236" s="8" t="s">
        <v>417</v>
      </c>
      <c r="F236" s="9">
        <v>1</v>
      </c>
      <c r="G236" s="8" t="s">
        <v>438</v>
      </c>
    </row>
    <row r="237" spans="1:7" ht="22.5" customHeight="1" x14ac:dyDescent="0.2">
      <c r="A237" s="7">
        <v>46045.746509247685</v>
      </c>
      <c r="B237" s="8" t="s">
        <v>198</v>
      </c>
      <c r="C237" s="8" t="s">
        <v>199</v>
      </c>
      <c r="D237" s="8" t="s">
        <v>196</v>
      </c>
      <c r="E237" s="8" t="s">
        <v>417</v>
      </c>
      <c r="F237" s="9">
        <v>0.75</v>
      </c>
      <c r="G237" s="8" t="s">
        <v>439</v>
      </c>
    </row>
    <row r="238" spans="1:7" ht="22.5" customHeight="1" x14ac:dyDescent="0.2">
      <c r="A238" s="7">
        <v>46045.746587314818</v>
      </c>
      <c r="B238" s="8" t="s">
        <v>150</v>
      </c>
      <c r="C238" s="8" t="s">
        <v>151</v>
      </c>
      <c r="D238" s="8" t="s">
        <v>152</v>
      </c>
      <c r="E238" s="8" t="s">
        <v>417</v>
      </c>
      <c r="F238" s="8" t="s">
        <v>440</v>
      </c>
      <c r="G238" s="8" t="s">
        <v>441</v>
      </c>
    </row>
    <row r="239" spans="1:7" ht="22.5" customHeight="1" x14ac:dyDescent="0.2">
      <c r="A239" s="7">
        <v>46045.74658648148</v>
      </c>
      <c r="B239" s="8" t="s">
        <v>12</v>
      </c>
      <c r="C239" s="8" t="s">
        <v>13</v>
      </c>
      <c r="D239" s="8" t="s">
        <v>9</v>
      </c>
      <c r="E239" s="8" t="s">
        <v>417</v>
      </c>
      <c r="F239" s="8" t="s">
        <v>442</v>
      </c>
      <c r="G239" s="8" t="s">
        <v>443</v>
      </c>
    </row>
    <row r="240" spans="1:7" ht="22.5" customHeight="1" x14ac:dyDescent="0.2">
      <c r="A240" s="7">
        <v>46045.746660578705</v>
      </c>
      <c r="B240" s="8" t="s">
        <v>128</v>
      </c>
      <c r="C240" s="8" t="s">
        <v>129</v>
      </c>
      <c r="D240" s="8" t="s">
        <v>117</v>
      </c>
      <c r="E240" s="8" t="s">
        <v>417</v>
      </c>
      <c r="F240" s="8" t="s">
        <v>444</v>
      </c>
      <c r="G240" s="8" t="s">
        <v>445</v>
      </c>
    </row>
    <row r="241" spans="1:7" ht="22.5" customHeight="1" x14ac:dyDescent="0.2">
      <c r="A241" s="7">
        <v>46045.746665312501</v>
      </c>
      <c r="B241" s="8" t="s">
        <v>230</v>
      </c>
      <c r="C241" s="8" t="s">
        <v>231</v>
      </c>
      <c r="D241" s="8" t="s">
        <v>228</v>
      </c>
      <c r="E241" s="8" t="s">
        <v>417</v>
      </c>
      <c r="F241" s="8" t="s">
        <v>446</v>
      </c>
      <c r="G241" s="8" t="s">
        <v>447</v>
      </c>
    </row>
    <row r="242" spans="1:7" ht="22.5" customHeight="1" x14ac:dyDescent="0.2">
      <c r="A242" s="7">
        <v>46045.74667768518</v>
      </c>
      <c r="B242" s="8" t="s">
        <v>226</v>
      </c>
      <c r="C242" s="8" t="s">
        <v>227</v>
      </c>
      <c r="D242" s="8" t="s">
        <v>228</v>
      </c>
      <c r="E242" s="8" t="s">
        <v>417</v>
      </c>
      <c r="F242" s="10">
        <v>0.998</v>
      </c>
      <c r="G242" s="8" t="s">
        <v>448</v>
      </c>
    </row>
    <row r="243" spans="1:7" ht="22.5" customHeight="1" x14ac:dyDescent="0.2">
      <c r="A243" s="7">
        <v>46045.746746087963</v>
      </c>
      <c r="B243" s="8" t="s">
        <v>24</v>
      </c>
      <c r="C243" s="8" t="s">
        <v>25</v>
      </c>
      <c r="D243" s="8" t="s">
        <v>26</v>
      </c>
      <c r="E243" s="8" t="s">
        <v>417</v>
      </c>
      <c r="F243" s="8" t="s">
        <v>449</v>
      </c>
      <c r="G243" s="8" t="s">
        <v>450</v>
      </c>
    </row>
    <row r="244" spans="1:7" ht="22.5" customHeight="1" x14ac:dyDescent="0.2">
      <c r="A244" s="7">
        <v>46045.746883530097</v>
      </c>
      <c r="B244" s="8" t="s">
        <v>179</v>
      </c>
      <c r="C244" s="8" t="s">
        <v>180</v>
      </c>
      <c r="D244" s="8" t="s">
        <v>176</v>
      </c>
      <c r="E244" s="8" t="s">
        <v>417</v>
      </c>
      <c r="F244" s="9">
        <v>1</v>
      </c>
      <c r="G244" s="8" t="s">
        <v>451</v>
      </c>
    </row>
    <row r="245" spans="1:7" ht="22.5" customHeight="1" x14ac:dyDescent="0.2">
      <c r="A245" s="7">
        <v>46045.747235648145</v>
      </c>
      <c r="B245" s="8" t="s">
        <v>102</v>
      </c>
      <c r="C245" s="8" t="s">
        <v>103</v>
      </c>
      <c r="D245" s="8" t="s">
        <v>104</v>
      </c>
      <c r="E245" s="8" t="s">
        <v>417</v>
      </c>
      <c r="F245" s="9">
        <v>0.75</v>
      </c>
      <c r="G245" s="8" t="s">
        <v>452</v>
      </c>
    </row>
    <row r="246" spans="1:7" ht="22.5" customHeight="1" x14ac:dyDescent="0.2">
      <c r="A246" s="7">
        <v>46045.747389849537</v>
      </c>
      <c r="B246" s="8" t="s">
        <v>157</v>
      </c>
      <c r="C246" s="8" t="s">
        <v>158</v>
      </c>
      <c r="D246" s="8" t="s">
        <v>152</v>
      </c>
      <c r="E246" s="8" t="s">
        <v>417</v>
      </c>
      <c r="F246" s="9">
        <v>1</v>
      </c>
      <c r="G246" s="8" t="s">
        <v>453</v>
      </c>
    </row>
    <row r="247" spans="1:7" ht="22.5" customHeight="1" x14ac:dyDescent="0.2">
      <c r="A247" s="7">
        <v>46045.7476316088</v>
      </c>
      <c r="B247" s="8" t="s">
        <v>52</v>
      </c>
      <c r="C247" s="8" t="s">
        <v>53</v>
      </c>
      <c r="D247" s="8" t="s">
        <v>46</v>
      </c>
      <c r="E247" s="8" t="s">
        <v>417</v>
      </c>
      <c r="F247" s="9">
        <v>1</v>
      </c>
      <c r="G247" s="8" t="s">
        <v>454</v>
      </c>
    </row>
    <row r="248" spans="1:7" ht="22.5" customHeight="1" x14ac:dyDescent="0.2">
      <c r="A248" s="7">
        <v>46045.747641956019</v>
      </c>
      <c r="B248" s="8" t="s">
        <v>106</v>
      </c>
      <c r="C248" s="8" t="s">
        <v>107</v>
      </c>
      <c r="D248" s="8" t="s">
        <v>104</v>
      </c>
      <c r="E248" s="8" t="s">
        <v>417</v>
      </c>
      <c r="F248" s="9">
        <v>0.9</v>
      </c>
      <c r="G248" s="8" t="s">
        <v>455</v>
      </c>
    </row>
    <row r="249" spans="1:7" ht="22.5" customHeight="1" x14ac:dyDescent="0.2">
      <c r="A249" s="7">
        <v>46045.747668252312</v>
      </c>
      <c r="B249" s="8" t="s">
        <v>15</v>
      </c>
      <c r="C249" s="8" t="s">
        <v>16</v>
      </c>
      <c r="D249" s="8" t="s">
        <v>9</v>
      </c>
      <c r="E249" s="8" t="s">
        <v>417</v>
      </c>
      <c r="F249" s="9">
        <v>0.75</v>
      </c>
      <c r="G249" s="8" t="s">
        <v>456</v>
      </c>
    </row>
    <row r="250" spans="1:7" ht="22.5" customHeight="1" x14ac:dyDescent="0.2">
      <c r="A250" s="7">
        <v>46045.747944780094</v>
      </c>
      <c r="B250" s="8" t="s">
        <v>174</v>
      </c>
      <c r="C250" s="8" t="s">
        <v>175</v>
      </c>
      <c r="D250" s="8" t="s">
        <v>176</v>
      </c>
      <c r="E250" s="8" t="s">
        <v>417</v>
      </c>
      <c r="F250" s="9">
        <v>1</v>
      </c>
      <c r="G250" s="8" t="s">
        <v>457</v>
      </c>
    </row>
    <row r="251" spans="1:7" ht="22.5" customHeight="1" x14ac:dyDescent="0.2">
      <c r="A251" s="7">
        <v>46045.748320555555</v>
      </c>
      <c r="B251" s="8" t="s">
        <v>135</v>
      </c>
      <c r="C251" s="8" t="s">
        <v>136</v>
      </c>
      <c r="D251" s="8" t="s">
        <v>133</v>
      </c>
      <c r="E251" s="8" t="s">
        <v>417</v>
      </c>
      <c r="F251" s="9">
        <v>0.75</v>
      </c>
      <c r="G251" s="8" t="s">
        <v>458</v>
      </c>
    </row>
    <row r="252" spans="1:7" ht="22.5" customHeight="1" x14ac:dyDescent="0.2">
      <c r="A252" s="7">
        <v>46045.748492708335</v>
      </c>
      <c r="B252" s="8" t="s">
        <v>147</v>
      </c>
      <c r="C252" s="8" t="s">
        <v>148</v>
      </c>
      <c r="D252" s="8" t="s">
        <v>133</v>
      </c>
      <c r="E252" s="8" t="s">
        <v>417</v>
      </c>
      <c r="F252" s="9">
        <v>0.5</v>
      </c>
      <c r="G252" s="8" t="s">
        <v>459</v>
      </c>
    </row>
    <row r="253" spans="1:7" ht="22.5" customHeight="1" x14ac:dyDescent="0.2">
      <c r="A253" s="7">
        <v>46045.748499907408</v>
      </c>
      <c r="B253" s="8" t="s">
        <v>96</v>
      </c>
      <c r="C253" s="8" t="s">
        <v>97</v>
      </c>
      <c r="D253" s="8" t="s">
        <v>87</v>
      </c>
      <c r="E253" s="8" t="s">
        <v>417</v>
      </c>
      <c r="F253" s="9">
        <v>0.9</v>
      </c>
      <c r="G253" s="8" t="s">
        <v>460</v>
      </c>
    </row>
    <row r="254" spans="1:7" ht="22.5" customHeight="1" x14ac:dyDescent="0.2">
      <c r="A254" s="7">
        <v>46045.748547268522</v>
      </c>
      <c r="B254" s="8" t="s">
        <v>21</v>
      </c>
      <c r="C254" s="8" t="s">
        <v>22</v>
      </c>
      <c r="D254" s="8" t="s">
        <v>9</v>
      </c>
      <c r="E254" s="8" t="s">
        <v>417</v>
      </c>
      <c r="F254" s="9">
        <v>1</v>
      </c>
      <c r="G254" s="8" t="s">
        <v>461</v>
      </c>
    </row>
    <row r="255" spans="1:7" ht="22.5" customHeight="1" x14ac:dyDescent="0.2">
      <c r="A255" s="7">
        <v>46045.748752071755</v>
      </c>
      <c r="B255" s="8" t="s">
        <v>74</v>
      </c>
      <c r="C255" s="8" t="s">
        <v>75</v>
      </c>
      <c r="D255" s="8" t="s">
        <v>76</v>
      </c>
      <c r="E255" s="8" t="s">
        <v>417</v>
      </c>
      <c r="F255" s="9">
        <v>1</v>
      </c>
      <c r="G255" s="8" t="s">
        <v>462</v>
      </c>
    </row>
    <row r="256" spans="1:7" ht="22.5" customHeight="1" x14ac:dyDescent="0.2">
      <c r="A256" s="7">
        <v>46045.748855601851</v>
      </c>
      <c r="B256" s="8" t="s">
        <v>99</v>
      </c>
      <c r="C256" s="8" t="s">
        <v>100</v>
      </c>
      <c r="D256" s="8" t="s">
        <v>87</v>
      </c>
      <c r="E256" s="8" t="s">
        <v>417</v>
      </c>
      <c r="F256" s="9">
        <v>0.98</v>
      </c>
      <c r="G256" s="8" t="s">
        <v>463</v>
      </c>
    </row>
    <row r="257" spans="1:7" ht="22.5" customHeight="1" x14ac:dyDescent="0.2">
      <c r="A257" s="7">
        <v>46045.749290231484</v>
      </c>
      <c r="B257" s="8" t="s">
        <v>240</v>
      </c>
      <c r="C257" s="8" t="s">
        <v>241</v>
      </c>
      <c r="D257" s="8" t="s">
        <v>228</v>
      </c>
      <c r="E257" s="8" t="s">
        <v>417</v>
      </c>
      <c r="F257" s="9">
        <v>0.99</v>
      </c>
      <c r="G257" s="8" t="s">
        <v>464</v>
      </c>
    </row>
    <row r="258" spans="1:7" ht="22.5" customHeight="1" x14ac:dyDescent="0.2">
      <c r="A258" s="7">
        <v>46045.749408935182</v>
      </c>
      <c r="B258" s="8" t="s">
        <v>138</v>
      </c>
      <c r="C258" s="8" t="s">
        <v>139</v>
      </c>
      <c r="D258" s="8" t="s">
        <v>133</v>
      </c>
      <c r="E258" s="8" t="s">
        <v>417</v>
      </c>
      <c r="F258" s="9">
        <v>0.75</v>
      </c>
      <c r="G258" s="8" t="s">
        <v>465</v>
      </c>
    </row>
    <row r="259" spans="1:7" ht="22.5" customHeight="1" x14ac:dyDescent="0.2">
      <c r="A259" s="7">
        <v>46045.749483645835</v>
      </c>
      <c r="B259" s="8" t="s">
        <v>18</v>
      </c>
      <c r="C259" s="8" t="s">
        <v>19</v>
      </c>
      <c r="D259" s="8" t="s">
        <v>9</v>
      </c>
      <c r="E259" s="8" t="s">
        <v>417</v>
      </c>
      <c r="F259" s="9">
        <v>0.75</v>
      </c>
      <c r="G259" s="8" t="s">
        <v>466</v>
      </c>
    </row>
    <row r="260" spans="1:7" ht="22.5" customHeight="1" x14ac:dyDescent="0.2">
      <c r="A260" s="7">
        <v>46045.749765613422</v>
      </c>
      <c r="B260" s="8" t="s">
        <v>34</v>
      </c>
      <c r="C260" s="8" t="s">
        <v>35</v>
      </c>
      <c r="D260" s="8" t="s">
        <v>26</v>
      </c>
      <c r="E260" s="8" t="s">
        <v>417</v>
      </c>
      <c r="F260" s="8" t="s">
        <v>467</v>
      </c>
      <c r="G260" s="8" t="s">
        <v>468</v>
      </c>
    </row>
    <row r="261" spans="1:7" ht="22.5" customHeight="1" x14ac:dyDescent="0.2">
      <c r="A261" s="7">
        <v>46045.749974143517</v>
      </c>
      <c r="B261" s="8" t="s">
        <v>141</v>
      </c>
      <c r="C261" s="8" t="s">
        <v>142</v>
      </c>
      <c r="D261" s="8" t="s">
        <v>133</v>
      </c>
      <c r="E261" s="8" t="s">
        <v>417</v>
      </c>
      <c r="F261" s="9">
        <v>0.75</v>
      </c>
      <c r="G261" s="8" t="s">
        <v>469</v>
      </c>
    </row>
    <row r="262" spans="1:7" ht="22.5" customHeight="1" x14ac:dyDescent="0.2">
      <c r="A262" s="7">
        <v>46045.749983391201</v>
      </c>
      <c r="B262" s="8" t="s">
        <v>119</v>
      </c>
      <c r="C262" s="8" t="s">
        <v>120</v>
      </c>
      <c r="D262" s="8" t="s">
        <v>117</v>
      </c>
      <c r="E262" s="8" t="s">
        <v>417</v>
      </c>
      <c r="F262" s="9">
        <v>0.5</v>
      </c>
      <c r="G262" s="8" t="s">
        <v>470</v>
      </c>
    </row>
    <row r="263" spans="1:7" ht="22.5" customHeight="1" x14ac:dyDescent="0.2">
      <c r="A263" s="7">
        <v>46045.75003278935</v>
      </c>
      <c r="B263" s="8" t="s">
        <v>28</v>
      </c>
      <c r="C263" s="8" t="s">
        <v>29</v>
      </c>
      <c r="D263" s="8" t="s">
        <v>26</v>
      </c>
      <c r="E263" s="8" t="s">
        <v>417</v>
      </c>
      <c r="F263" s="9">
        <v>0.75</v>
      </c>
      <c r="G263" s="8" t="s">
        <v>471</v>
      </c>
    </row>
    <row r="264" spans="1:7" ht="22.5" customHeight="1" x14ac:dyDescent="0.2">
      <c r="A264" s="7">
        <v>46045.750035428238</v>
      </c>
      <c r="B264" s="8" t="s">
        <v>122</v>
      </c>
      <c r="C264" s="8" t="s">
        <v>123</v>
      </c>
      <c r="D264" s="8" t="s">
        <v>117</v>
      </c>
      <c r="E264" s="8" t="s">
        <v>417</v>
      </c>
      <c r="F264" s="9">
        <v>1</v>
      </c>
      <c r="G264" s="8" t="s">
        <v>472</v>
      </c>
    </row>
    <row r="265" spans="1:7" ht="22.5" customHeight="1" x14ac:dyDescent="0.2">
      <c r="A265" s="7">
        <v>46045.750174317131</v>
      </c>
      <c r="B265" s="8" t="s">
        <v>68</v>
      </c>
      <c r="C265" s="8" t="s">
        <v>69</v>
      </c>
      <c r="D265" s="8" t="s">
        <v>60</v>
      </c>
      <c r="E265" s="8" t="s">
        <v>417</v>
      </c>
      <c r="F265" s="9">
        <v>1</v>
      </c>
      <c r="G265" s="8" t="s">
        <v>473</v>
      </c>
    </row>
    <row r="266" spans="1:7" ht="22.5" customHeight="1" x14ac:dyDescent="0.2">
      <c r="A266" s="7">
        <v>46045.750568437499</v>
      </c>
      <c r="B266" s="8" t="s">
        <v>214</v>
      </c>
      <c r="C266" s="8" t="s">
        <v>215</v>
      </c>
      <c r="D266" s="8" t="s">
        <v>212</v>
      </c>
      <c r="E266" s="8" t="s">
        <v>417</v>
      </c>
      <c r="F266" s="9">
        <v>0.5</v>
      </c>
      <c r="G266" s="8" t="s">
        <v>474</v>
      </c>
    </row>
    <row r="267" spans="1:7" ht="22.5" customHeight="1" x14ac:dyDescent="0.2">
      <c r="A267" s="7">
        <v>46045.751347337966</v>
      </c>
      <c r="B267" s="8" t="s">
        <v>236</v>
      </c>
      <c r="C267" s="8" t="s">
        <v>237</v>
      </c>
      <c r="D267" s="8" t="s">
        <v>228</v>
      </c>
      <c r="E267" s="8" t="s">
        <v>417</v>
      </c>
      <c r="F267" s="9">
        <v>0.75</v>
      </c>
      <c r="G267" s="8" t="s">
        <v>475</v>
      </c>
    </row>
    <row r="268" spans="1:7" ht="22.5" customHeight="1" x14ac:dyDescent="0.2">
      <c r="A268" s="7">
        <v>46045.752355717588</v>
      </c>
      <c r="B268" s="8" t="s">
        <v>210</v>
      </c>
      <c r="C268" s="8" t="s">
        <v>211</v>
      </c>
      <c r="D268" s="8" t="s">
        <v>212</v>
      </c>
      <c r="E268" s="8" t="s">
        <v>417</v>
      </c>
      <c r="F268" s="9">
        <v>0.75</v>
      </c>
      <c r="G268" s="8" t="s">
        <v>476</v>
      </c>
    </row>
    <row r="269" spans="1:7" ht="22.5" customHeight="1" x14ac:dyDescent="0.2">
      <c r="A269" s="7">
        <v>46045.752670381946</v>
      </c>
      <c r="B269" s="8" t="s">
        <v>233</v>
      </c>
      <c r="C269" s="8" t="s">
        <v>234</v>
      </c>
      <c r="D269" s="8" t="s">
        <v>228</v>
      </c>
      <c r="E269" s="8" t="s">
        <v>417</v>
      </c>
      <c r="F269" s="9">
        <v>1</v>
      </c>
      <c r="G269" s="8" t="s">
        <v>477</v>
      </c>
    </row>
    <row r="270" spans="1:7" ht="22.5" customHeight="1" x14ac:dyDescent="0.2">
      <c r="A270" s="7">
        <v>46045.753492812495</v>
      </c>
      <c r="B270" s="8" t="s">
        <v>191</v>
      </c>
      <c r="C270" s="8" t="s">
        <v>192</v>
      </c>
      <c r="D270" s="8" t="s">
        <v>176</v>
      </c>
      <c r="E270" s="8" t="s">
        <v>417</v>
      </c>
      <c r="F270" s="9">
        <v>1</v>
      </c>
      <c r="G270" s="8" t="s">
        <v>478</v>
      </c>
    </row>
    <row r="271" spans="1:7" ht="22.5" customHeight="1" x14ac:dyDescent="0.2">
      <c r="A271" s="7">
        <v>46045.754191597225</v>
      </c>
      <c r="B271" s="8" t="s">
        <v>163</v>
      </c>
      <c r="C271" s="8" t="s">
        <v>164</v>
      </c>
      <c r="D271" s="8" t="s">
        <v>165</v>
      </c>
      <c r="E271" s="8" t="s">
        <v>417</v>
      </c>
      <c r="F271" s="9">
        <v>1</v>
      </c>
      <c r="G271" s="8" t="s">
        <v>479</v>
      </c>
    </row>
    <row r="272" spans="1:7" ht="22.5" customHeight="1" x14ac:dyDescent="0.2">
      <c r="A272" s="7">
        <v>46045.754522118055</v>
      </c>
      <c r="B272" s="8" t="s">
        <v>90</v>
      </c>
      <c r="C272" s="8" t="s">
        <v>91</v>
      </c>
      <c r="D272" s="8" t="s">
        <v>87</v>
      </c>
      <c r="E272" s="8" t="s">
        <v>417</v>
      </c>
      <c r="F272" s="9">
        <v>0.9</v>
      </c>
      <c r="G272" s="8" t="s">
        <v>480</v>
      </c>
    </row>
    <row r="273" spans="1:7" ht="22.5" customHeight="1" x14ac:dyDescent="0.2">
      <c r="A273" s="7">
        <v>46045.76158475694</v>
      </c>
      <c r="B273" s="8" t="s">
        <v>170</v>
      </c>
      <c r="C273" s="8" t="s">
        <v>171</v>
      </c>
      <c r="D273" s="8" t="s">
        <v>165</v>
      </c>
      <c r="E273" s="8" t="s">
        <v>417</v>
      </c>
      <c r="F273" s="9">
        <v>1</v>
      </c>
      <c r="G273" s="8" t="s">
        <v>481</v>
      </c>
    </row>
    <row r="274" spans="1:7" ht="22.5" customHeight="1" x14ac:dyDescent="0.2">
      <c r="A274" s="7">
        <v>46045.762936678242</v>
      </c>
      <c r="B274" s="8" t="s">
        <v>243</v>
      </c>
      <c r="C274" s="8" t="s">
        <v>244</v>
      </c>
      <c r="D274" s="8" t="s">
        <v>165</v>
      </c>
      <c r="E274" s="8" t="s">
        <v>417</v>
      </c>
      <c r="F274" s="9">
        <v>1</v>
      </c>
      <c r="G274" s="8" t="s">
        <v>482</v>
      </c>
    </row>
    <row r="275" spans="1:7" ht="22.5" customHeight="1" x14ac:dyDescent="0.2">
      <c r="A275" s="7">
        <v>46045.766583854165</v>
      </c>
      <c r="B275" s="8" t="s">
        <v>82</v>
      </c>
      <c r="C275" s="8" t="s">
        <v>83</v>
      </c>
      <c r="D275" s="8" t="s">
        <v>76</v>
      </c>
      <c r="E275" s="8" t="s">
        <v>417</v>
      </c>
      <c r="F275" s="9">
        <v>1</v>
      </c>
      <c r="G275" s="8" t="s">
        <v>483</v>
      </c>
    </row>
    <row r="276" spans="1:7" ht="22.5" customHeight="1" x14ac:dyDescent="0.2">
      <c r="A276" s="7">
        <v>46045.768756701393</v>
      </c>
      <c r="B276" s="8" t="s">
        <v>160</v>
      </c>
      <c r="C276" s="8" t="s">
        <v>161</v>
      </c>
      <c r="D276" s="8" t="s">
        <v>152</v>
      </c>
      <c r="E276" s="8" t="s">
        <v>417</v>
      </c>
      <c r="F276" s="9">
        <v>1</v>
      </c>
      <c r="G276" s="8" t="s">
        <v>484</v>
      </c>
    </row>
    <row r="277" spans="1:7" ht="22.5" customHeight="1" x14ac:dyDescent="0.2">
      <c r="A277" s="7">
        <v>46045.773137534721</v>
      </c>
      <c r="B277" s="8" t="s">
        <v>223</v>
      </c>
      <c r="C277" s="8" t="s">
        <v>224</v>
      </c>
      <c r="D277" s="8" t="s">
        <v>212</v>
      </c>
      <c r="E277" s="8" t="s">
        <v>417</v>
      </c>
      <c r="F277" s="9">
        <v>0.75</v>
      </c>
      <c r="G277" s="8" t="s">
        <v>485</v>
      </c>
    </row>
    <row r="278" spans="1:7" ht="22.5" customHeight="1" x14ac:dyDescent="0.2">
      <c r="A278" s="7">
        <v>46045.780556597223</v>
      </c>
      <c r="B278" s="8" t="s">
        <v>204</v>
      </c>
      <c r="C278" s="8" t="s">
        <v>205</v>
      </c>
      <c r="D278" s="8" t="s">
        <v>196</v>
      </c>
      <c r="E278" s="8" t="s">
        <v>417</v>
      </c>
      <c r="F278" s="9">
        <v>0.9</v>
      </c>
      <c r="G278" s="8" t="s">
        <v>486</v>
      </c>
    </row>
    <row r="279" spans="1:7" ht="22.5" customHeight="1" x14ac:dyDescent="0.2">
      <c r="A279" s="7">
        <v>46045.785553368056</v>
      </c>
      <c r="B279" s="8" t="s">
        <v>207</v>
      </c>
      <c r="C279" s="8" t="s">
        <v>208</v>
      </c>
      <c r="D279" s="8" t="s">
        <v>196</v>
      </c>
      <c r="E279" s="8" t="s">
        <v>417</v>
      </c>
      <c r="F279" s="8" t="s">
        <v>487</v>
      </c>
      <c r="G279" s="8" t="s">
        <v>488</v>
      </c>
    </row>
    <row r="280" spans="1:7" ht="22.5" customHeight="1" x14ac:dyDescent="0.2">
      <c r="A280" s="7">
        <v>46045.796591770835</v>
      </c>
      <c r="B280" s="8" t="s">
        <v>38</v>
      </c>
      <c r="C280" s="8" t="s">
        <v>39</v>
      </c>
      <c r="D280" s="8" t="s">
        <v>26</v>
      </c>
      <c r="E280" s="8" t="s">
        <v>417</v>
      </c>
      <c r="F280" s="9">
        <v>1</v>
      </c>
      <c r="G280" s="8" t="s">
        <v>489</v>
      </c>
    </row>
    <row r="281" spans="1:7" ht="22.5" customHeight="1" x14ac:dyDescent="0.2">
      <c r="A281" s="7">
        <v>46045.804770844908</v>
      </c>
      <c r="B281" s="8" t="s">
        <v>109</v>
      </c>
      <c r="C281" s="8" t="s">
        <v>110</v>
      </c>
      <c r="D281" s="8" t="s">
        <v>104</v>
      </c>
      <c r="E281" s="8" t="s">
        <v>417</v>
      </c>
      <c r="F281" s="9">
        <v>0.75</v>
      </c>
      <c r="G281" s="8" t="s">
        <v>490</v>
      </c>
    </row>
    <row r="282" spans="1:7" ht="22.5" customHeight="1" x14ac:dyDescent="0.2">
      <c r="A282" s="7">
        <v>46045.84701302083</v>
      </c>
      <c r="B282" s="8" t="s">
        <v>48</v>
      </c>
      <c r="C282" s="8" t="s">
        <v>49</v>
      </c>
      <c r="D282" s="8" t="s">
        <v>46</v>
      </c>
      <c r="E282" s="8" t="s">
        <v>417</v>
      </c>
      <c r="F282" s="8" t="s">
        <v>491</v>
      </c>
      <c r="G282" s="8" t="s">
        <v>492</v>
      </c>
    </row>
    <row r="283" spans="1:7" ht="22.5" customHeight="1" x14ac:dyDescent="0.2">
      <c r="A283" s="7">
        <v>46045.88489721065</v>
      </c>
      <c r="B283" s="8" t="s">
        <v>144</v>
      </c>
      <c r="C283" s="8" t="s">
        <v>145</v>
      </c>
      <c r="D283" s="8" t="s">
        <v>133</v>
      </c>
      <c r="E283" s="8" t="s">
        <v>417</v>
      </c>
      <c r="F283" s="9">
        <v>0.75</v>
      </c>
      <c r="G283" s="8" t="s">
        <v>493</v>
      </c>
    </row>
    <row r="284" spans="1:7" ht="22.5" customHeight="1" x14ac:dyDescent="0.2">
      <c r="A284" s="7">
        <v>46045.950208657407</v>
      </c>
      <c r="B284" s="8" t="s">
        <v>41</v>
      </c>
      <c r="C284" s="8" t="s">
        <v>42</v>
      </c>
      <c r="D284" s="8" t="s">
        <v>26</v>
      </c>
      <c r="E284" s="8" t="s">
        <v>417</v>
      </c>
      <c r="F284" s="9">
        <v>1</v>
      </c>
      <c r="G284" s="8" t="s">
        <v>494</v>
      </c>
    </row>
    <row r="285" spans="1:7" ht="22.5" customHeight="1" x14ac:dyDescent="0.2">
      <c r="A285" s="7">
        <v>46045.995597986112</v>
      </c>
      <c r="B285" s="8" t="s">
        <v>249</v>
      </c>
      <c r="C285" s="8" t="s">
        <v>250</v>
      </c>
      <c r="D285" s="8" t="s">
        <v>117</v>
      </c>
      <c r="E285" s="8" t="s">
        <v>417</v>
      </c>
      <c r="F285" s="9">
        <v>0.75</v>
      </c>
      <c r="G285" s="8" t="s">
        <v>495</v>
      </c>
    </row>
    <row r="286" spans="1:7" ht="22.5" customHeight="1" x14ac:dyDescent="0.2">
      <c r="A286" s="7">
        <v>46046.085251666664</v>
      </c>
      <c r="B286" s="8" t="s">
        <v>112</v>
      </c>
      <c r="C286" s="8" t="s">
        <v>113</v>
      </c>
      <c r="D286" s="8" t="s">
        <v>104</v>
      </c>
      <c r="E286" s="8" t="s">
        <v>417</v>
      </c>
      <c r="F286" s="9">
        <v>0.75</v>
      </c>
      <c r="G286" s="8" t="s">
        <v>496</v>
      </c>
    </row>
    <row r="287" spans="1:7" ht="22.5" customHeight="1" x14ac:dyDescent="0.2">
      <c r="A287" s="11"/>
      <c r="B287" s="11"/>
      <c r="C287" s="11"/>
      <c r="D287" s="11"/>
      <c r="E287" s="12"/>
      <c r="F287" s="11"/>
      <c r="G287" s="13"/>
    </row>
    <row r="288" spans="1:7" ht="12.75" x14ac:dyDescent="0.2">
      <c r="G288" s="14"/>
    </row>
    <row r="289" spans="7:7" ht="12.75" x14ac:dyDescent="0.2">
      <c r="G289" s="14"/>
    </row>
    <row r="290" spans="7:7" ht="12.75" x14ac:dyDescent="0.2">
      <c r="G290" s="14"/>
    </row>
    <row r="291" spans="7:7" ht="12.75" x14ac:dyDescent="0.2">
      <c r="G291" s="14"/>
    </row>
    <row r="292" spans="7:7" ht="12.75" x14ac:dyDescent="0.2">
      <c r="G292" s="14"/>
    </row>
    <row r="293" spans="7:7" ht="12.75" x14ac:dyDescent="0.2">
      <c r="G293" s="14"/>
    </row>
    <row r="294" spans="7:7" ht="12.75" x14ac:dyDescent="0.2">
      <c r="G294" s="14"/>
    </row>
    <row r="295" spans="7:7" ht="12.75" x14ac:dyDescent="0.2">
      <c r="G295" s="14"/>
    </row>
    <row r="296" spans="7:7" ht="12.75" x14ac:dyDescent="0.2">
      <c r="G296" s="14"/>
    </row>
    <row r="297" spans="7:7" ht="12.75" x14ac:dyDescent="0.2">
      <c r="G297" s="14"/>
    </row>
    <row r="298" spans="7:7" ht="12.75" x14ac:dyDescent="0.2">
      <c r="G298" s="14"/>
    </row>
    <row r="299" spans="7:7" ht="12.75" x14ac:dyDescent="0.2">
      <c r="G299" s="14"/>
    </row>
    <row r="300" spans="7:7" ht="12.75" x14ac:dyDescent="0.2">
      <c r="G300" s="14"/>
    </row>
    <row r="301" spans="7:7" ht="12.75" x14ac:dyDescent="0.2">
      <c r="G301" s="14"/>
    </row>
    <row r="302" spans="7:7" ht="12.75" x14ac:dyDescent="0.2">
      <c r="G302" s="14"/>
    </row>
    <row r="303" spans="7:7" ht="12.75" x14ac:dyDescent="0.2">
      <c r="G303" s="14"/>
    </row>
    <row r="304" spans="7:7" ht="12.75" x14ac:dyDescent="0.2">
      <c r="G304" s="14"/>
    </row>
    <row r="305" spans="7:7" ht="12.75" x14ac:dyDescent="0.2">
      <c r="G305" s="14"/>
    </row>
    <row r="306" spans="7:7" ht="12.75" x14ac:dyDescent="0.2">
      <c r="G306" s="14"/>
    </row>
    <row r="307" spans="7:7" ht="12.75" x14ac:dyDescent="0.2">
      <c r="G307" s="14"/>
    </row>
    <row r="308" spans="7:7" ht="12.75" x14ac:dyDescent="0.2">
      <c r="G308" s="14"/>
    </row>
    <row r="309" spans="7:7" ht="12.75" x14ac:dyDescent="0.2">
      <c r="G309" s="14"/>
    </row>
    <row r="310" spans="7:7" ht="12.75" x14ac:dyDescent="0.2">
      <c r="G310" s="14"/>
    </row>
    <row r="311" spans="7:7" ht="12.75" x14ac:dyDescent="0.2">
      <c r="G311" s="14"/>
    </row>
    <row r="312" spans="7:7" ht="12.75" x14ac:dyDescent="0.2">
      <c r="G312" s="14"/>
    </row>
    <row r="313" spans="7:7" ht="12.75" x14ac:dyDescent="0.2">
      <c r="G313" s="14"/>
    </row>
    <row r="314" spans="7:7" ht="12.75" x14ac:dyDescent="0.2">
      <c r="G314" s="14"/>
    </row>
    <row r="315" spans="7:7" ht="12.75" x14ac:dyDescent="0.2">
      <c r="G315" s="14"/>
    </row>
    <row r="316" spans="7:7" ht="12.75" x14ac:dyDescent="0.2">
      <c r="G316" s="14"/>
    </row>
    <row r="317" spans="7:7" ht="12.75" x14ac:dyDescent="0.2">
      <c r="G317" s="14"/>
    </row>
    <row r="318" spans="7:7" ht="12.75" x14ac:dyDescent="0.2">
      <c r="G318" s="14"/>
    </row>
    <row r="319" spans="7:7" ht="12.75" x14ac:dyDescent="0.2">
      <c r="G319" s="14"/>
    </row>
    <row r="320" spans="7:7" ht="12.75" x14ac:dyDescent="0.2">
      <c r="G320" s="14"/>
    </row>
    <row r="321" spans="7:7" ht="12.75" x14ac:dyDescent="0.2">
      <c r="G321" s="14"/>
    </row>
    <row r="322" spans="7:7" ht="12.75" x14ac:dyDescent="0.2">
      <c r="G322" s="14"/>
    </row>
    <row r="323" spans="7:7" ht="12.75" x14ac:dyDescent="0.2">
      <c r="G323" s="14"/>
    </row>
    <row r="324" spans="7:7" ht="12.75" x14ac:dyDescent="0.2">
      <c r="G324" s="14"/>
    </row>
    <row r="325" spans="7:7" ht="12.75" x14ac:dyDescent="0.2">
      <c r="G325" s="14"/>
    </row>
    <row r="326" spans="7:7" ht="12.75" x14ac:dyDescent="0.2">
      <c r="G326" s="14"/>
    </row>
    <row r="327" spans="7:7" ht="12.75" x14ac:dyDescent="0.2">
      <c r="G327" s="14"/>
    </row>
    <row r="328" spans="7:7" ht="12.75" x14ac:dyDescent="0.2">
      <c r="G328" s="14"/>
    </row>
    <row r="329" spans="7:7" ht="12.75" x14ac:dyDescent="0.2">
      <c r="G329" s="14"/>
    </row>
    <row r="330" spans="7:7" ht="12.75" x14ac:dyDescent="0.2">
      <c r="G330" s="14"/>
    </row>
    <row r="331" spans="7:7" ht="12.75" x14ac:dyDescent="0.2">
      <c r="G331" s="14"/>
    </row>
    <row r="332" spans="7:7" ht="12.75" x14ac:dyDescent="0.2">
      <c r="G332" s="14"/>
    </row>
    <row r="333" spans="7:7" ht="12.75" x14ac:dyDescent="0.2">
      <c r="G333" s="14"/>
    </row>
    <row r="334" spans="7:7" ht="12.75" x14ac:dyDescent="0.2">
      <c r="G334" s="14"/>
    </row>
    <row r="335" spans="7:7" ht="12.75" x14ac:dyDescent="0.2">
      <c r="G335" s="14"/>
    </row>
    <row r="336" spans="7:7" ht="12.75" x14ac:dyDescent="0.2">
      <c r="G336" s="14"/>
    </row>
    <row r="337" spans="7:7" ht="12.75" x14ac:dyDescent="0.2">
      <c r="G337" s="14"/>
    </row>
    <row r="338" spans="7:7" ht="12.75" x14ac:dyDescent="0.2">
      <c r="G338" s="14"/>
    </row>
    <row r="339" spans="7:7" ht="12.75" x14ac:dyDescent="0.2">
      <c r="G339" s="14"/>
    </row>
    <row r="340" spans="7:7" ht="12.75" x14ac:dyDescent="0.2">
      <c r="G340" s="14"/>
    </row>
    <row r="341" spans="7:7" ht="12.75" x14ac:dyDescent="0.2">
      <c r="G341" s="14"/>
    </row>
    <row r="342" spans="7:7" ht="12.75" x14ac:dyDescent="0.2">
      <c r="G342" s="14"/>
    </row>
    <row r="343" spans="7:7" ht="12.75" x14ac:dyDescent="0.2">
      <c r="G343" s="14"/>
    </row>
    <row r="344" spans="7:7" ht="12.75" x14ac:dyDescent="0.2">
      <c r="G344" s="14"/>
    </row>
    <row r="345" spans="7:7" ht="12.75" x14ac:dyDescent="0.2">
      <c r="G345" s="14"/>
    </row>
    <row r="346" spans="7:7" ht="12.75" x14ac:dyDescent="0.2">
      <c r="G346" s="14"/>
    </row>
    <row r="347" spans="7:7" ht="12.75" x14ac:dyDescent="0.2">
      <c r="G347" s="14"/>
    </row>
    <row r="348" spans="7:7" ht="12.75" x14ac:dyDescent="0.2">
      <c r="G348" s="14"/>
    </row>
    <row r="349" spans="7:7" ht="12.75" x14ac:dyDescent="0.2">
      <c r="G349" s="14"/>
    </row>
    <row r="350" spans="7:7" ht="12.75" x14ac:dyDescent="0.2">
      <c r="G350" s="14"/>
    </row>
    <row r="351" spans="7:7" ht="12.75" x14ac:dyDescent="0.2">
      <c r="G351" s="14"/>
    </row>
    <row r="352" spans="7:7" ht="12.75" x14ac:dyDescent="0.2">
      <c r="G352" s="14"/>
    </row>
    <row r="353" spans="7:7" ht="12.75" x14ac:dyDescent="0.2">
      <c r="G353" s="14"/>
    </row>
    <row r="354" spans="7:7" ht="12.75" x14ac:dyDescent="0.2">
      <c r="G354" s="14"/>
    </row>
    <row r="355" spans="7:7" ht="12.75" x14ac:dyDescent="0.2">
      <c r="G355" s="14"/>
    </row>
    <row r="356" spans="7:7" ht="12.75" x14ac:dyDescent="0.2">
      <c r="G356" s="14"/>
    </row>
    <row r="357" spans="7:7" ht="12.75" x14ac:dyDescent="0.2">
      <c r="G357" s="14"/>
    </row>
    <row r="358" spans="7:7" ht="12.75" x14ac:dyDescent="0.2">
      <c r="G358" s="14"/>
    </row>
    <row r="359" spans="7:7" ht="12.75" x14ac:dyDescent="0.2">
      <c r="G359" s="14"/>
    </row>
    <row r="360" spans="7:7" ht="12.75" x14ac:dyDescent="0.2">
      <c r="G360" s="14"/>
    </row>
    <row r="361" spans="7:7" ht="12.75" x14ac:dyDescent="0.2">
      <c r="G361" s="14"/>
    </row>
    <row r="362" spans="7:7" ht="12.75" x14ac:dyDescent="0.2">
      <c r="G362" s="14"/>
    </row>
    <row r="363" spans="7:7" ht="12.75" x14ac:dyDescent="0.2">
      <c r="G363" s="14"/>
    </row>
    <row r="364" spans="7:7" ht="12.75" x14ac:dyDescent="0.2">
      <c r="G364" s="14"/>
    </row>
    <row r="365" spans="7:7" ht="12.75" x14ac:dyDescent="0.2">
      <c r="G365" s="14"/>
    </row>
    <row r="366" spans="7:7" ht="12.75" x14ac:dyDescent="0.2">
      <c r="G366" s="14"/>
    </row>
    <row r="367" spans="7:7" ht="12.75" x14ac:dyDescent="0.2">
      <c r="G367" s="14"/>
    </row>
    <row r="368" spans="7:7" ht="12.75" x14ac:dyDescent="0.2">
      <c r="G368" s="14"/>
    </row>
    <row r="369" spans="7:7" ht="12.75" x14ac:dyDescent="0.2">
      <c r="G369" s="14"/>
    </row>
    <row r="370" spans="7:7" ht="12.75" x14ac:dyDescent="0.2">
      <c r="G370" s="14"/>
    </row>
    <row r="371" spans="7:7" ht="12.75" x14ac:dyDescent="0.2">
      <c r="G371" s="14"/>
    </row>
    <row r="372" spans="7:7" ht="12.75" x14ac:dyDescent="0.2">
      <c r="G372" s="14"/>
    </row>
    <row r="373" spans="7:7" ht="12.75" x14ac:dyDescent="0.2">
      <c r="G373" s="14"/>
    </row>
    <row r="374" spans="7:7" ht="12.75" x14ac:dyDescent="0.2">
      <c r="G374" s="14"/>
    </row>
    <row r="375" spans="7:7" ht="12.75" x14ac:dyDescent="0.2">
      <c r="G375" s="14"/>
    </row>
    <row r="376" spans="7:7" ht="12.75" x14ac:dyDescent="0.2">
      <c r="G376" s="14"/>
    </row>
    <row r="377" spans="7:7" ht="12.75" x14ac:dyDescent="0.2">
      <c r="G377" s="14"/>
    </row>
    <row r="378" spans="7:7" ht="12.75" x14ac:dyDescent="0.2">
      <c r="G378" s="14"/>
    </row>
    <row r="379" spans="7:7" ht="12.75" x14ac:dyDescent="0.2">
      <c r="G379" s="14"/>
    </row>
    <row r="380" spans="7:7" ht="12.75" x14ac:dyDescent="0.2">
      <c r="G380" s="14"/>
    </row>
    <row r="381" spans="7:7" ht="12.75" x14ac:dyDescent="0.2">
      <c r="G381" s="14"/>
    </row>
    <row r="382" spans="7:7" ht="12.75" x14ac:dyDescent="0.2">
      <c r="G382" s="14"/>
    </row>
    <row r="383" spans="7:7" ht="12.75" x14ac:dyDescent="0.2">
      <c r="G383" s="14"/>
    </row>
    <row r="384" spans="7:7" ht="12.75" x14ac:dyDescent="0.2">
      <c r="G384" s="14"/>
    </row>
    <row r="385" spans="7:7" ht="12.75" x14ac:dyDescent="0.2">
      <c r="G385" s="14"/>
    </row>
    <row r="386" spans="7:7" ht="12.75" x14ac:dyDescent="0.2">
      <c r="G386" s="14"/>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J1002"/>
  <sheetViews>
    <sheetView showGridLines="0" workbookViewId="0"/>
  </sheetViews>
  <sheetFormatPr defaultColWidth="12.5703125" defaultRowHeight="15.75" customHeight="1" x14ac:dyDescent="0.2"/>
  <cols>
    <col min="1" max="1" width="2.42578125" customWidth="1"/>
    <col min="2" max="2" width="7.28515625" customWidth="1"/>
    <col min="3" max="3" width="10.5703125" customWidth="1"/>
    <col min="4" max="9" width="8.85546875" customWidth="1"/>
    <col min="10" max="10" width="2.42578125" customWidth="1"/>
  </cols>
  <sheetData>
    <row r="1" spans="1:10" ht="12.75" x14ac:dyDescent="0.2">
      <c r="A1" s="15"/>
      <c r="B1" s="15"/>
      <c r="C1" s="15"/>
      <c r="D1" s="16"/>
      <c r="E1" s="16"/>
      <c r="F1" s="16"/>
      <c r="G1" s="16"/>
      <c r="H1" s="16"/>
      <c r="I1" s="16"/>
      <c r="J1" s="16"/>
    </row>
    <row r="2" spans="1:10" ht="20.25" x14ac:dyDescent="0.3">
      <c r="A2" s="15"/>
      <c r="B2" s="17" t="s">
        <v>497</v>
      </c>
      <c r="C2" s="15"/>
      <c r="D2" s="16"/>
      <c r="E2" s="16"/>
      <c r="F2" s="16"/>
      <c r="G2" s="16"/>
      <c r="H2" s="16"/>
      <c r="I2" s="16"/>
      <c r="J2" s="16"/>
    </row>
    <row r="3" spans="1:10" ht="9.75" customHeight="1" x14ac:dyDescent="0.2">
      <c r="A3" s="15"/>
      <c r="B3" s="15"/>
      <c r="C3" s="15"/>
      <c r="D3" s="16"/>
      <c r="E3" s="16"/>
      <c r="F3" s="16"/>
      <c r="G3" s="16"/>
      <c r="H3" s="16"/>
      <c r="I3" s="16"/>
      <c r="J3" s="16"/>
    </row>
    <row r="4" spans="1:10" ht="12.75" x14ac:dyDescent="0.2">
      <c r="A4" s="15"/>
      <c r="B4" s="43" t="s">
        <v>498</v>
      </c>
      <c r="C4" s="44"/>
      <c r="D4" s="44"/>
      <c r="E4" s="44"/>
      <c r="F4" s="44"/>
      <c r="G4" s="44"/>
      <c r="H4" s="44"/>
      <c r="I4" s="44"/>
      <c r="J4" s="16"/>
    </row>
    <row r="5" spans="1:10" ht="9.75" customHeight="1" x14ac:dyDescent="0.2">
      <c r="A5" s="15"/>
      <c r="B5" s="15"/>
      <c r="C5" s="15"/>
      <c r="D5" s="16"/>
      <c r="E5" s="16"/>
      <c r="F5" s="16"/>
      <c r="G5" s="16"/>
      <c r="H5" s="16"/>
      <c r="I5" s="16"/>
      <c r="J5" s="16"/>
    </row>
    <row r="6" spans="1:10" ht="12.75" x14ac:dyDescent="0.2">
      <c r="A6" s="15"/>
      <c r="B6" s="18" t="s">
        <v>499</v>
      </c>
      <c r="C6" s="18" t="s">
        <v>2</v>
      </c>
      <c r="D6" s="19" t="s">
        <v>500</v>
      </c>
      <c r="E6" s="20" t="s">
        <v>501</v>
      </c>
      <c r="F6" s="21">
        <v>46042</v>
      </c>
      <c r="G6" s="21">
        <v>46043</v>
      </c>
      <c r="H6" s="21">
        <v>46044</v>
      </c>
      <c r="I6" s="21">
        <v>46045</v>
      </c>
      <c r="J6" s="16"/>
    </row>
    <row r="7" spans="1:10" ht="12.75" x14ac:dyDescent="0.2">
      <c r="A7" s="15"/>
      <c r="B7" s="22">
        <v>1</v>
      </c>
      <c r="C7" s="22" t="s">
        <v>208</v>
      </c>
      <c r="D7" s="23">
        <f t="shared" ref="D7:D83" ca="1" si="0">COUNTIFS(F7:I7, "X", F$6:I$6, "&lt;"&amp;TODAY())</f>
        <v>0</v>
      </c>
      <c r="E7" s="24">
        <f t="shared" ref="E7:E83" ca="1" si="1">COUNTIFS(F7:I7, "O", F$6:I$6, "&lt;"&amp;TODAY())/COUNTIF(F$6:I$6,"&lt;"&amp;TODAY())</f>
        <v>1</v>
      </c>
      <c r="F7" s="23" t="str">
        <f>IF(COUNTIFS('설문지 응답 시트1'!$C:$C, $C7, '설문지 응답 시트1'!$A:$A, "&gt;="&amp;(F$6 + TIME(17,0,0)), '설문지 응답 시트1'!$A:$A, "&lt;"&amp;(F$6 + 1 + TIME(9,0,0)))&gt;0, "O", "X")</f>
        <v>O</v>
      </c>
      <c r="G7" s="23" t="str">
        <f>IF(COUNTIFS('설문지 응답 시트1'!$C:$C, $C7, '설문지 응답 시트1'!$A:$A, "&gt;="&amp;(G$6 + TIME(17,0,0)), '설문지 응답 시트1'!$A:$A, "&lt;"&amp;(G$6 + 1 + TIME(9,0,0)))&gt;0, "O", "X")</f>
        <v>O</v>
      </c>
      <c r="H7" s="23" t="str">
        <f>IF(COUNTIFS('설문지 응답 시트1'!$C:$C, $C7, '설문지 응답 시트1'!$A:$A, "&gt;="&amp;(H$6 + TIME(17,0,0)), '설문지 응답 시트1'!$A:$A, "&lt;"&amp;(H$6 + 1 + TIME(9,0,0)))&gt;0, "O", "X")</f>
        <v>O</v>
      </c>
      <c r="I7" s="23" t="str">
        <f>IF(COUNTIFS('설문지 응답 시트1'!$C:$C, $C7, '설문지 응답 시트1'!$A:$A, "&gt;="&amp;(I$6 + TIME(17,0,0)), '설문지 응답 시트1'!$A:$A, "&lt;"&amp;(I$6 + 1 + TIME(9,0,0)))&gt;0, "O", "X")</f>
        <v>O</v>
      </c>
      <c r="J7" s="16"/>
    </row>
    <row r="8" spans="1:10" ht="12.75" x14ac:dyDescent="0.2">
      <c r="A8" s="15"/>
      <c r="B8" s="22">
        <v>1</v>
      </c>
      <c r="C8" s="22" t="s">
        <v>224</v>
      </c>
      <c r="D8" s="23">
        <f t="shared" ca="1" si="0"/>
        <v>0</v>
      </c>
      <c r="E8" s="24">
        <f t="shared" ca="1" si="1"/>
        <v>1</v>
      </c>
      <c r="F8" s="23" t="str">
        <f>IF(COUNTIFS('설문지 응답 시트1'!$C:$C, $C8, '설문지 응답 시트1'!$A:$A, "&gt;="&amp;(F$6 + TIME(17,0,0)), '설문지 응답 시트1'!$A:$A, "&lt;"&amp;(F$6 + 1 + TIME(9,0,0)))&gt;0, "O", "X")</f>
        <v>O</v>
      </c>
      <c r="G8" s="23" t="str">
        <f>IF(COUNTIFS('설문지 응답 시트1'!$C:$C, $C8, '설문지 응답 시트1'!$A:$A, "&gt;="&amp;(G$6 + TIME(17,0,0)), '설문지 응답 시트1'!$A:$A, "&lt;"&amp;(G$6 + 1 + TIME(9,0,0)))&gt;0, "O", "X")</f>
        <v>O</v>
      </c>
      <c r="H8" s="23" t="str">
        <f>IF(COUNTIFS('설문지 응답 시트1'!$C:$C, $C8, '설문지 응답 시트1'!$A:$A, "&gt;="&amp;(H$6 + TIME(17,0,0)), '설문지 응답 시트1'!$A:$A, "&lt;"&amp;(H$6 + 1 + TIME(9,0,0)))&gt;0, "O", "X")</f>
        <v>O</v>
      </c>
      <c r="I8" s="23" t="str">
        <f>IF(COUNTIFS('설문지 응답 시트1'!$C:$C, $C8, '설문지 응답 시트1'!$A:$A, "&gt;="&amp;(I$6 + TIME(17,0,0)), '설문지 응답 시트1'!$A:$A, "&lt;"&amp;(I$6 + 1 + TIME(9,0,0)))&gt;0, "O", "X")</f>
        <v>O</v>
      </c>
      <c r="J8" s="16"/>
    </row>
    <row r="9" spans="1:10" ht="12.75" x14ac:dyDescent="0.2">
      <c r="A9" s="15"/>
      <c r="B9" s="22">
        <v>1</v>
      </c>
      <c r="C9" s="22" t="s">
        <v>234</v>
      </c>
      <c r="D9" s="23">
        <f t="shared" ca="1" si="0"/>
        <v>1</v>
      </c>
      <c r="E9" s="24">
        <f t="shared" ca="1" si="1"/>
        <v>0.75</v>
      </c>
      <c r="F9" s="23" t="str">
        <f>IF(COUNTIFS('설문지 응답 시트1'!$C:$C, $C9, '설문지 응답 시트1'!$A:$A, "&gt;="&amp;(F$6 + TIME(17,0,0)), '설문지 응답 시트1'!$A:$A, "&lt;"&amp;(F$6 + 1 + TIME(9,0,0)))&gt;0, "O", "X")</f>
        <v>O</v>
      </c>
      <c r="G9" s="23" t="str">
        <f>IF(COUNTIFS('설문지 응답 시트1'!$C:$C, $C9, '설문지 응답 시트1'!$A:$A, "&gt;="&amp;(G$6 + TIME(17,0,0)), '설문지 응답 시트1'!$A:$A, "&lt;"&amp;(G$6 + 1 + TIME(9,0,0)))&gt;0, "O", "X")</f>
        <v>O</v>
      </c>
      <c r="H9" s="23" t="str">
        <f>IF(COUNTIFS('설문지 응답 시트1'!$C:$C, $C9, '설문지 응답 시트1'!$A:$A, "&gt;="&amp;(H$6 + TIME(17,0,0)), '설문지 응답 시트1'!$A:$A, "&lt;"&amp;(H$6 + 1 + TIME(9,0,0)))&gt;0, "O", "X")</f>
        <v>X</v>
      </c>
      <c r="I9" s="23" t="str">
        <f>IF(COUNTIFS('설문지 응답 시트1'!$C:$C, $C9, '설문지 응답 시트1'!$A:$A, "&gt;="&amp;(I$6 + TIME(17,0,0)), '설문지 응답 시트1'!$A:$A, "&lt;"&amp;(I$6 + 1 + TIME(9,0,0)))&gt;0, "O", "X")</f>
        <v>O</v>
      </c>
      <c r="J9" s="16"/>
    </row>
    <row r="10" spans="1:10" ht="12.75" x14ac:dyDescent="0.2">
      <c r="A10" s="15"/>
      <c r="B10" s="22">
        <v>1</v>
      </c>
      <c r="C10" s="22" t="s">
        <v>25</v>
      </c>
      <c r="D10" s="23">
        <f t="shared" ca="1" si="0"/>
        <v>0</v>
      </c>
      <c r="E10" s="24">
        <f t="shared" ca="1" si="1"/>
        <v>1</v>
      </c>
      <c r="F10" s="23" t="str">
        <f>IF(COUNTIFS('설문지 응답 시트1'!$C:$C, $C10, '설문지 응답 시트1'!$A:$A, "&gt;="&amp;(F$6 + TIME(17,0,0)), '설문지 응답 시트1'!$A:$A, "&lt;"&amp;(F$6 + 1 + TIME(9,0,0)))&gt;0, "O", "X")</f>
        <v>O</v>
      </c>
      <c r="G10" s="23" t="str">
        <f>IF(COUNTIFS('설문지 응답 시트1'!$C:$C, $C10, '설문지 응답 시트1'!$A:$A, "&gt;="&amp;(G$6 + TIME(17,0,0)), '설문지 응답 시트1'!$A:$A, "&lt;"&amp;(G$6 + 1 + TIME(9,0,0)))&gt;0, "O", "X")</f>
        <v>O</v>
      </c>
      <c r="H10" s="23" t="str">
        <f>IF(COUNTIFS('설문지 응답 시트1'!$C:$C, $C10, '설문지 응답 시트1'!$A:$A, "&gt;="&amp;(H$6 + TIME(17,0,0)), '설문지 응답 시트1'!$A:$A, "&lt;"&amp;(H$6 + 1 + TIME(9,0,0)))&gt;0, "O", "X")</f>
        <v>O</v>
      </c>
      <c r="I10" s="23" t="str">
        <f>IF(COUNTIFS('설문지 응답 시트1'!$C:$C, $C10, '설문지 응답 시트1'!$A:$A, "&gt;="&amp;(I$6 + TIME(17,0,0)), '설문지 응답 시트1'!$A:$A, "&lt;"&amp;(I$6 + 1 + TIME(9,0,0)))&gt;0, "O", "X")</f>
        <v>O</v>
      </c>
      <c r="J10" s="16"/>
    </row>
    <row r="11" spans="1:10" ht="12.75" x14ac:dyDescent="0.2">
      <c r="A11" s="15"/>
      <c r="B11" s="22">
        <v>1</v>
      </c>
      <c r="C11" s="22" t="s">
        <v>502</v>
      </c>
      <c r="D11" s="23">
        <f t="shared" ca="1" si="0"/>
        <v>4</v>
      </c>
      <c r="E11" s="24">
        <f t="shared" ca="1" si="1"/>
        <v>0</v>
      </c>
      <c r="F11" s="23" t="str">
        <f>IF(COUNTIFS('설문지 응답 시트1'!$C:$C, $C11, '설문지 응답 시트1'!$A:$A, "&gt;="&amp;(F$6 + TIME(17,0,0)), '설문지 응답 시트1'!$A:$A, "&lt;"&amp;(F$6 + 1 + TIME(9,0,0)))&gt;0, "O", "X")</f>
        <v>X</v>
      </c>
      <c r="G11" s="23" t="str">
        <f>IF(COUNTIFS('설문지 응답 시트1'!$C:$C, $C11, '설문지 응답 시트1'!$A:$A, "&gt;="&amp;(G$6 + TIME(17,0,0)), '설문지 응답 시트1'!$A:$A, "&lt;"&amp;(G$6 + 1 + TIME(9,0,0)))&gt;0, "O", "X")</f>
        <v>X</v>
      </c>
      <c r="H11" s="23" t="str">
        <f>IF(COUNTIFS('설문지 응답 시트1'!$C:$C, $C11, '설문지 응답 시트1'!$A:$A, "&gt;="&amp;(H$6 + TIME(17,0,0)), '설문지 응답 시트1'!$A:$A, "&lt;"&amp;(H$6 + 1 + TIME(9,0,0)))&gt;0, "O", "X")</f>
        <v>X</v>
      </c>
      <c r="I11" s="23" t="str">
        <f>IF(COUNTIFS('설문지 응답 시트1'!$C:$C, $C11, '설문지 응답 시트1'!$A:$A, "&gt;="&amp;(I$6 + TIME(17,0,0)), '설문지 응답 시트1'!$A:$A, "&lt;"&amp;(I$6 + 1 + TIME(9,0,0)))&gt;0, "O", "X")</f>
        <v>X</v>
      </c>
      <c r="J11" s="16"/>
    </row>
    <row r="12" spans="1:10" ht="12.75" x14ac:dyDescent="0.2">
      <c r="A12" s="15"/>
      <c r="B12" s="22">
        <v>1</v>
      </c>
      <c r="C12" s="22" t="s">
        <v>103</v>
      </c>
      <c r="D12" s="23">
        <f t="shared" ca="1" si="0"/>
        <v>0</v>
      </c>
      <c r="E12" s="24">
        <f t="shared" ca="1" si="1"/>
        <v>1</v>
      </c>
      <c r="F12" s="23" t="str">
        <f>IF(COUNTIFS('설문지 응답 시트1'!$C:$C, $C12, '설문지 응답 시트1'!$A:$A, "&gt;="&amp;(F$6 + TIME(17,0,0)), '설문지 응답 시트1'!$A:$A, "&lt;"&amp;(F$6 + 1 + TIME(9,0,0)))&gt;0, "O", "X")</f>
        <v>O</v>
      </c>
      <c r="G12" s="23" t="str">
        <f>IF(COUNTIFS('설문지 응답 시트1'!$C:$C, $C12, '설문지 응답 시트1'!$A:$A, "&gt;="&amp;(G$6 + TIME(17,0,0)), '설문지 응답 시트1'!$A:$A, "&lt;"&amp;(G$6 + 1 + TIME(9,0,0)))&gt;0, "O", "X")</f>
        <v>O</v>
      </c>
      <c r="H12" s="23" t="str">
        <f>IF(COUNTIFS('설문지 응답 시트1'!$C:$C, $C12, '설문지 응답 시트1'!$A:$A, "&gt;="&amp;(H$6 + TIME(17,0,0)), '설문지 응답 시트1'!$A:$A, "&lt;"&amp;(H$6 + 1 + TIME(9,0,0)))&gt;0, "O", "X")</f>
        <v>O</v>
      </c>
      <c r="I12" s="23" t="str">
        <f>IF(COUNTIFS('설문지 응답 시트1'!$C:$C, $C12, '설문지 응답 시트1'!$A:$A, "&gt;="&amp;(I$6 + TIME(17,0,0)), '설문지 응답 시트1'!$A:$A, "&lt;"&amp;(I$6 + 1 + TIME(9,0,0)))&gt;0, "O", "X")</f>
        <v>O</v>
      </c>
      <c r="J12" s="16"/>
    </row>
    <row r="13" spans="1:10" ht="12.75" x14ac:dyDescent="0.2">
      <c r="A13" s="15"/>
      <c r="B13" s="22">
        <v>1</v>
      </c>
      <c r="C13" s="22" t="s">
        <v>42</v>
      </c>
      <c r="D13" s="23">
        <f t="shared" ca="1" si="0"/>
        <v>0</v>
      </c>
      <c r="E13" s="24">
        <f t="shared" ca="1" si="1"/>
        <v>1</v>
      </c>
      <c r="F13" s="23" t="str">
        <f>IF(COUNTIFS('설문지 응답 시트1'!$C:$C, $C13, '설문지 응답 시트1'!$A:$A, "&gt;="&amp;(F$6 + TIME(17,0,0)), '설문지 응답 시트1'!$A:$A, "&lt;"&amp;(F$6 + 1 + TIME(9,0,0)))&gt;0, "O", "X")</f>
        <v>O</v>
      </c>
      <c r="G13" s="23" t="str">
        <f>IF(COUNTIFS('설문지 응답 시트1'!$C:$C, $C13, '설문지 응답 시트1'!$A:$A, "&gt;="&amp;(G$6 + TIME(17,0,0)), '설문지 응답 시트1'!$A:$A, "&lt;"&amp;(G$6 + 1 + TIME(9,0,0)))&gt;0, "O", "X")</f>
        <v>O</v>
      </c>
      <c r="H13" s="23" t="str">
        <f>IF(COUNTIFS('설문지 응답 시트1'!$C:$C, $C13, '설문지 응답 시트1'!$A:$A, "&gt;="&amp;(H$6 + TIME(17,0,0)), '설문지 응답 시트1'!$A:$A, "&lt;"&amp;(H$6 + 1 + TIME(9,0,0)))&gt;0, "O", "X")</f>
        <v>O</v>
      </c>
      <c r="I13" s="23" t="str">
        <f>IF(COUNTIFS('설문지 응답 시트1'!$C:$C, $C13, '설문지 응답 시트1'!$A:$A, "&gt;="&amp;(I$6 + TIME(17,0,0)), '설문지 응답 시트1'!$A:$A, "&lt;"&amp;(I$6 + 1 + TIME(9,0,0)))&gt;0, "O", "X")</f>
        <v>O</v>
      </c>
      <c r="J13" s="16"/>
    </row>
    <row r="14" spans="1:10" ht="12.75" x14ac:dyDescent="0.2">
      <c r="A14" s="15"/>
      <c r="B14" s="22">
        <v>1</v>
      </c>
      <c r="C14" s="22" t="s">
        <v>72</v>
      </c>
      <c r="D14" s="23">
        <f t="shared" ca="1" si="0"/>
        <v>0</v>
      </c>
      <c r="E14" s="24">
        <f t="shared" ca="1" si="1"/>
        <v>1</v>
      </c>
      <c r="F14" s="23" t="str">
        <f>IF(COUNTIFS('설문지 응답 시트1'!$C:$C, $C14, '설문지 응답 시트1'!$A:$A, "&gt;="&amp;(F$6 + TIME(17,0,0)), '설문지 응답 시트1'!$A:$A, "&lt;"&amp;(F$6 + 1 + TIME(9,0,0)))&gt;0, "O", "X")</f>
        <v>O</v>
      </c>
      <c r="G14" s="23" t="str">
        <f>IF(COUNTIFS('설문지 응답 시트1'!$C:$C, $C14, '설문지 응답 시트1'!$A:$A, "&gt;="&amp;(G$6 + TIME(17,0,0)), '설문지 응답 시트1'!$A:$A, "&lt;"&amp;(G$6 + 1 + TIME(9,0,0)))&gt;0, "O", "X")</f>
        <v>O</v>
      </c>
      <c r="H14" s="23" t="str">
        <f>IF(COUNTIFS('설문지 응답 시트1'!$C:$C, $C14, '설문지 응답 시트1'!$A:$A, "&gt;="&amp;(H$6 + TIME(17,0,0)), '설문지 응답 시트1'!$A:$A, "&lt;"&amp;(H$6 + 1 + TIME(9,0,0)))&gt;0, "O", "X")</f>
        <v>O</v>
      </c>
      <c r="I14" s="23" t="str">
        <f>IF(COUNTIFS('설문지 응답 시트1'!$C:$C, $C14, '설문지 응답 시트1'!$A:$A, "&gt;="&amp;(I$6 + TIME(17,0,0)), '설문지 응답 시트1'!$A:$A, "&lt;"&amp;(I$6 + 1 + TIME(9,0,0)))&gt;0, "O", "X")</f>
        <v>O</v>
      </c>
      <c r="J14" s="16"/>
    </row>
    <row r="15" spans="1:10" ht="12.75" x14ac:dyDescent="0.2">
      <c r="A15" s="15"/>
      <c r="B15" s="22">
        <v>2</v>
      </c>
      <c r="C15" s="22" t="s">
        <v>83</v>
      </c>
      <c r="D15" s="23">
        <f t="shared" ca="1" si="0"/>
        <v>0</v>
      </c>
      <c r="E15" s="24">
        <f t="shared" ca="1" si="1"/>
        <v>1</v>
      </c>
      <c r="F15" s="23" t="str">
        <f>IF(COUNTIFS('설문지 응답 시트1'!$C:$C, $C15, '설문지 응답 시트1'!$A:$A, "&gt;="&amp;(F$6 + TIME(17,0,0)), '설문지 응답 시트1'!$A:$A, "&lt;"&amp;(F$6 + 1 + TIME(9,0,0)))&gt;0, "O", "X")</f>
        <v>O</v>
      </c>
      <c r="G15" s="23" t="str">
        <f>IF(COUNTIFS('설문지 응답 시트1'!$C:$C, $C15, '설문지 응답 시트1'!$A:$A, "&gt;="&amp;(G$6 + TIME(17,0,0)), '설문지 응답 시트1'!$A:$A, "&lt;"&amp;(G$6 + 1 + TIME(9,0,0)))&gt;0, "O", "X")</f>
        <v>O</v>
      </c>
      <c r="H15" s="23" t="str">
        <f>IF(COUNTIFS('설문지 응답 시트1'!$C:$C, $C15, '설문지 응답 시트1'!$A:$A, "&gt;="&amp;(H$6 + TIME(17,0,0)), '설문지 응답 시트1'!$A:$A, "&lt;"&amp;(H$6 + 1 + TIME(9,0,0)))&gt;0, "O", "X")</f>
        <v>O</v>
      </c>
      <c r="I15" s="23" t="str">
        <f>IF(COUNTIFS('설문지 응답 시트1'!$C:$C, $C15, '설문지 응답 시트1'!$A:$A, "&gt;="&amp;(I$6 + TIME(17,0,0)), '설문지 응답 시트1'!$A:$A, "&lt;"&amp;(I$6 + 1 + TIME(9,0,0)))&gt;0, "O", "X")</f>
        <v>O</v>
      </c>
      <c r="J15" s="16"/>
    </row>
    <row r="16" spans="1:10" ht="12.75" x14ac:dyDescent="0.2">
      <c r="A16" s="15"/>
      <c r="B16" s="22">
        <v>2</v>
      </c>
      <c r="C16" s="22" t="s">
        <v>168</v>
      </c>
      <c r="D16" s="23">
        <f t="shared" ca="1" si="0"/>
        <v>0</v>
      </c>
      <c r="E16" s="24">
        <f t="shared" ca="1" si="1"/>
        <v>1</v>
      </c>
      <c r="F16" s="23" t="str">
        <f>IF(COUNTIFS('설문지 응답 시트1'!$C:$C, $C16, '설문지 응답 시트1'!$A:$A, "&gt;="&amp;(F$6 + TIME(17,0,0)), '설문지 응답 시트1'!$A:$A, "&lt;"&amp;(F$6 + 1 + TIME(9,0,0)))&gt;0, "O", "X")</f>
        <v>O</v>
      </c>
      <c r="G16" s="23" t="str">
        <f>IF(COUNTIFS('설문지 응답 시트1'!$C:$C, $C16, '설문지 응답 시트1'!$A:$A, "&gt;="&amp;(G$6 + TIME(17,0,0)), '설문지 응답 시트1'!$A:$A, "&lt;"&amp;(G$6 + 1 + TIME(9,0,0)))&gt;0, "O", "X")</f>
        <v>O</v>
      </c>
      <c r="H16" s="23" t="str">
        <f>IF(COUNTIFS('설문지 응답 시트1'!$C:$C, $C16, '설문지 응답 시트1'!$A:$A, "&gt;="&amp;(H$6 + TIME(17,0,0)), '설문지 응답 시트1'!$A:$A, "&lt;"&amp;(H$6 + 1 + TIME(9,0,0)))&gt;0, "O", "X")</f>
        <v>O</v>
      </c>
      <c r="I16" s="23" t="str">
        <f>IF(COUNTIFS('설문지 응답 시트1'!$C:$C, $C16, '설문지 응답 시트1'!$A:$A, "&gt;="&amp;(I$6 + TIME(17,0,0)), '설문지 응답 시트1'!$A:$A, "&lt;"&amp;(I$6 + 1 + TIME(9,0,0)))&gt;0, "O", "X")</f>
        <v>O</v>
      </c>
      <c r="J16" s="16"/>
    </row>
    <row r="17" spans="1:10" ht="12.75" x14ac:dyDescent="0.2">
      <c r="A17" s="15"/>
      <c r="B17" s="22">
        <v>2</v>
      </c>
      <c r="C17" s="22" t="s">
        <v>79</v>
      </c>
      <c r="D17" s="23">
        <f t="shared" ca="1" si="0"/>
        <v>0</v>
      </c>
      <c r="E17" s="24">
        <f t="shared" ca="1" si="1"/>
        <v>1</v>
      </c>
      <c r="F17" s="23" t="str">
        <f>IF(COUNTIFS('설문지 응답 시트1'!$C:$C, $C17, '설문지 응답 시트1'!$A:$A, "&gt;="&amp;(F$6 + TIME(17,0,0)), '설문지 응답 시트1'!$A:$A, "&lt;"&amp;(F$6 + 1 + TIME(9,0,0)))&gt;0, "O", "X")</f>
        <v>O</v>
      </c>
      <c r="G17" s="23" t="str">
        <f>IF(COUNTIFS('설문지 응답 시트1'!$C:$C, $C17, '설문지 응답 시트1'!$A:$A, "&gt;="&amp;(G$6 + TIME(17,0,0)), '설문지 응답 시트1'!$A:$A, "&lt;"&amp;(G$6 + 1 + TIME(9,0,0)))&gt;0, "O", "X")</f>
        <v>O</v>
      </c>
      <c r="H17" s="23" t="str">
        <f>IF(COUNTIFS('설문지 응답 시트1'!$C:$C, $C17, '설문지 응답 시트1'!$A:$A, "&gt;="&amp;(H$6 + TIME(17,0,0)), '설문지 응답 시트1'!$A:$A, "&lt;"&amp;(H$6 + 1 + TIME(9,0,0)))&gt;0, "O", "X")</f>
        <v>O</v>
      </c>
      <c r="I17" s="23" t="str">
        <f>IF(COUNTIFS('설문지 응답 시트1'!$C:$C, $C17, '설문지 응답 시트1'!$A:$A, "&gt;="&amp;(I$6 + TIME(17,0,0)), '설문지 응답 시트1'!$A:$A, "&lt;"&amp;(I$6 + 1 + TIME(9,0,0)))&gt;0, "O", "X")</f>
        <v>O</v>
      </c>
      <c r="J17" s="16"/>
    </row>
    <row r="18" spans="1:10" ht="12.75" x14ac:dyDescent="0.2">
      <c r="A18" s="15"/>
      <c r="B18" s="22">
        <v>2</v>
      </c>
      <c r="C18" s="22" t="s">
        <v>29</v>
      </c>
      <c r="D18" s="23">
        <f t="shared" ca="1" si="0"/>
        <v>0</v>
      </c>
      <c r="E18" s="24">
        <f t="shared" ca="1" si="1"/>
        <v>1</v>
      </c>
      <c r="F18" s="23" t="str">
        <f>IF(COUNTIFS('설문지 응답 시트1'!$C:$C, $C18, '설문지 응답 시트1'!$A:$A, "&gt;="&amp;(F$6 + TIME(17,0,0)), '설문지 응답 시트1'!$A:$A, "&lt;"&amp;(F$6 + 1 + TIME(9,0,0)))&gt;0, "O", "X")</f>
        <v>O</v>
      </c>
      <c r="G18" s="23" t="str">
        <f>IF(COUNTIFS('설문지 응답 시트1'!$C:$C, $C18, '설문지 응답 시트1'!$A:$A, "&gt;="&amp;(G$6 + TIME(17,0,0)), '설문지 응답 시트1'!$A:$A, "&lt;"&amp;(G$6 + 1 + TIME(9,0,0)))&gt;0, "O", "X")</f>
        <v>O</v>
      </c>
      <c r="H18" s="23" t="str">
        <f>IF(COUNTIFS('설문지 응답 시트1'!$C:$C, $C18, '설문지 응답 시트1'!$A:$A, "&gt;="&amp;(H$6 + TIME(17,0,0)), '설문지 응답 시트1'!$A:$A, "&lt;"&amp;(H$6 + 1 + TIME(9,0,0)))&gt;0, "O", "X")</f>
        <v>O</v>
      </c>
      <c r="I18" s="23" t="str">
        <f>IF(COUNTIFS('설문지 응답 시트1'!$C:$C, $C18, '설문지 응답 시트1'!$A:$A, "&gt;="&amp;(I$6 + TIME(17,0,0)), '설문지 응답 시트1'!$A:$A, "&lt;"&amp;(I$6 + 1 + TIME(9,0,0)))&gt;0, "O", "X")</f>
        <v>O</v>
      </c>
      <c r="J18" s="16"/>
    </row>
    <row r="19" spans="1:10" ht="12.75" x14ac:dyDescent="0.2">
      <c r="A19" s="15"/>
      <c r="B19" s="22">
        <v>2</v>
      </c>
      <c r="C19" s="22" t="s">
        <v>32</v>
      </c>
      <c r="D19" s="23">
        <f t="shared" ca="1" si="0"/>
        <v>1</v>
      </c>
      <c r="E19" s="24">
        <f t="shared" ca="1" si="1"/>
        <v>0.75</v>
      </c>
      <c r="F19" s="23" t="str">
        <f>IF(COUNTIFS('설문지 응답 시트1'!$C:$C, $C19, '설문지 응답 시트1'!$A:$A, "&gt;="&amp;(F$6 + TIME(17,0,0)), '설문지 응답 시트1'!$A:$A, "&lt;"&amp;(F$6 + 1 + TIME(9,0,0)))&gt;0, "O", "X")</f>
        <v>O</v>
      </c>
      <c r="G19" s="23" t="str">
        <f>IF(COUNTIFS('설문지 응답 시트1'!$C:$C, $C19, '설문지 응답 시트1'!$A:$A, "&gt;="&amp;(G$6 + TIME(17,0,0)), '설문지 응답 시트1'!$A:$A, "&lt;"&amp;(G$6 + 1 + TIME(9,0,0)))&gt;0, "O", "X")</f>
        <v>O</v>
      </c>
      <c r="H19" s="23" t="str">
        <f>IF(COUNTIFS('설문지 응답 시트1'!$C:$C, $C19, '설문지 응답 시트1'!$A:$A, "&gt;="&amp;(H$6 + TIME(17,0,0)), '설문지 응답 시트1'!$A:$A, "&lt;"&amp;(H$6 + 1 + TIME(9,0,0)))&gt;0, "O", "X")</f>
        <v>O</v>
      </c>
      <c r="I19" s="23" t="str">
        <f>IF(COUNTIFS('설문지 응답 시트1'!$C:$C, $C19, '설문지 응답 시트1'!$A:$A, "&gt;="&amp;(I$6 + TIME(17,0,0)), '설문지 응답 시트1'!$A:$A, "&lt;"&amp;(I$6 + 1 + TIME(9,0,0)))&gt;0, "O", "X")</f>
        <v>X</v>
      </c>
      <c r="J19" s="16"/>
    </row>
    <row r="20" spans="1:10" ht="12.75" x14ac:dyDescent="0.2">
      <c r="A20" s="15"/>
      <c r="B20" s="22">
        <v>2</v>
      </c>
      <c r="C20" s="22" t="s">
        <v>86</v>
      </c>
      <c r="D20" s="23">
        <f t="shared" ca="1" si="0"/>
        <v>0</v>
      </c>
      <c r="E20" s="24">
        <f t="shared" ca="1" si="1"/>
        <v>1</v>
      </c>
      <c r="F20" s="23" t="str">
        <f>IF(COUNTIFS('설문지 응답 시트1'!$C:$C, $C20, '설문지 응답 시트1'!$A:$A, "&gt;="&amp;(F$6 + TIME(17,0,0)), '설문지 응답 시트1'!$A:$A, "&lt;"&amp;(F$6 + 1 + TIME(9,0,0)))&gt;0, "O", "X")</f>
        <v>O</v>
      </c>
      <c r="G20" s="23" t="str">
        <f>IF(COUNTIFS('설문지 응답 시트1'!$C:$C, $C20, '설문지 응답 시트1'!$A:$A, "&gt;="&amp;(G$6 + TIME(17,0,0)), '설문지 응답 시트1'!$A:$A, "&lt;"&amp;(G$6 + 1 + TIME(9,0,0)))&gt;0, "O", "X")</f>
        <v>O</v>
      </c>
      <c r="H20" s="23" t="str">
        <f>IF(COUNTIFS('설문지 응답 시트1'!$C:$C, $C20, '설문지 응답 시트1'!$A:$A, "&gt;="&amp;(H$6 + TIME(17,0,0)), '설문지 응답 시트1'!$A:$A, "&lt;"&amp;(H$6 + 1 + TIME(9,0,0)))&gt;0, "O", "X")</f>
        <v>O</v>
      </c>
      <c r="I20" s="23" t="str">
        <f>IF(COUNTIFS('설문지 응답 시트1'!$C:$C, $C20, '설문지 응답 시트1'!$A:$A, "&gt;="&amp;(I$6 + TIME(17,0,0)), '설문지 응답 시트1'!$A:$A, "&lt;"&amp;(I$6 + 1 + TIME(9,0,0)))&gt;0, "O", "X")</f>
        <v>O</v>
      </c>
      <c r="J20" s="16"/>
    </row>
    <row r="21" spans="1:10" ht="12.75" x14ac:dyDescent="0.2">
      <c r="A21" s="15"/>
      <c r="B21" s="22">
        <v>2</v>
      </c>
      <c r="C21" s="22" t="s">
        <v>184</v>
      </c>
      <c r="D21" s="23">
        <f t="shared" ca="1" si="0"/>
        <v>1</v>
      </c>
      <c r="E21" s="24">
        <f t="shared" ca="1" si="1"/>
        <v>0.75</v>
      </c>
      <c r="F21" s="23" t="str">
        <f>IF(COUNTIFS('설문지 응답 시트1'!$C:$C, $C21, '설문지 응답 시트1'!$A:$A, "&gt;="&amp;(F$6 + TIME(17,0,0)), '설문지 응답 시트1'!$A:$A, "&lt;"&amp;(F$6 + 1 + TIME(9,0,0)))&gt;0, "O", "X")</f>
        <v>O</v>
      </c>
      <c r="G21" s="23" t="str">
        <f>IF(COUNTIFS('설문지 응답 시트1'!$C:$C, $C21, '설문지 응답 시트1'!$A:$A, "&gt;="&amp;(G$6 + TIME(17,0,0)), '설문지 응답 시트1'!$A:$A, "&lt;"&amp;(G$6 + 1 + TIME(9,0,0)))&gt;0, "O", "X")</f>
        <v>O</v>
      </c>
      <c r="H21" s="23" t="str">
        <f>IF(COUNTIFS('설문지 응답 시트1'!$C:$C, $C21, '설문지 응답 시트1'!$A:$A, "&gt;="&amp;(H$6 + TIME(17,0,0)), '설문지 응답 시트1'!$A:$A, "&lt;"&amp;(H$6 + 1 + TIME(9,0,0)))&gt;0, "O", "X")</f>
        <v>O</v>
      </c>
      <c r="I21" s="23" t="str">
        <f>IF(COUNTIFS('설문지 응답 시트1'!$C:$C, $C21, '설문지 응답 시트1'!$A:$A, "&gt;="&amp;(I$6 + TIME(17,0,0)), '설문지 응답 시트1'!$A:$A, "&lt;"&amp;(I$6 + 1 + TIME(9,0,0)))&gt;0, "O", "X")</f>
        <v>X</v>
      </c>
      <c r="J21" s="16"/>
    </row>
    <row r="22" spans="1:10" ht="12.75" x14ac:dyDescent="0.2">
      <c r="A22" s="15"/>
      <c r="B22" s="22">
        <v>3</v>
      </c>
      <c r="C22" s="22" t="s">
        <v>113</v>
      </c>
      <c r="D22" s="23">
        <f t="shared" ca="1" si="0"/>
        <v>1</v>
      </c>
      <c r="E22" s="24">
        <f t="shared" ca="1" si="1"/>
        <v>0.75</v>
      </c>
      <c r="F22" s="23" t="str">
        <f>IF(COUNTIFS('설문지 응답 시트1'!$C:$C, $C22, '설문지 응답 시트1'!$A:$A, "&gt;="&amp;(F$6 + TIME(17,0,0)), '설문지 응답 시트1'!$A:$A, "&lt;"&amp;(F$6 + 1 + TIME(9,0,0)))&gt;0, "O", "X")</f>
        <v>O</v>
      </c>
      <c r="G22" s="23" t="str">
        <f>IF(COUNTIFS('설문지 응답 시트1'!$C:$C, $C22, '설문지 응답 시트1'!$A:$A, "&gt;="&amp;(G$6 + TIME(17,0,0)), '설문지 응답 시트1'!$A:$A, "&lt;"&amp;(G$6 + 1 + TIME(9,0,0)))&gt;0, "O", "X")</f>
        <v>O</v>
      </c>
      <c r="H22" s="23" t="str">
        <f>IF(COUNTIFS('설문지 응답 시트1'!$C:$C, $C22, '설문지 응답 시트1'!$A:$A, "&gt;="&amp;(H$6 + TIME(17,0,0)), '설문지 응답 시트1'!$A:$A, "&lt;"&amp;(H$6 + 1 + TIME(9,0,0)))&gt;0, "O", "X")</f>
        <v>X</v>
      </c>
      <c r="I22" s="23" t="str">
        <f>IF(COUNTIFS('설문지 응답 시트1'!$C:$C, $C22, '설문지 응답 시트1'!$A:$A, "&gt;="&amp;(I$6 + TIME(17,0,0)), '설문지 응답 시트1'!$A:$A, "&lt;"&amp;(I$6 + 1 + TIME(9,0,0)))&gt;0, "O", "X")</f>
        <v>O</v>
      </c>
      <c r="J22" s="16"/>
    </row>
    <row r="23" spans="1:10" ht="12.75" x14ac:dyDescent="0.2">
      <c r="A23" s="15"/>
      <c r="B23" s="22">
        <v>3</v>
      </c>
      <c r="C23" s="22" t="s">
        <v>250</v>
      </c>
      <c r="D23" s="23">
        <f t="shared" ca="1" si="0"/>
        <v>0</v>
      </c>
      <c r="E23" s="24">
        <f t="shared" ca="1" si="1"/>
        <v>1</v>
      </c>
      <c r="F23" s="23" t="str">
        <f>IF(COUNTIFS('설문지 응답 시트1'!$C:$C, $C23, '설문지 응답 시트1'!$A:$A, "&gt;="&amp;(F$6 + TIME(17,0,0)), '설문지 응답 시트1'!$A:$A, "&lt;"&amp;(F$6 + 1 + TIME(9,0,0)))&gt;0, "O", "X")</f>
        <v>O</v>
      </c>
      <c r="G23" s="23" t="str">
        <f>IF(COUNTIFS('설문지 응답 시트1'!$C:$C, $C23, '설문지 응답 시트1'!$A:$A, "&gt;="&amp;(G$6 + TIME(17,0,0)), '설문지 응답 시트1'!$A:$A, "&lt;"&amp;(G$6 + 1 + TIME(9,0,0)))&gt;0, "O", "X")</f>
        <v>O</v>
      </c>
      <c r="H23" s="23" t="str">
        <f>IF(COUNTIFS('설문지 응답 시트1'!$C:$C, $C23, '설문지 응답 시트1'!$A:$A, "&gt;="&amp;(H$6 + TIME(17,0,0)), '설문지 응답 시트1'!$A:$A, "&lt;"&amp;(H$6 + 1 + TIME(9,0,0)))&gt;0, "O", "X")</f>
        <v>O</v>
      </c>
      <c r="I23" s="23" t="str">
        <f>IF(COUNTIFS('설문지 응답 시트1'!$C:$C, $C23, '설문지 응답 시트1'!$A:$A, "&gt;="&amp;(I$6 + TIME(17,0,0)), '설문지 응답 시트1'!$A:$A, "&lt;"&amp;(I$6 + 1 + TIME(9,0,0)))&gt;0, "O", "X")</f>
        <v>O</v>
      </c>
      <c r="J23" s="16"/>
    </row>
    <row r="24" spans="1:10" ht="12.75" x14ac:dyDescent="0.2">
      <c r="A24" s="15"/>
      <c r="B24" s="22">
        <v>3</v>
      </c>
      <c r="C24" s="22" t="s">
        <v>256</v>
      </c>
      <c r="D24" s="23">
        <f t="shared" ca="1" si="0"/>
        <v>2</v>
      </c>
      <c r="E24" s="24">
        <f t="shared" ca="1" si="1"/>
        <v>0.5</v>
      </c>
      <c r="F24" s="23" t="str">
        <f>IF(COUNTIFS('설문지 응답 시트1'!$C:$C, $C24, '설문지 응답 시트1'!$A:$A, "&gt;="&amp;(F$6 + TIME(17,0,0)), '설문지 응답 시트1'!$A:$A, "&lt;"&amp;(F$6 + 1 + TIME(9,0,0)))&gt;0, "O", "X")</f>
        <v>X</v>
      </c>
      <c r="G24" s="23" t="str">
        <f>IF(COUNTIFS('설문지 응답 시트1'!$C:$C, $C24, '설문지 응답 시트1'!$A:$A, "&gt;="&amp;(G$6 + TIME(17,0,0)), '설문지 응답 시트1'!$A:$A, "&lt;"&amp;(G$6 + 1 + TIME(9,0,0)))&gt;0, "O", "X")</f>
        <v>X</v>
      </c>
      <c r="H24" s="23" t="str">
        <f>IF(COUNTIFS('설문지 응답 시트1'!$C:$C, $C24, '설문지 응답 시트1'!$A:$A, "&gt;="&amp;(H$6 + TIME(17,0,0)), '설문지 응답 시트1'!$A:$A, "&lt;"&amp;(H$6 + 1 + TIME(9,0,0)))&gt;0, "O", "X")</f>
        <v>O</v>
      </c>
      <c r="I24" s="23" t="str">
        <f>IF(COUNTIFS('설문지 응답 시트1'!$C:$C, $C24, '설문지 응답 시트1'!$A:$A, "&gt;="&amp;(I$6 + TIME(17,0,0)), '설문지 응답 시트1'!$A:$A, "&lt;"&amp;(I$6 + 1 + TIME(9,0,0)))&gt;0, "O", "X")</f>
        <v>O</v>
      </c>
      <c r="J24" s="16"/>
    </row>
    <row r="25" spans="1:10" ht="12.75" x14ac:dyDescent="0.2">
      <c r="A25" s="15"/>
      <c r="B25" s="22">
        <v>3</v>
      </c>
      <c r="C25" s="22" t="s">
        <v>199</v>
      </c>
      <c r="D25" s="23">
        <f t="shared" ca="1" si="0"/>
        <v>0</v>
      </c>
      <c r="E25" s="24">
        <f t="shared" ca="1" si="1"/>
        <v>1</v>
      </c>
      <c r="F25" s="23" t="str">
        <f>IF(COUNTIFS('설문지 응답 시트1'!$C:$C, $C25, '설문지 응답 시트1'!$A:$A, "&gt;="&amp;(F$6 + TIME(17,0,0)), '설문지 응답 시트1'!$A:$A, "&lt;"&amp;(F$6 + 1 + TIME(9,0,0)))&gt;0, "O", "X")</f>
        <v>O</v>
      </c>
      <c r="G25" s="23" t="str">
        <f>IF(COUNTIFS('설문지 응답 시트1'!$C:$C, $C25, '설문지 응답 시트1'!$A:$A, "&gt;="&amp;(G$6 + TIME(17,0,0)), '설문지 응답 시트1'!$A:$A, "&lt;"&amp;(G$6 + 1 + TIME(9,0,0)))&gt;0, "O", "X")</f>
        <v>O</v>
      </c>
      <c r="H25" s="23" t="str">
        <f>IF(COUNTIFS('설문지 응답 시트1'!$C:$C, $C25, '설문지 응답 시트1'!$A:$A, "&gt;="&amp;(H$6 + TIME(17,0,0)), '설문지 응답 시트1'!$A:$A, "&lt;"&amp;(H$6 + 1 + TIME(9,0,0)))&gt;0, "O", "X")</f>
        <v>O</v>
      </c>
      <c r="I25" s="23" t="str">
        <f>IF(COUNTIFS('설문지 응답 시트1'!$C:$C, $C25, '설문지 응답 시트1'!$A:$A, "&gt;="&amp;(I$6 + TIME(17,0,0)), '설문지 응답 시트1'!$A:$A, "&lt;"&amp;(I$6 + 1 + TIME(9,0,0)))&gt;0, "O", "X")</f>
        <v>O</v>
      </c>
      <c r="J25" s="16"/>
    </row>
    <row r="26" spans="1:10" ht="12.75" x14ac:dyDescent="0.2">
      <c r="A26" s="15"/>
      <c r="B26" s="22">
        <v>3</v>
      </c>
      <c r="C26" s="22" t="s">
        <v>8</v>
      </c>
      <c r="D26" s="23">
        <f t="shared" ca="1" si="0"/>
        <v>0</v>
      </c>
      <c r="E26" s="24">
        <f t="shared" ca="1" si="1"/>
        <v>1</v>
      </c>
      <c r="F26" s="23" t="str">
        <f>IF(COUNTIFS('설문지 응답 시트1'!$C:$C, $C26, '설문지 응답 시트1'!$A:$A, "&gt;="&amp;(F$6 + TIME(17,0,0)), '설문지 응답 시트1'!$A:$A, "&lt;"&amp;(F$6 + 1 + TIME(9,0,0)))&gt;0, "O", "X")</f>
        <v>O</v>
      </c>
      <c r="G26" s="23" t="str">
        <f>IF(COUNTIFS('설문지 응답 시트1'!$C:$C, $C26, '설문지 응답 시트1'!$A:$A, "&gt;="&amp;(G$6 + TIME(17,0,0)), '설문지 응답 시트1'!$A:$A, "&lt;"&amp;(G$6 + 1 + TIME(9,0,0)))&gt;0, "O", "X")</f>
        <v>O</v>
      </c>
      <c r="H26" s="23" t="str">
        <f>IF(COUNTIFS('설문지 응답 시트1'!$C:$C, $C26, '설문지 응답 시트1'!$A:$A, "&gt;="&amp;(H$6 + TIME(17,0,0)), '설문지 응답 시트1'!$A:$A, "&lt;"&amp;(H$6 + 1 + TIME(9,0,0)))&gt;0, "O", "X")</f>
        <v>O</v>
      </c>
      <c r="I26" s="23" t="str">
        <f>IF(COUNTIFS('설문지 응답 시트1'!$C:$C, $C26, '설문지 응답 시트1'!$A:$A, "&gt;="&amp;(I$6 + TIME(17,0,0)), '설문지 응답 시트1'!$A:$A, "&lt;"&amp;(I$6 + 1 + TIME(9,0,0)))&gt;0, "O", "X")</f>
        <v>O</v>
      </c>
      <c r="J26" s="16"/>
    </row>
    <row r="27" spans="1:10" ht="12.75" x14ac:dyDescent="0.2">
      <c r="A27" s="15"/>
      <c r="B27" s="22">
        <v>3</v>
      </c>
      <c r="C27" s="22" t="s">
        <v>19</v>
      </c>
      <c r="D27" s="23">
        <f t="shared" ca="1" si="0"/>
        <v>0</v>
      </c>
      <c r="E27" s="24">
        <f t="shared" ca="1" si="1"/>
        <v>1</v>
      </c>
      <c r="F27" s="23" t="str">
        <f>IF(COUNTIFS('설문지 응답 시트1'!$C:$C, $C27, '설문지 응답 시트1'!$A:$A, "&gt;="&amp;(F$6 + TIME(17,0,0)), '설문지 응답 시트1'!$A:$A, "&lt;"&amp;(F$6 + 1 + TIME(9,0,0)))&gt;0, "O", "X")</f>
        <v>O</v>
      </c>
      <c r="G27" s="23" t="str">
        <f>IF(COUNTIFS('설문지 응답 시트1'!$C:$C, $C27, '설문지 응답 시트1'!$A:$A, "&gt;="&amp;(G$6 + TIME(17,0,0)), '설문지 응답 시트1'!$A:$A, "&lt;"&amp;(G$6 + 1 + TIME(9,0,0)))&gt;0, "O", "X")</f>
        <v>O</v>
      </c>
      <c r="H27" s="23" t="str">
        <f>IF(COUNTIFS('설문지 응답 시트1'!$C:$C, $C27, '설문지 응답 시트1'!$A:$A, "&gt;="&amp;(H$6 + TIME(17,0,0)), '설문지 응답 시트1'!$A:$A, "&lt;"&amp;(H$6 + 1 + TIME(9,0,0)))&gt;0, "O", "X")</f>
        <v>O</v>
      </c>
      <c r="I27" s="23" t="str">
        <f>IF(COUNTIFS('설문지 응답 시트1'!$C:$C, $C27, '설문지 응답 시트1'!$A:$A, "&gt;="&amp;(I$6 + TIME(17,0,0)), '설문지 응답 시트1'!$A:$A, "&lt;"&amp;(I$6 + 1 + TIME(9,0,0)))&gt;0, "O", "X")</f>
        <v>O</v>
      </c>
      <c r="J27" s="16"/>
    </row>
    <row r="28" spans="1:10" ht="12.75" x14ac:dyDescent="0.2">
      <c r="A28" s="15"/>
      <c r="B28" s="22">
        <v>3</v>
      </c>
      <c r="C28" s="22" t="s">
        <v>120</v>
      </c>
      <c r="D28" s="23">
        <f t="shared" ca="1" si="0"/>
        <v>0</v>
      </c>
      <c r="E28" s="24">
        <f t="shared" ca="1" si="1"/>
        <v>1</v>
      </c>
      <c r="F28" s="23" t="str">
        <f>IF(COUNTIFS('설문지 응답 시트1'!$C:$C, $C28, '설문지 응답 시트1'!$A:$A, "&gt;="&amp;(F$6 + TIME(17,0,0)), '설문지 응답 시트1'!$A:$A, "&lt;"&amp;(F$6 + 1 + TIME(9,0,0)))&gt;0, "O", "X")</f>
        <v>O</v>
      </c>
      <c r="G28" s="23" t="str">
        <f>IF(COUNTIFS('설문지 응답 시트1'!$C:$C, $C28, '설문지 응답 시트1'!$A:$A, "&gt;="&amp;(G$6 + TIME(17,0,0)), '설문지 응답 시트1'!$A:$A, "&lt;"&amp;(G$6 + 1 + TIME(9,0,0)))&gt;0, "O", "X")</f>
        <v>O</v>
      </c>
      <c r="H28" s="23" t="str">
        <f>IF(COUNTIFS('설문지 응답 시트1'!$C:$C, $C28, '설문지 응답 시트1'!$A:$A, "&gt;="&amp;(H$6 + TIME(17,0,0)), '설문지 응답 시트1'!$A:$A, "&lt;"&amp;(H$6 + 1 + TIME(9,0,0)))&gt;0, "O", "X")</f>
        <v>O</v>
      </c>
      <c r="I28" s="23" t="str">
        <f>IF(COUNTIFS('설문지 응답 시트1'!$C:$C, $C28, '설문지 응답 시트1'!$A:$A, "&gt;="&amp;(I$6 + TIME(17,0,0)), '설문지 응답 시트1'!$A:$A, "&lt;"&amp;(I$6 + 1 + TIME(9,0,0)))&gt;0, "O", "X")</f>
        <v>O</v>
      </c>
      <c r="J28" s="16"/>
    </row>
    <row r="29" spans="1:10" ht="12.75" x14ac:dyDescent="0.2">
      <c r="A29" s="15"/>
      <c r="B29" s="22">
        <v>4</v>
      </c>
      <c r="C29" s="22" t="s">
        <v>155</v>
      </c>
      <c r="D29" s="23">
        <f t="shared" ca="1" si="0"/>
        <v>0</v>
      </c>
      <c r="E29" s="24">
        <f t="shared" ca="1" si="1"/>
        <v>1</v>
      </c>
      <c r="F29" s="23" t="str">
        <f>IF(COUNTIFS('설문지 응답 시트1'!$C:$C, $C29, '설문지 응답 시트1'!$A:$A, "&gt;="&amp;(F$6 + TIME(17,0,0)), '설문지 응답 시트1'!$A:$A, "&lt;"&amp;(F$6 + 1 + TIME(9,0,0)))&gt;0, "O", "X")</f>
        <v>O</v>
      </c>
      <c r="G29" s="23" t="str">
        <f>IF(COUNTIFS('설문지 응답 시트1'!$C:$C, $C29, '설문지 응답 시트1'!$A:$A, "&gt;="&amp;(G$6 + TIME(17,0,0)), '설문지 응답 시트1'!$A:$A, "&lt;"&amp;(G$6 + 1 + TIME(9,0,0)))&gt;0, "O", "X")</f>
        <v>O</v>
      </c>
      <c r="H29" s="23" t="str">
        <f>IF(COUNTIFS('설문지 응답 시트1'!$C:$C, $C29, '설문지 응답 시트1'!$A:$A, "&gt;="&amp;(H$6 + TIME(17,0,0)), '설문지 응답 시트1'!$A:$A, "&lt;"&amp;(H$6 + 1 + TIME(9,0,0)))&gt;0, "O", "X")</f>
        <v>O</v>
      </c>
      <c r="I29" s="23" t="str">
        <f>IF(COUNTIFS('설문지 응답 시트1'!$C:$C, $C29, '설문지 응답 시트1'!$A:$A, "&gt;="&amp;(I$6 + TIME(17,0,0)), '설문지 응답 시트1'!$A:$A, "&lt;"&amp;(I$6 + 1 + TIME(9,0,0)))&gt;0, "O", "X")</f>
        <v>O</v>
      </c>
      <c r="J29" s="16"/>
    </row>
    <row r="30" spans="1:10" ht="12.75" x14ac:dyDescent="0.2">
      <c r="A30" s="15"/>
      <c r="B30" s="22">
        <v>4</v>
      </c>
      <c r="C30" s="22" t="s">
        <v>22</v>
      </c>
      <c r="D30" s="23">
        <f t="shared" ca="1" si="0"/>
        <v>0</v>
      </c>
      <c r="E30" s="24">
        <f t="shared" ca="1" si="1"/>
        <v>1</v>
      </c>
      <c r="F30" s="23" t="str">
        <f>IF(COUNTIFS('설문지 응답 시트1'!$C:$C, $C30, '설문지 응답 시트1'!$A:$A, "&gt;="&amp;(F$6 + TIME(17,0,0)), '설문지 응답 시트1'!$A:$A, "&lt;"&amp;(F$6 + 1 + TIME(9,0,0)))&gt;0, "O", "X")</f>
        <v>O</v>
      </c>
      <c r="G30" s="23" t="str">
        <f>IF(COUNTIFS('설문지 응답 시트1'!$C:$C, $C30, '설문지 응답 시트1'!$A:$A, "&gt;="&amp;(G$6 + TIME(17,0,0)), '설문지 응답 시트1'!$A:$A, "&lt;"&amp;(G$6 + 1 + TIME(9,0,0)))&gt;0, "O", "X")</f>
        <v>O</v>
      </c>
      <c r="H30" s="23" t="str">
        <f>IF(COUNTIFS('설문지 응답 시트1'!$C:$C, $C30, '설문지 응답 시트1'!$A:$A, "&gt;="&amp;(H$6 + TIME(17,0,0)), '설문지 응답 시트1'!$A:$A, "&lt;"&amp;(H$6 + 1 + TIME(9,0,0)))&gt;0, "O", "X")</f>
        <v>O</v>
      </c>
      <c r="I30" s="23" t="str">
        <f>IF(COUNTIFS('설문지 응답 시트1'!$C:$C, $C30, '설문지 응답 시트1'!$A:$A, "&gt;="&amp;(I$6 + TIME(17,0,0)), '설문지 응답 시트1'!$A:$A, "&lt;"&amp;(I$6 + 1 + TIME(9,0,0)))&gt;0, "O", "X")</f>
        <v>O</v>
      </c>
      <c r="J30" s="16"/>
    </row>
    <row r="31" spans="1:10" ht="12.75" x14ac:dyDescent="0.2">
      <c r="A31" s="15"/>
      <c r="B31" s="22">
        <v>4</v>
      </c>
      <c r="C31" s="22" t="s">
        <v>123</v>
      </c>
      <c r="D31" s="23">
        <f t="shared" ca="1" si="0"/>
        <v>0</v>
      </c>
      <c r="E31" s="24">
        <f t="shared" ca="1" si="1"/>
        <v>1</v>
      </c>
      <c r="F31" s="23" t="str">
        <f>IF(COUNTIFS('설문지 응답 시트1'!$C:$C, $C31, '설문지 응답 시트1'!$A:$A, "&gt;="&amp;(F$6 + TIME(17,0,0)), '설문지 응답 시트1'!$A:$A, "&lt;"&amp;(F$6 + 1 + TIME(9,0,0)))&gt;0, "O", "X")</f>
        <v>O</v>
      </c>
      <c r="G31" s="23" t="str">
        <f>IF(COUNTIFS('설문지 응답 시트1'!$C:$C, $C31, '설문지 응답 시트1'!$A:$A, "&gt;="&amp;(G$6 + TIME(17,0,0)), '설문지 응답 시트1'!$A:$A, "&lt;"&amp;(G$6 + 1 + TIME(9,0,0)))&gt;0, "O", "X")</f>
        <v>O</v>
      </c>
      <c r="H31" s="23" t="str">
        <f>IF(COUNTIFS('설문지 응답 시트1'!$C:$C, $C31, '설문지 응답 시트1'!$A:$A, "&gt;="&amp;(H$6 + TIME(17,0,0)), '설문지 응답 시트1'!$A:$A, "&lt;"&amp;(H$6 + 1 + TIME(9,0,0)))&gt;0, "O", "X")</f>
        <v>O</v>
      </c>
      <c r="I31" s="23" t="str">
        <f>IF(COUNTIFS('설문지 응답 시트1'!$C:$C, $C31, '설문지 응답 시트1'!$A:$A, "&gt;="&amp;(I$6 + TIME(17,0,0)), '설문지 응답 시트1'!$A:$A, "&lt;"&amp;(I$6 + 1 + TIME(9,0,0)))&gt;0, "O", "X")</f>
        <v>O</v>
      </c>
      <c r="J31" s="16"/>
    </row>
    <row r="32" spans="1:10" ht="12.75" x14ac:dyDescent="0.2">
      <c r="A32" s="15"/>
      <c r="B32" s="22">
        <v>4</v>
      </c>
      <c r="C32" s="22" t="s">
        <v>180</v>
      </c>
      <c r="D32" s="23">
        <f t="shared" ca="1" si="0"/>
        <v>0</v>
      </c>
      <c r="E32" s="24">
        <f t="shared" ca="1" si="1"/>
        <v>1</v>
      </c>
      <c r="F32" s="23" t="str">
        <f>IF(COUNTIFS('설문지 응답 시트1'!$C:$C, $C32, '설문지 응답 시트1'!$A:$A, "&gt;="&amp;(F$6 + TIME(17,0,0)), '설문지 응답 시트1'!$A:$A, "&lt;"&amp;(F$6 + 1 + TIME(9,0,0)))&gt;0, "O", "X")</f>
        <v>O</v>
      </c>
      <c r="G32" s="23" t="str">
        <f>IF(COUNTIFS('설문지 응답 시트1'!$C:$C, $C32, '설문지 응답 시트1'!$A:$A, "&gt;="&amp;(G$6 + TIME(17,0,0)), '설문지 응답 시트1'!$A:$A, "&lt;"&amp;(G$6 + 1 + TIME(9,0,0)))&gt;0, "O", "X")</f>
        <v>O</v>
      </c>
      <c r="H32" s="23" t="str">
        <f>IF(COUNTIFS('설문지 응답 시트1'!$C:$C, $C32, '설문지 응답 시트1'!$A:$A, "&gt;="&amp;(H$6 + TIME(17,0,0)), '설문지 응답 시트1'!$A:$A, "&lt;"&amp;(H$6 + 1 + TIME(9,0,0)))&gt;0, "O", "X")</f>
        <v>O</v>
      </c>
      <c r="I32" s="23" t="str">
        <f>IF(COUNTIFS('설문지 응답 시트1'!$C:$C, $C32, '설문지 응답 시트1'!$A:$A, "&gt;="&amp;(I$6 + TIME(17,0,0)), '설문지 응답 시트1'!$A:$A, "&lt;"&amp;(I$6 + 1 + TIME(9,0,0)))&gt;0, "O", "X")</f>
        <v>O</v>
      </c>
      <c r="J32" s="16"/>
    </row>
    <row r="33" spans="1:10" ht="12.75" x14ac:dyDescent="0.2">
      <c r="A33" s="15"/>
      <c r="B33" s="22">
        <v>4</v>
      </c>
      <c r="C33" s="22" t="s">
        <v>97</v>
      </c>
      <c r="D33" s="23">
        <f t="shared" ca="1" si="0"/>
        <v>1</v>
      </c>
      <c r="E33" s="24">
        <f t="shared" ca="1" si="1"/>
        <v>0.75</v>
      </c>
      <c r="F33" s="23" t="str">
        <f>IF(COUNTIFS('설문지 응답 시트1'!$C:$C, $C33, '설문지 응답 시트1'!$A:$A, "&gt;="&amp;(F$6 + TIME(17,0,0)), '설문지 응답 시트1'!$A:$A, "&lt;"&amp;(F$6 + 1 + TIME(9,0,0)))&gt;0, "O", "X")</f>
        <v>O</v>
      </c>
      <c r="G33" s="23" t="str">
        <f>IF(COUNTIFS('설문지 응답 시트1'!$C:$C, $C33, '설문지 응답 시트1'!$A:$A, "&gt;="&amp;(G$6 + TIME(17,0,0)), '설문지 응답 시트1'!$A:$A, "&lt;"&amp;(G$6 + 1 + TIME(9,0,0)))&gt;0, "O", "X")</f>
        <v>O</v>
      </c>
      <c r="H33" s="23" t="str">
        <f>IF(COUNTIFS('설문지 응답 시트1'!$C:$C, $C33, '설문지 응답 시트1'!$A:$A, "&gt;="&amp;(H$6 + TIME(17,0,0)), '설문지 응답 시트1'!$A:$A, "&lt;"&amp;(H$6 + 1 + TIME(9,0,0)))&gt;0, "O", "X")</f>
        <v>X</v>
      </c>
      <c r="I33" s="23" t="str">
        <f>IF(COUNTIFS('설문지 응답 시트1'!$C:$C, $C33, '설문지 응답 시트1'!$A:$A, "&gt;="&amp;(I$6 + TIME(17,0,0)), '설문지 응답 시트1'!$A:$A, "&lt;"&amp;(I$6 + 1 + TIME(9,0,0)))&gt;0, "O", "X")</f>
        <v>O</v>
      </c>
      <c r="J33" s="16"/>
    </row>
    <row r="34" spans="1:10" ht="12.75" x14ac:dyDescent="0.2">
      <c r="A34" s="15"/>
      <c r="B34" s="22">
        <v>4</v>
      </c>
      <c r="C34" s="22" t="s">
        <v>145</v>
      </c>
      <c r="D34" s="23">
        <f t="shared" ca="1" si="0"/>
        <v>0</v>
      </c>
      <c r="E34" s="24">
        <f t="shared" ca="1" si="1"/>
        <v>1</v>
      </c>
      <c r="F34" s="23" t="str">
        <f>IF(COUNTIFS('설문지 응답 시트1'!$C:$C, $C34, '설문지 응답 시트1'!$A:$A, "&gt;="&amp;(F$6 + TIME(17,0,0)), '설문지 응답 시트1'!$A:$A, "&lt;"&amp;(F$6 + 1 + TIME(9,0,0)))&gt;0, "O", "X")</f>
        <v>O</v>
      </c>
      <c r="G34" s="23" t="str">
        <f>IF(COUNTIFS('설문지 응답 시트1'!$C:$C, $C34, '설문지 응답 시트1'!$A:$A, "&gt;="&amp;(G$6 + TIME(17,0,0)), '설문지 응답 시트1'!$A:$A, "&lt;"&amp;(G$6 + 1 + TIME(9,0,0)))&gt;0, "O", "X")</f>
        <v>O</v>
      </c>
      <c r="H34" s="23" t="str">
        <f>IF(COUNTIFS('설문지 응답 시트1'!$C:$C, $C34, '설문지 응답 시트1'!$A:$A, "&gt;="&amp;(H$6 + TIME(17,0,0)), '설문지 응답 시트1'!$A:$A, "&lt;"&amp;(H$6 + 1 + TIME(9,0,0)))&gt;0, "O", "X")</f>
        <v>O</v>
      </c>
      <c r="I34" s="23" t="str">
        <f>IF(COUNTIFS('설문지 응답 시트1'!$C:$C, $C34, '설문지 응답 시트1'!$A:$A, "&gt;="&amp;(I$6 + TIME(17,0,0)), '설문지 응답 시트1'!$A:$A, "&lt;"&amp;(I$6 + 1 + TIME(9,0,0)))&gt;0, "O", "X")</f>
        <v>O</v>
      </c>
      <c r="J34" s="16"/>
    </row>
    <row r="35" spans="1:10" ht="12.75" x14ac:dyDescent="0.2">
      <c r="A35" s="15"/>
      <c r="B35" s="22">
        <v>4</v>
      </c>
      <c r="C35" s="22" t="s">
        <v>75</v>
      </c>
      <c r="D35" s="23">
        <f t="shared" ca="1" si="0"/>
        <v>0</v>
      </c>
      <c r="E35" s="24">
        <f t="shared" ca="1" si="1"/>
        <v>1</v>
      </c>
      <c r="F35" s="23" t="str">
        <f>IF(COUNTIFS('설문지 응답 시트1'!$C:$C, $C35, '설문지 응답 시트1'!$A:$A, "&gt;="&amp;(F$6 + TIME(17,0,0)), '설문지 응답 시트1'!$A:$A, "&lt;"&amp;(F$6 + 1 + TIME(9,0,0)))&gt;0, "O", "X")</f>
        <v>O</v>
      </c>
      <c r="G35" s="23" t="str">
        <f>IF(COUNTIFS('설문지 응답 시트1'!$C:$C, $C35, '설문지 응답 시트1'!$A:$A, "&gt;="&amp;(G$6 + TIME(17,0,0)), '설문지 응답 시트1'!$A:$A, "&lt;"&amp;(G$6 + 1 + TIME(9,0,0)))&gt;0, "O", "X")</f>
        <v>O</v>
      </c>
      <c r="H35" s="23" t="str">
        <f>IF(COUNTIFS('설문지 응답 시트1'!$C:$C, $C35, '설문지 응답 시트1'!$A:$A, "&gt;="&amp;(H$6 + TIME(17,0,0)), '설문지 응답 시트1'!$A:$A, "&lt;"&amp;(H$6 + 1 + TIME(9,0,0)))&gt;0, "O", "X")</f>
        <v>O</v>
      </c>
      <c r="I35" s="23" t="str">
        <f>IF(COUNTIFS('설문지 응답 시트1'!$C:$C, $C35, '설문지 응답 시트1'!$A:$A, "&gt;="&amp;(I$6 + TIME(17,0,0)), '설문지 응답 시트1'!$A:$A, "&lt;"&amp;(I$6 + 1 + TIME(9,0,0)))&gt;0, "O", "X")</f>
        <v>O</v>
      </c>
      <c r="J35" s="16"/>
    </row>
    <row r="36" spans="1:10" ht="12.75" x14ac:dyDescent="0.2">
      <c r="A36" s="15"/>
      <c r="B36" s="22">
        <v>4</v>
      </c>
      <c r="C36" s="22" t="s">
        <v>237</v>
      </c>
      <c r="D36" s="23">
        <f t="shared" ca="1" si="0"/>
        <v>0</v>
      </c>
      <c r="E36" s="24">
        <f t="shared" ca="1" si="1"/>
        <v>1</v>
      </c>
      <c r="F36" s="23" t="str">
        <f>IF(COUNTIFS('설문지 응답 시트1'!$C:$C, $C36, '설문지 응답 시트1'!$A:$A, "&gt;="&amp;(F$6 + TIME(17,0,0)), '설문지 응답 시트1'!$A:$A, "&lt;"&amp;(F$6 + 1 + TIME(9,0,0)))&gt;0, "O", "X")</f>
        <v>O</v>
      </c>
      <c r="G36" s="23" t="str">
        <f>IF(COUNTIFS('설문지 응답 시트1'!$C:$C, $C36, '설문지 응답 시트1'!$A:$A, "&gt;="&amp;(G$6 + TIME(17,0,0)), '설문지 응답 시트1'!$A:$A, "&lt;"&amp;(G$6 + 1 + TIME(9,0,0)))&gt;0, "O", "X")</f>
        <v>O</v>
      </c>
      <c r="H36" s="23" t="str">
        <f>IF(COUNTIFS('설문지 응답 시트1'!$C:$C, $C36, '설문지 응답 시트1'!$A:$A, "&gt;="&amp;(H$6 + TIME(17,0,0)), '설문지 응답 시트1'!$A:$A, "&lt;"&amp;(H$6 + 1 + TIME(9,0,0)))&gt;0, "O", "X")</f>
        <v>O</v>
      </c>
      <c r="I36" s="23" t="str">
        <f>IF(COUNTIFS('설문지 응답 시트1'!$C:$C, $C36, '설문지 응답 시트1'!$A:$A, "&gt;="&amp;(I$6 + TIME(17,0,0)), '설문지 응답 시트1'!$A:$A, "&lt;"&amp;(I$6 + 1 + TIME(9,0,0)))&gt;0, "O", "X")</f>
        <v>O</v>
      </c>
      <c r="J36" s="16"/>
    </row>
    <row r="37" spans="1:10" ht="12.75" x14ac:dyDescent="0.2">
      <c r="A37" s="15"/>
      <c r="B37" s="22">
        <v>5</v>
      </c>
      <c r="C37" s="22" t="s">
        <v>188</v>
      </c>
      <c r="D37" s="23">
        <f t="shared" ca="1" si="0"/>
        <v>1</v>
      </c>
      <c r="E37" s="24">
        <f t="shared" ca="1" si="1"/>
        <v>0.75</v>
      </c>
      <c r="F37" s="23" t="str">
        <f>IF(COUNTIFS('설문지 응답 시트1'!$C:$C, $C37, '설문지 응답 시트1'!$A:$A, "&gt;="&amp;(F$6 + TIME(17,0,0)), '설문지 응답 시트1'!$A:$A, "&lt;"&amp;(F$6 + 1 + TIME(9,0,0)))&gt;0, "O", "X")</f>
        <v>O</v>
      </c>
      <c r="G37" s="23" t="str">
        <f>IF(COUNTIFS('설문지 응답 시트1'!$C:$C, $C37, '설문지 응답 시트1'!$A:$A, "&gt;="&amp;(G$6 + TIME(17,0,0)), '설문지 응답 시트1'!$A:$A, "&lt;"&amp;(G$6 + 1 + TIME(9,0,0)))&gt;0, "O", "X")</f>
        <v>O</v>
      </c>
      <c r="H37" s="23" t="str">
        <f>IF(COUNTIFS('설문지 응답 시트1'!$C:$C, $C37, '설문지 응답 시트1'!$A:$A, "&gt;="&amp;(H$6 + TIME(17,0,0)), '설문지 응답 시트1'!$A:$A, "&lt;"&amp;(H$6 + 1 + TIME(9,0,0)))&gt;0, "O", "X")</f>
        <v>O</v>
      </c>
      <c r="I37" s="23" t="str">
        <f>IF(COUNTIFS('설문지 응답 시트1'!$C:$C, $C37, '설문지 응답 시트1'!$A:$A, "&gt;="&amp;(I$6 + TIME(17,0,0)), '설문지 응답 시트1'!$A:$A, "&lt;"&amp;(I$6 + 1 + TIME(9,0,0)))&gt;0, "O", "X")</f>
        <v>X</v>
      </c>
      <c r="J37" s="16"/>
    </row>
    <row r="38" spans="1:10" ht="12.75" x14ac:dyDescent="0.2">
      <c r="A38" s="15"/>
      <c r="B38" s="22">
        <v>5</v>
      </c>
      <c r="C38" s="22" t="s">
        <v>110</v>
      </c>
      <c r="D38" s="23">
        <f t="shared" ca="1" si="0"/>
        <v>0</v>
      </c>
      <c r="E38" s="24">
        <f t="shared" ca="1" si="1"/>
        <v>1</v>
      </c>
      <c r="F38" s="23" t="str">
        <f>IF(COUNTIFS('설문지 응답 시트1'!$C:$C, $C38, '설문지 응답 시트1'!$A:$A, "&gt;="&amp;(F$6 + TIME(17,0,0)), '설문지 응답 시트1'!$A:$A, "&lt;"&amp;(F$6 + 1 + TIME(9,0,0)))&gt;0, "O", "X")</f>
        <v>O</v>
      </c>
      <c r="G38" s="23" t="str">
        <f>IF(COUNTIFS('설문지 응답 시트1'!$C:$C, $C38, '설문지 응답 시트1'!$A:$A, "&gt;="&amp;(G$6 + TIME(17,0,0)), '설문지 응답 시트1'!$A:$A, "&lt;"&amp;(G$6 + 1 + TIME(9,0,0)))&gt;0, "O", "X")</f>
        <v>O</v>
      </c>
      <c r="H38" s="23" t="str">
        <f>IF(COUNTIFS('설문지 응답 시트1'!$C:$C, $C38, '설문지 응답 시트1'!$A:$A, "&gt;="&amp;(H$6 + TIME(17,0,0)), '설문지 응답 시트1'!$A:$A, "&lt;"&amp;(H$6 + 1 + TIME(9,0,0)))&gt;0, "O", "X")</f>
        <v>O</v>
      </c>
      <c r="I38" s="23" t="str">
        <f>IF(COUNTIFS('설문지 응답 시트1'!$C:$C, $C38, '설문지 응답 시트1'!$A:$A, "&gt;="&amp;(I$6 + TIME(17,0,0)), '설문지 응답 시트1'!$A:$A, "&lt;"&amp;(I$6 + 1 + TIME(9,0,0)))&gt;0, "O", "X")</f>
        <v>O</v>
      </c>
      <c r="J38" s="16"/>
    </row>
    <row r="39" spans="1:10" ht="12.75" x14ac:dyDescent="0.2">
      <c r="A39" s="15"/>
      <c r="B39" s="22">
        <v>5</v>
      </c>
      <c r="C39" s="22" t="s">
        <v>241</v>
      </c>
      <c r="D39" s="23">
        <f t="shared" ca="1" si="0"/>
        <v>0</v>
      </c>
      <c r="E39" s="24">
        <f t="shared" ca="1" si="1"/>
        <v>1</v>
      </c>
      <c r="F39" s="23" t="str">
        <f>IF(COUNTIFS('설문지 응답 시트1'!$C:$C, $C39, '설문지 응답 시트1'!$A:$A, "&gt;="&amp;(F$6 + TIME(17,0,0)), '설문지 응답 시트1'!$A:$A, "&lt;"&amp;(F$6 + 1 + TIME(9,0,0)))&gt;0, "O", "X")</f>
        <v>O</v>
      </c>
      <c r="G39" s="23" t="str">
        <f>IF(COUNTIFS('설문지 응답 시트1'!$C:$C, $C39, '설문지 응답 시트1'!$A:$A, "&gt;="&amp;(G$6 + TIME(17,0,0)), '설문지 응답 시트1'!$A:$A, "&lt;"&amp;(G$6 + 1 + TIME(9,0,0)))&gt;0, "O", "X")</f>
        <v>O</v>
      </c>
      <c r="H39" s="23" t="str">
        <f>IF(COUNTIFS('설문지 응답 시트1'!$C:$C, $C39, '설문지 응답 시트1'!$A:$A, "&gt;="&amp;(H$6 + TIME(17,0,0)), '설문지 응답 시트1'!$A:$A, "&lt;"&amp;(H$6 + 1 + TIME(9,0,0)))&gt;0, "O", "X")</f>
        <v>O</v>
      </c>
      <c r="I39" s="23" t="str">
        <f>IF(COUNTIFS('설문지 응답 시트1'!$C:$C, $C39, '설문지 응답 시트1'!$A:$A, "&gt;="&amp;(I$6 + TIME(17,0,0)), '설문지 응답 시트1'!$A:$A, "&lt;"&amp;(I$6 + 1 + TIME(9,0,0)))&gt;0, "O", "X")</f>
        <v>O</v>
      </c>
      <c r="J39" s="16"/>
    </row>
    <row r="40" spans="1:10" ht="12.75" x14ac:dyDescent="0.2">
      <c r="A40" s="15"/>
      <c r="B40" s="22">
        <v>5</v>
      </c>
      <c r="C40" s="22" t="s">
        <v>66</v>
      </c>
      <c r="D40" s="23">
        <f t="shared" ca="1" si="0"/>
        <v>0</v>
      </c>
      <c r="E40" s="24">
        <f t="shared" ca="1" si="1"/>
        <v>1</v>
      </c>
      <c r="F40" s="23" t="str">
        <f>IF(COUNTIFS('설문지 응답 시트1'!$C:$C, $C40, '설문지 응답 시트1'!$A:$A, "&gt;="&amp;(F$6 + TIME(17,0,0)), '설문지 응답 시트1'!$A:$A, "&lt;"&amp;(F$6 + 1 + TIME(9,0,0)))&gt;0, "O", "X")</f>
        <v>O</v>
      </c>
      <c r="G40" s="23" t="str">
        <f>IF(COUNTIFS('설문지 응답 시트1'!$C:$C, $C40, '설문지 응답 시트1'!$A:$A, "&gt;="&amp;(G$6 + TIME(17,0,0)), '설문지 응답 시트1'!$A:$A, "&lt;"&amp;(G$6 + 1 + TIME(9,0,0)))&gt;0, "O", "X")</f>
        <v>O</v>
      </c>
      <c r="H40" s="23" t="str">
        <f>IF(COUNTIFS('설문지 응답 시트1'!$C:$C, $C40, '설문지 응답 시트1'!$A:$A, "&gt;="&amp;(H$6 + TIME(17,0,0)), '설문지 응답 시트1'!$A:$A, "&lt;"&amp;(H$6 + 1 + TIME(9,0,0)))&gt;0, "O", "X")</f>
        <v>O</v>
      </c>
      <c r="I40" s="23" t="str">
        <f>IF(COUNTIFS('설문지 응답 시트1'!$C:$C, $C40, '설문지 응답 시트1'!$A:$A, "&gt;="&amp;(I$6 + TIME(17,0,0)), '설문지 응답 시트1'!$A:$A, "&lt;"&amp;(I$6 + 1 + TIME(9,0,0)))&gt;0, "O", "X")</f>
        <v>O</v>
      </c>
      <c r="J40" s="16"/>
    </row>
    <row r="41" spans="1:10" ht="12.75" x14ac:dyDescent="0.2">
      <c r="A41" s="15"/>
      <c r="B41" s="22">
        <v>5</v>
      </c>
      <c r="C41" s="22" t="s">
        <v>49</v>
      </c>
      <c r="D41" s="23">
        <f t="shared" ca="1" si="0"/>
        <v>0</v>
      </c>
      <c r="E41" s="24">
        <f t="shared" ca="1" si="1"/>
        <v>1</v>
      </c>
      <c r="F41" s="23" t="str">
        <f>IF(COUNTIFS('설문지 응답 시트1'!$C:$C, $C41, '설문지 응답 시트1'!$A:$A, "&gt;="&amp;(F$6 + TIME(17,0,0)), '설문지 응답 시트1'!$A:$A, "&lt;"&amp;(F$6 + 1 + TIME(9,0,0)))&gt;0, "O", "X")</f>
        <v>O</v>
      </c>
      <c r="G41" s="23" t="str">
        <f>IF(COUNTIFS('설문지 응답 시트1'!$C:$C, $C41, '설문지 응답 시트1'!$A:$A, "&gt;="&amp;(G$6 + TIME(17,0,0)), '설문지 응답 시트1'!$A:$A, "&lt;"&amp;(G$6 + 1 + TIME(9,0,0)))&gt;0, "O", "X")</f>
        <v>O</v>
      </c>
      <c r="H41" s="23" t="str">
        <f>IF(COUNTIFS('설문지 응답 시트1'!$C:$C, $C41, '설문지 응답 시트1'!$A:$A, "&gt;="&amp;(H$6 + TIME(17,0,0)), '설문지 응답 시트1'!$A:$A, "&lt;"&amp;(H$6 + 1 + TIME(9,0,0)))&gt;0, "O", "X")</f>
        <v>O</v>
      </c>
      <c r="I41" s="23" t="str">
        <f>IF(COUNTIFS('설문지 응답 시트1'!$C:$C, $C41, '설문지 응답 시트1'!$A:$A, "&gt;="&amp;(I$6 + TIME(17,0,0)), '설문지 응답 시트1'!$A:$A, "&lt;"&amp;(I$6 + 1 + TIME(9,0,0)))&gt;0, "O", "X")</f>
        <v>O</v>
      </c>
      <c r="J41" s="16"/>
    </row>
    <row r="42" spans="1:10" ht="12.75" x14ac:dyDescent="0.2">
      <c r="A42" s="15"/>
      <c r="B42" s="22">
        <v>5</v>
      </c>
      <c r="C42" s="22" t="s">
        <v>218</v>
      </c>
      <c r="D42" s="23">
        <f t="shared" ca="1" si="0"/>
        <v>1</v>
      </c>
      <c r="E42" s="24">
        <f t="shared" ca="1" si="1"/>
        <v>0.75</v>
      </c>
      <c r="F42" s="23" t="str">
        <f>IF(COUNTIFS('설문지 응답 시트1'!$C:$C, $C42, '설문지 응답 시트1'!$A:$A, "&gt;="&amp;(F$6 + TIME(17,0,0)), '설문지 응답 시트1'!$A:$A, "&lt;"&amp;(F$6 + 1 + TIME(9,0,0)))&gt;0, "O", "X")</f>
        <v>O</v>
      </c>
      <c r="G42" s="23" t="str">
        <f>IF(COUNTIFS('설문지 응답 시트1'!$C:$C, $C42, '설문지 응답 시트1'!$A:$A, "&gt;="&amp;(G$6 + TIME(17,0,0)), '설문지 응답 시트1'!$A:$A, "&lt;"&amp;(G$6 + 1 + TIME(9,0,0)))&gt;0, "O", "X")</f>
        <v>O</v>
      </c>
      <c r="H42" s="23" t="str">
        <f>IF(COUNTIFS('설문지 응답 시트1'!$C:$C, $C42, '설문지 응답 시트1'!$A:$A, "&gt;="&amp;(H$6 + TIME(17,0,0)), '설문지 응답 시트1'!$A:$A, "&lt;"&amp;(H$6 + 1 + TIME(9,0,0)))&gt;0, "O", "X")</f>
        <v>O</v>
      </c>
      <c r="I42" s="23" t="str">
        <f>IF(COUNTIFS('설문지 응답 시트1'!$C:$C, $C42, '설문지 응답 시트1'!$A:$A, "&gt;="&amp;(I$6 + TIME(17,0,0)), '설문지 응답 시트1'!$A:$A, "&lt;"&amp;(I$6 + 1 + TIME(9,0,0)))&gt;0, "O", "X")</f>
        <v>X</v>
      </c>
      <c r="J42" s="16"/>
    </row>
    <row r="43" spans="1:10" ht="12.75" x14ac:dyDescent="0.2">
      <c r="A43" s="15"/>
      <c r="B43" s="22">
        <v>5</v>
      </c>
      <c r="C43" s="22" t="s">
        <v>13</v>
      </c>
      <c r="D43" s="23">
        <f t="shared" ca="1" si="0"/>
        <v>1</v>
      </c>
      <c r="E43" s="24">
        <f t="shared" ca="1" si="1"/>
        <v>0.75</v>
      </c>
      <c r="F43" s="23" t="str">
        <f>IF(COUNTIFS('설문지 응답 시트1'!$C:$C, $C43, '설문지 응답 시트1'!$A:$A, "&gt;="&amp;(F$6 + TIME(17,0,0)), '설문지 응답 시트1'!$A:$A, "&lt;"&amp;(F$6 + 1 + TIME(9,0,0)))&gt;0, "O", "X")</f>
        <v>O</v>
      </c>
      <c r="G43" s="23" t="str">
        <f>IF(COUNTIFS('설문지 응답 시트1'!$C:$C, $C43, '설문지 응답 시트1'!$A:$A, "&gt;="&amp;(G$6 + TIME(17,0,0)), '설문지 응답 시트1'!$A:$A, "&lt;"&amp;(G$6 + 1 + TIME(9,0,0)))&gt;0, "O", "X")</f>
        <v>O</v>
      </c>
      <c r="H43" s="23" t="str">
        <f>IF(COUNTIFS('설문지 응답 시트1'!$C:$C, $C43, '설문지 응답 시트1'!$A:$A, "&gt;="&amp;(H$6 + TIME(17,0,0)), '설문지 응답 시트1'!$A:$A, "&lt;"&amp;(H$6 + 1 + TIME(9,0,0)))&gt;0, "O", "X")</f>
        <v>X</v>
      </c>
      <c r="I43" s="23" t="str">
        <f>IF(COUNTIFS('설문지 응답 시트1'!$C:$C, $C43, '설문지 응답 시트1'!$A:$A, "&gt;="&amp;(I$6 + TIME(17,0,0)), '설문지 응답 시트1'!$A:$A, "&lt;"&amp;(I$6 + 1 + TIME(9,0,0)))&gt;0, "O", "X")</f>
        <v>O</v>
      </c>
      <c r="J43" s="16"/>
    </row>
    <row r="44" spans="1:10" ht="12.75" x14ac:dyDescent="0.2">
      <c r="A44" s="15"/>
      <c r="B44" s="22">
        <v>6</v>
      </c>
      <c r="C44" s="22" t="s">
        <v>139</v>
      </c>
      <c r="D44" s="23">
        <f t="shared" ca="1" si="0"/>
        <v>1</v>
      </c>
      <c r="E44" s="24">
        <f t="shared" ca="1" si="1"/>
        <v>0.75</v>
      </c>
      <c r="F44" s="23" t="str">
        <f>IF(COUNTIFS('설문지 응답 시트1'!$C:$C, $C44, '설문지 응답 시트1'!$A:$A, "&gt;="&amp;(F$6 + TIME(17,0,0)), '설문지 응답 시트1'!$A:$A, "&lt;"&amp;(F$6 + 1 + TIME(9,0,0)))&gt;0, "O", "X")</f>
        <v>O</v>
      </c>
      <c r="G44" s="23" t="str">
        <f>IF(COUNTIFS('설문지 응답 시트1'!$C:$C, $C44, '설문지 응답 시트1'!$A:$A, "&gt;="&amp;(G$6 + TIME(17,0,0)), '설문지 응답 시트1'!$A:$A, "&lt;"&amp;(G$6 + 1 + TIME(9,0,0)))&gt;0, "O", "X")</f>
        <v>X</v>
      </c>
      <c r="H44" s="23" t="str">
        <f>IF(COUNTIFS('설문지 응답 시트1'!$C:$C, $C44, '설문지 응답 시트1'!$A:$A, "&gt;="&amp;(H$6 + TIME(17,0,0)), '설문지 응답 시트1'!$A:$A, "&lt;"&amp;(H$6 + 1 + TIME(9,0,0)))&gt;0, "O", "X")</f>
        <v>O</v>
      </c>
      <c r="I44" s="23" t="str">
        <f>IF(COUNTIFS('설문지 응답 시트1'!$C:$C, $C44, '설문지 응답 시트1'!$A:$A, "&gt;="&amp;(I$6 + TIME(17,0,0)), '설문지 응답 시트1'!$A:$A, "&lt;"&amp;(I$6 + 1 + TIME(9,0,0)))&gt;0, "O", "X")</f>
        <v>O</v>
      </c>
      <c r="J44" s="16"/>
    </row>
    <row r="45" spans="1:10" ht="12.75" x14ac:dyDescent="0.2">
      <c r="A45" s="15"/>
      <c r="B45" s="22">
        <v>6</v>
      </c>
      <c r="C45" s="22" t="s">
        <v>148</v>
      </c>
      <c r="D45" s="23">
        <f t="shared" ca="1" si="0"/>
        <v>0</v>
      </c>
      <c r="E45" s="24">
        <f t="shared" ca="1" si="1"/>
        <v>1</v>
      </c>
      <c r="F45" s="23" t="str">
        <f>IF(COUNTIFS('설문지 응답 시트1'!$C:$C, $C45, '설문지 응답 시트1'!$A:$A, "&gt;="&amp;(F$6 + TIME(17,0,0)), '설문지 응답 시트1'!$A:$A, "&lt;"&amp;(F$6 + 1 + TIME(9,0,0)))&gt;0, "O", "X")</f>
        <v>O</v>
      </c>
      <c r="G45" s="23" t="str">
        <f>IF(COUNTIFS('설문지 응답 시트1'!$C:$C, $C45, '설문지 응답 시트1'!$A:$A, "&gt;="&amp;(G$6 + TIME(17,0,0)), '설문지 응답 시트1'!$A:$A, "&lt;"&amp;(G$6 + 1 + TIME(9,0,0)))&gt;0, "O", "X")</f>
        <v>O</v>
      </c>
      <c r="H45" s="23" t="str">
        <f>IF(COUNTIFS('설문지 응답 시트1'!$C:$C, $C45, '설문지 응답 시트1'!$A:$A, "&gt;="&amp;(H$6 + TIME(17,0,0)), '설문지 응답 시트1'!$A:$A, "&lt;"&amp;(H$6 + 1 + TIME(9,0,0)))&gt;0, "O", "X")</f>
        <v>O</v>
      </c>
      <c r="I45" s="23" t="str">
        <f>IF(COUNTIFS('설문지 응답 시트1'!$C:$C, $C45, '설문지 응답 시트1'!$A:$A, "&gt;="&amp;(I$6 + TIME(17,0,0)), '설문지 응답 시트1'!$A:$A, "&lt;"&amp;(I$6 + 1 + TIME(9,0,0)))&gt;0, "O", "X")</f>
        <v>O</v>
      </c>
      <c r="J45" s="16"/>
    </row>
    <row r="46" spans="1:10" ht="12.75" x14ac:dyDescent="0.2">
      <c r="A46" s="15"/>
      <c r="B46" s="22">
        <v>6</v>
      </c>
      <c r="C46" s="22" t="s">
        <v>136</v>
      </c>
      <c r="D46" s="23">
        <f t="shared" ca="1" si="0"/>
        <v>0</v>
      </c>
      <c r="E46" s="24">
        <f t="shared" ca="1" si="1"/>
        <v>1</v>
      </c>
      <c r="F46" s="23" t="str">
        <f>IF(COUNTIFS('설문지 응답 시트1'!$C:$C, $C46, '설문지 응답 시트1'!$A:$A, "&gt;="&amp;(F$6 + TIME(17,0,0)), '설문지 응답 시트1'!$A:$A, "&lt;"&amp;(F$6 + 1 + TIME(9,0,0)))&gt;0, "O", "X")</f>
        <v>O</v>
      </c>
      <c r="G46" s="23" t="str">
        <f>IF(COUNTIFS('설문지 응답 시트1'!$C:$C, $C46, '설문지 응답 시트1'!$A:$A, "&gt;="&amp;(G$6 + TIME(17,0,0)), '설문지 응답 시트1'!$A:$A, "&lt;"&amp;(G$6 + 1 + TIME(9,0,0)))&gt;0, "O", "X")</f>
        <v>O</v>
      </c>
      <c r="H46" s="23" t="str">
        <f>IF(COUNTIFS('설문지 응답 시트1'!$C:$C, $C46, '설문지 응답 시트1'!$A:$A, "&gt;="&amp;(H$6 + TIME(17,0,0)), '설문지 응답 시트1'!$A:$A, "&lt;"&amp;(H$6 + 1 + TIME(9,0,0)))&gt;0, "O", "X")</f>
        <v>O</v>
      </c>
      <c r="I46" s="23" t="str">
        <f>IF(COUNTIFS('설문지 응답 시트1'!$C:$C, $C46, '설문지 응답 시트1'!$A:$A, "&gt;="&amp;(I$6 + TIME(17,0,0)), '설문지 응답 시트1'!$A:$A, "&lt;"&amp;(I$6 + 1 + TIME(9,0,0)))&gt;0, "O", "X")</f>
        <v>O</v>
      </c>
      <c r="J46" s="16"/>
    </row>
    <row r="47" spans="1:10" ht="12.75" x14ac:dyDescent="0.2">
      <c r="A47" s="15"/>
      <c r="B47" s="22">
        <v>6</v>
      </c>
      <c r="C47" s="22" t="s">
        <v>56</v>
      </c>
      <c r="D47" s="23">
        <f t="shared" ca="1" si="0"/>
        <v>0</v>
      </c>
      <c r="E47" s="24">
        <f t="shared" ca="1" si="1"/>
        <v>1</v>
      </c>
      <c r="F47" s="23" t="str">
        <f>IF(COUNTIFS('설문지 응답 시트1'!$C:$C, $C47, '설문지 응답 시트1'!$A:$A, "&gt;="&amp;(F$6 + TIME(17,0,0)), '설문지 응답 시트1'!$A:$A, "&lt;"&amp;(F$6 + 1 + TIME(9,0,0)))&gt;0, "O", "X")</f>
        <v>O</v>
      </c>
      <c r="G47" s="23" t="str">
        <f>IF(COUNTIFS('설문지 응답 시트1'!$C:$C, $C47, '설문지 응답 시트1'!$A:$A, "&gt;="&amp;(G$6 + TIME(17,0,0)), '설문지 응답 시트1'!$A:$A, "&lt;"&amp;(G$6 + 1 + TIME(9,0,0)))&gt;0, "O", "X")</f>
        <v>O</v>
      </c>
      <c r="H47" s="23" t="str">
        <f>IF(COUNTIFS('설문지 응답 시트1'!$C:$C, $C47, '설문지 응답 시트1'!$A:$A, "&gt;="&amp;(H$6 + TIME(17,0,0)), '설문지 응답 시트1'!$A:$A, "&lt;"&amp;(H$6 + 1 + TIME(9,0,0)))&gt;0, "O", "X")</f>
        <v>O</v>
      </c>
      <c r="I47" s="23" t="str">
        <f>IF(COUNTIFS('설문지 응답 시트1'!$C:$C, $C47, '설문지 응답 시트1'!$A:$A, "&gt;="&amp;(I$6 + TIME(17,0,0)), '설문지 응답 시트1'!$A:$A, "&lt;"&amp;(I$6 + 1 + TIME(9,0,0)))&gt;0, "O", "X")</f>
        <v>O</v>
      </c>
      <c r="J47" s="16"/>
    </row>
    <row r="48" spans="1:10" ht="12.75" x14ac:dyDescent="0.2">
      <c r="A48" s="15"/>
      <c r="B48" s="22">
        <v>6</v>
      </c>
      <c r="C48" s="22" t="s">
        <v>269</v>
      </c>
      <c r="D48" s="23">
        <f t="shared" ca="1" si="0"/>
        <v>2</v>
      </c>
      <c r="E48" s="24">
        <f t="shared" ca="1" si="1"/>
        <v>0.5</v>
      </c>
      <c r="F48" s="23" t="str">
        <f>IF(COUNTIFS('설문지 응답 시트1'!$C:$C, $C48, '설문지 응답 시트1'!$A:$A, "&gt;="&amp;(F$6 + TIME(17,0,0)), '설문지 응답 시트1'!$A:$A, "&lt;"&amp;(F$6 + 1 + TIME(9,0,0)))&gt;0, "O", "X")</f>
        <v>X</v>
      </c>
      <c r="G48" s="23" t="str">
        <f>IF(COUNTIFS('설문지 응답 시트1'!$C:$C, $C48, '설문지 응답 시트1'!$A:$A, "&gt;="&amp;(G$6 + TIME(17,0,0)), '설문지 응답 시트1'!$A:$A, "&lt;"&amp;(G$6 + 1 + TIME(9,0,0)))&gt;0, "O", "X")</f>
        <v>O</v>
      </c>
      <c r="H48" s="23" t="str">
        <f>IF(COUNTIFS('설문지 응답 시트1'!$C:$C, $C48, '설문지 응답 시트1'!$A:$A, "&gt;="&amp;(H$6 + TIME(17,0,0)), '설문지 응답 시트1'!$A:$A, "&lt;"&amp;(H$6 + 1 + TIME(9,0,0)))&gt;0, "O", "X")</f>
        <v>O</v>
      </c>
      <c r="I48" s="23" t="str">
        <f>IF(COUNTIFS('설문지 응답 시트1'!$C:$C, $C48, '설문지 응답 시트1'!$A:$A, "&gt;="&amp;(I$6 + TIME(17,0,0)), '설문지 응답 시트1'!$A:$A, "&lt;"&amp;(I$6 + 1 + TIME(9,0,0)))&gt;0, "O", "X")</f>
        <v>X</v>
      </c>
      <c r="J48" s="16"/>
    </row>
    <row r="49" spans="1:10" ht="12.75" x14ac:dyDescent="0.2">
      <c r="A49" s="15"/>
      <c r="B49" s="22">
        <v>6</v>
      </c>
      <c r="C49" s="22" t="s">
        <v>53</v>
      </c>
      <c r="D49" s="23">
        <f t="shared" ca="1" si="0"/>
        <v>0</v>
      </c>
      <c r="E49" s="24">
        <f t="shared" ca="1" si="1"/>
        <v>1</v>
      </c>
      <c r="F49" s="23" t="str">
        <f>IF(COUNTIFS('설문지 응답 시트1'!$C:$C, $C49, '설문지 응답 시트1'!$A:$A, "&gt;="&amp;(F$6 + TIME(17,0,0)), '설문지 응답 시트1'!$A:$A, "&lt;"&amp;(F$6 + 1 + TIME(9,0,0)))&gt;0, "O", "X")</f>
        <v>O</v>
      </c>
      <c r="G49" s="23" t="str">
        <f>IF(COUNTIFS('설문지 응답 시트1'!$C:$C, $C49, '설문지 응답 시트1'!$A:$A, "&gt;="&amp;(G$6 + TIME(17,0,0)), '설문지 응답 시트1'!$A:$A, "&lt;"&amp;(G$6 + 1 + TIME(9,0,0)))&gt;0, "O", "X")</f>
        <v>O</v>
      </c>
      <c r="H49" s="23" t="str">
        <f>IF(COUNTIFS('설문지 응답 시트1'!$C:$C, $C49, '설문지 응답 시트1'!$A:$A, "&gt;="&amp;(H$6 + TIME(17,0,0)), '설문지 응답 시트1'!$A:$A, "&lt;"&amp;(H$6 + 1 + TIME(9,0,0)))&gt;0, "O", "X")</f>
        <v>O</v>
      </c>
      <c r="I49" s="23" t="str">
        <f>IF(COUNTIFS('설문지 응답 시트1'!$C:$C, $C49, '설문지 응답 시트1'!$A:$A, "&gt;="&amp;(I$6 + TIME(17,0,0)), '설문지 응답 시트1'!$A:$A, "&lt;"&amp;(I$6 + 1 + TIME(9,0,0)))&gt;0, "O", "X")</f>
        <v>O</v>
      </c>
      <c r="J49" s="16"/>
    </row>
    <row r="50" spans="1:10" ht="12.75" x14ac:dyDescent="0.2">
      <c r="A50" s="15"/>
      <c r="B50" s="22">
        <v>6</v>
      </c>
      <c r="C50" s="22" t="s">
        <v>35</v>
      </c>
      <c r="D50" s="23">
        <f t="shared" ca="1" si="0"/>
        <v>0</v>
      </c>
      <c r="E50" s="24">
        <f t="shared" ca="1" si="1"/>
        <v>1</v>
      </c>
      <c r="F50" s="23" t="str">
        <f>IF(COUNTIFS('설문지 응답 시트1'!$C:$C, $C50, '설문지 응답 시트1'!$A:$A, "&gt;="&amp;(F$6 + TIME(17,0,0)), '설문지 응답 시트1'!$A:$A, "&lt;"&amp;(F$6 + 1 + TIME(9,0,0)))&gt;0, "O", "X")</f>
        <v>O</v>
      </c>
      <c r="G50" s="23" t="str">
        <f>IF(COUNTIFS('설문지 응답 시트1'!$C:$C, $C50, '설문지 응답 시트1'!$A:$A, "&gt;="&amp;(G$6 + TIME(17,0,0)), '설문지 응답 시트1'!$A:$A, "&lt;"&amp;(G$6 + 1 + TIME(9,0,0)))&gt;0, "O", "X")</f>
        <v>O</v>
      </c>
      <c r="H50" s="23" t="str">
        <f>IF(COUNTIFS('설문지 응답 시트1'!$C:$C, $C50, '설문지 응답 시트1'!$A:$A, "&gt;="&amp;(H$6 + TIME(17,0,0)), '설문지 응답 시트1'!$A:$A, "&lt;"&amp;(H$6 + 1 + TIME(9,0,0)))&gt;0, "O", "X")</f>
        <v>O</v>
      </c>
      <c r="I50" s="23" t="str">
        <f>IF(COUNTIFS('설문지 응답 시트1'!$C:$C, $C50, '설문지 응답 시트1'!$A:$A, "&gt;="&amp;(I$6 + TIME(17,0,0)), '설문지 응답 시트1'!$A:$A, "&lt;"&amp;(I$6 + 1 + TIME(9,0,0)))&gt;0, "O", "X")</f>
        <v>O</v>
      </c>
      <c r="J50" s="16"/>
    </row>
    <row r="51" spans="1:10" ht="12.75" x14ac:dyDescent="0.2">
      <c r="A51" s="15"/>
      <c r="B51" s="22">
        <v>7</v>
      </c>
      <c r="C51" s="22" t="s">
        <v>171</v>
      </c>
      <c r="D51" s="23">
        <f t="shared" ca="1" si="0"/>
        <v>1</v>
      </c>
      <c r="E51" s="24">
        <f t="shared" ca="1" si="1"/>
        <v>0.75</v>
      </c>
      <c r="F51" s="23" t="str">
        <f>IF(COUNTIFS('설문지 응답 시트1'!$C:$C, $C51, '설문지 응답 시트1'!$A:$A, "&gt;="&amp;(F$6 + TIME(17,0,0)), '설문지 응답 시트1'!$A:$A, "&lt;"&amp;(F$6 + 1 + TIME(9,0,0)))&gt;0, "O", "X")</f>
        <v>O</v>
      </c>
      <c r="G51" s="23" t="str">
        <f>IF(COUNTIFS('설문지 응답 시트1'!$C:$C, $C51, '설문지 응답 시트1'!$A:$A, "&gt;="&amp;(G$6 + TIME(17,0,0)), '설문지 응답 시트1'!$A:$A, "&lt;"&amp;(G$6 + 1 + TIME(9,0,0)))&gt;0, "O", "X")</f>
        <v>O</v>
      </c>
      <c r="H51" s="23" t="str">
        <f>IF(COUNTIFS('설문지 응답 시트1'!$C:$C, $C51, '설문지 응답 시트1'!$A:$A, "&gt;="&amp;(H$6 + TIME(17,0,0)), '설문지 응답 시트1'!$A:$A, "&lt;"&amp;(H$6 + 1 + TIME(9,0,0)))&gt;0, "O", "X")</f>
        <v>X</v>
      </c>
      <c r="I51" s="23" t="str">
        <f>IF(COUNTIFS('설문지 응답 시트1'!$C:$C, $C51, '설문지 응답 시트1'!$A:$A, "&gt;="&amp;(I$6 + TIME(17,0,0)), '설문지 응답 시트1'!$A:$A, "&lt;"&amp;(I$6 + 1 + TIME(9,0,0)))&gt;0, "O", "X")</f>
        <v>O</v>
      </c>
      <c r="J51" s="16"/>
    </row>
    <row r="52" spans="1:10" ht="12.75" x14ac:dyDescent="0.2">
      <c r="A52" s="15"/>
      <c r="B52" s="22">
        <v>7</v>
      </c>
      <c r="C52" s="22" t="s">
        <v>244</v>
      </c>
      <c r="D52" s="23">
        <f t="shared" ca="1" si="0"/>
        <v>0</v>
      </c>
      <c r="E52" s="24">
        <f t="shared" ca="1" si="1"/>
        <v>1</v>
      </c>
      <c r="F52" s="23" t="str">
        <f>IF(COUNTIFS('설문지 응답 시트1'!$C:$C, $C52, '설문지 응답 시트1'!$A:$A, "&gt;="&amp;(F$6 + TIME(17,0,0)), '설문지 응답 시트1'!$A:$A, "&lt;"&amp;(F$6 + 1 + TIME(9,0,0)))&gt;0, "O", "X")</f>
        <v>O</v>
      </c>
      <c r="G52" s="23" t="str">
        <f>IF(COUNTIFS('설문지 응답 시트1'!$C:$C, $C52, '설문지 응답 시트1'!$A:$A, "&gt;="&amp;(G$6 + TIME(17,0,0)), '설문지 응답 시트1'!$A:$A, "&lt;"&amp;(G$6 + 1 + TIME(9,0,0)))&gt;0, "O", "X")</f>
        <v>O</v>
      </c>
      <c r="H52" s="23" t="str">
        <f>IF(COUNTIFS('설문지 응답 시트1'!$C:$C, $C52, '설문지 응답 시트1'!$A:$A, "&gt;="&amp;(H$6 + TIME(17,0,0)), '설문지 응답 시트1'!$A:$A, "&lt;"&amp;(H$6 + 1 + TIME(9,0,0)))&gt;0, "O", "X")</f>
        <v>O</v>
      </c>
      <c r="I52" s="23" t="str">
        <f>IF(COUNTIFS('설문지 응답 시트1'!$C:$C, $C52, '설문지 응답 시트1'!$A:$A, "&gt;="&amp;(I$6 + TIME(17,0,0)), '설문지 응답 시트1'!$A:$A, "&lt;"&amp;(I$6 + 1 + TIME(9,0,0)))&gt;0, "O", "X")</f>
        <v>O</v>
      </c>
      <c r="J52" s="16"/>
    </row>
    <row r="53" spans="1:10" ht="12.75" x14ac:dyDescent="0.2">
      <c r="A53" s="15"/>
      <c r="B53" s="22">
        <v>7</v>
      </c>
      <c r="C53" s="22" t="s">
        <v>161</v>
      </c>
      <c r="D53" s="23">
        <f t="shared" ca="1" si="0"/>
        <v>0</v>
      </c>
      <c r="E53" s="24">
        <f t="shared" ca="1" si="1"/>
        <v>1</v>
      </c>
      <c r="F53" s="23" t="str">
        <f>IF(COUNTIFS('설문지 응답 시트1'!$C:$C, $C53, '설문지 응답 시트1'!$A:$A, "&gt;="&amp;(F$6 + TIME(17,0,0)), '설문지 응답 시트1'!$A:$A, "&lt;"&amp;(F$6 + 1 + TIME(9,0,0)))&gt;0, "O", "X")</f>
        <v>O</v>
      </c>
      <c r="G53" s="23" t="str">
        <f>IF(COUNTIFS('설문지 응답 시트1'!$C:$C, $C53, '설문지 응답 시트1'!$A:$A, "&gt;="&amp;(G$6 + TIME(17,0,0)), '설문지 응답 시트1'!$A:$A, "&lt;"&amp;(G$6 + 1 + TIME(9,0,0)))&gt;0, "O", "X")</f>
        <v>O</v>
      </c>
      <c r="H53" s="23" t="str">
        <f>IF(COUNTIFS('설문지 응답 시트1'!$C:$C, $C53, '설문지 응답 시트1'!$A:$A, "&gt;="&amp;(H$6 + TIME(17,0,0)), '설문지 응답 시트1'!$A:$A, "&lt;"&amp;(H$6 + 1 + TIME(9,0,0)))&gt;0, "O", "X")</f>
        <v>O</v>
      </c>
      <c r="I53" s="23" t="str">
        <f>IF(COUNTIFS('설문지 응답 시트1'!$C:$C, $C53, '설문지 응답 시트1'!$A:$A, "&gt;="&amp;(I$6 + TIME(17,0,0)), '설문지 응답 시트1'!$A:$A, "&lt;"&amp;(I$6 + 1 + TIME(9,0,0)))&gt;0, "O", "X")</f>
        <v>O</v>
      </c>
      <c r="J53" s="16"/>
    </row>
    <row r="54" spans="1:10" ht="12.75" x14ac:dyDescent="0.2">
      <c r="A54" s="15"/>
      <c r="B54" s="22">
        <v>7</v>
      </c>
      <c r="C54" s="22" t="s">
        <v>227</v>
      </c>
      <c r="D54" s="23">
        <f t="shared" ca="1" si="0"/>
        <v>0</v>
      </c>
      <c r="E54" s="24">
        <f t="shared" ca="1" si="1"/>
        <v>1</v>
      </c>
      <c r="F54" s="23" t="str">
        <f>IF(COUNTIFS('설문지 응답 시트1'!$C:$C, $C54, '설문지 응답 시트1'!$A:$A, "&gt;="&amp;(F$6 + TIME(17,0,0)), '설문지 응답 시트1'!$A:$A, "&lt;"&amp;(F$6 + 1 + TIME(9,0,0)))&gt;0, "O", "X")</f>
        <v>O</v>
      </c>
      <c r="G54" s="23" t="str">
        <f>IF(COUNTIFS('설문지 응답 시트1'!$C:$C, $C54, '설문지 응답 시트1'!$A:$A, "&gt;="&amp;(G$6 + TIME(17,0,0)), '설문지 응답 시트1'!$A:$A, "&lt;"&amp;(G$6 + 1 + TIME(9,0,0)))&gt;0, "O", "X")</f>
        <v>O</v>
      </c>
      <c r="H54" s="23" t="str">
        <f>IF(COUNTIFS('설문지 응답 시트1'!$C:$C, $C54, '설문지 응답 시트1'!$A:$A, "&gt;="&amp;(H$6 + TIME(17,0,0)), '설문지 응답 시트1'!$A:$A, "&lt;"&amp;(H$6 + 1 + TIME(9,0,0)))&gt;0, "O", "X")</f>
        <v>O</v>
      </c>
      <c r="I54" s="23" t="str">
        <f>IF(COUNTIFS('설문지 응답 시트1'!$C:$C, $C54, '설문지 응답 시트1'!$A:$A, "&gt;="&amp;(I$6 + TIME(17,0,0)), '설문지 응답 시트1'!$A:$A, "&lt;"&amp;(I$6 + 1 + TIME(9,0,0)))&gt;0, "O", "X")</f>
        <v>O</v>
      </c>
      <c r="J54" s="16"/>
    </row>
    <row r="55" spans="1:10" ht="12.75" x14ac:dyDescent="0.2">
      <c r="A55" s="15"/>
      <c r="B55" s="22">
        <v>7</v>
      </c>
      <c r="C55" s="22" t="s">
        <v>247</v>
      </c>
      <c r="D55" s="23">
        <f t="shared" ca="1" si="0"/>
        <v>0</v>
      </c>
      <c r="E55" s="24">
        <f t="shared" ca="1" si="1"/>
        <v>1</v>
      </c>
      <c r="F55" s="23" t="str">
        <f>IF(COUNTIFS('설문지 응답 시트1'!$C:$C, $C55, '설문지 응답 시트1'!$A:$A, "&gt;="&amp;(F$6 + TIME(17,0,0)), '설문지 응답 시트1'!$A:$A, "&lt;"&amp;(F$6 + 1 + TIME(9,0,0)))&gt;0, "O", "X")</f>
        <v>O</v>
      </c>
      <c r="G55" s="23" t="str">
        <f>IF(COUNTIFS('설문지 응답 시트1'!$C:$C, $C55, '설문지 응답 시트1'!$A:$A, "&gt;="&amp;(G$6 + TIME(17,0,0)), '설문지 응답 시트1'!$A:$A, "&lt;"&amp;(G$6 + 1 + TIME(9,0,0)))&gt;0, "O", "X")</f>
        <v>O</v>
      </c>
      <c r="H55" s="23" t="str">
        <f>IF(COUNTIFS('설문지 응답 시트1'!$C:$C, $C55, '설문지 응답 시트1'!$A:$A, "&gt;="&amp;(H$6 + TIME(17,0,0)), '설문지 응답 시트1'!$A:$A, "&lt;"&amp;(H$6 + 1 + TIME(9,0,0)))&gt;0, "O", "X")</f>
        <v>O</v>
      </c>
      <c r="I55" s="23" t="str">
        <f>IF(COUNTIFS('설문지 응답 시트1'!$C:$C, $C55, '설문지 응답 시트1'!$A:$A, "&gt;="&amp;(I$6 + TIME(17,0,0)), '설문지 응답 시트1'!$A:$A, "&lt;"&amp;(I$6 + 1 + TIME(9,0,0)))&gt;0, "O", "X")</f>
        <v>O</v>
      </c>
      <c r="J55" s="16"/>
    </row>
    <row r="56" spans="1:10" ht="12.75" x14ac:dyDescent="0.2">
      <c r="A56" s="15"/>
      <c r="B56" s="22">
        <v>7</v>
      </c>
      <c r="C56" s="22" t="s">
        <v>107</v>
      </c>
      <c r="D56" s="23">
        <f t="shared" ca="1" si="0"/>
        <v>0</v>
      </c>
      <c r="E56" s="24">
        <f t="shared" ca="1" si="1"/>
        <v>1</v>
      </c>
      <c r="F56" s="23" t="str">
        <f>IF(COUNTIFS('설문지 응답 시트1'!$C:$C, $C56, '설문지 응답 시트1'!$A:$A, "&gt;="&amp;(F$6 + TIME(17,0,0)), '설문지 응답 시트1'!$A:$A, "&lt;"&amp;(F$6 + 1 + TIME(9,0,0)))&gt;0, "O", "X")</f>
        <v>O</v>
      </c>
      <c r="G56" s="23" t="str">
        <f>IF(COUNTIFS('설문지 응답 시트1'!$C:$C, $C56, '설문지 응답 시트1'!$A:$A, "&gt;="&amp;(G$6 + TIME(17,0,0)), '설문지 응답 시트1'!$A:$A, "&lt;"&amp;(G$6 + 1 + TIME(9,0,0)))&gt;0, "O", "X")</f>
        <v>O</v>
      </c>
      <c r="H56" s="23" t="str">
        <f>IF(COUNTIFS('설문지 응답 시트1'!$C:$C, $C56, '설문지 응답 시트1'!$A:$A, "&gt;="&amp;(H$6 + TIME(17,0,0)), '설문지 응답 시트1'!$A:$A, "&lt;"&amp;(H$6 + 1 + TIME(9,0,0)))&gt;0, "O", "X")</f>
        <v>O</v>
      </c>
      <c r="I56" s="23" t="str">
        <f>IF(COUNTIFS('설문지 응답 시트1'!$C:$C, $C56, '설문지 응답 시트1'!$A:$A, "&gt;="&amp;(I$6 + TIME(17,0,0)), '설문지 응답 시트1'!$A:$A, "&lt;"&amp;(I$6 + 1 + TIME(9,0,0)))&gt;0, "O", "X")</f>
        <v>O</v>
      </c>
      <c r="J56" s="16"/>
    </row>
    <row r="57" spans="1:10" ht="12.75" x14ac:dyDescent="0.2">
      <c r="A57" s="15"/>
      <c r="B57" s="22">
        <v>7</v>
      </c>
      <c r="C57" s="22" t="s">
        <v>175</v>
      </c>
      <c r="D57" s="23">
        <f t="shared" ca="1" si="0"/>
        <v>0</v>
      </c>
      <c r="E57" s="24">
        <f t="shared" ca="1" si="1"/>
        <v>1</v>
      </c>
      <c r="F57" s="23" t="str">
        <f>IF(COUNTIFS('설문지 응답 시트1'!$C:$C, $C57, '설문지 응답 시트1'!$A:$A, "&gt;="&amp;(F$6 + TIME(17,0,0)), '설문지 응답 시트1'!$A:$A, "&lt;"&amp;(F$6 + 1 + TIME(9,0,0)))&gt;0, "O", "X")</f>
        <v>O</v>
      </c>
      <c r="G57" s="23" t="str">
        <f>IF(COUNTIFS('설문지 응답 시트1'!$C:$C, $C57, '설문지 응답 시트1'!$A:$A, "&gt;="&amp;(G$6 + TIME(17,0,0)), '설문지 응답 시트1'!$A:$A, "&lt;"&amp;(G$6 + 1 + TIME(9,0,0)))&gt;0, "O", "X")</f>
        <v>O</v>
      </c>
      <c r="H57" s="23" t="str">
        <f>IF(COUNTIFS('설문지 응답 시트1'!$C:$C, $C57, '설문지 응답 시트1'!$A:$A, "&gt;="&amp;(H$6 + TIME(17,0,0)), '설문지 응답 시트1'!$A:$A, "&lt;"&amp;(H$6 + 1 + TIME(9,0,0)))&gt;0, "O", "X")</f>
        <v>O</v>
      </c>
      <c r="I57" s="23" t="str">
        <f>IF(COUNTIFS('설문지 응답 시트1'!$C:$C, $C57, '설문지 응답 시트1'!$A:$A, "&gt;="&amp;(I$6 + TIME(17,0,0)), '설문지 응답 시트1'!$A:$A, "&lt;"&amp;(I$6 + 1 + TIME(9,0,0)))&gt;0, "O", "X")</f>
        <v>O</v>
      </c>
      <c r="J57" s="16"/>
    </row>
    <row r="58" spans="1:10" ht="12.75" x14ac:dyDescent="0.2">
      <c r="A58" s="15"/>
      <c r="B58" s="22">
        <v>7</v>
      </c>
      <c r="C58" s="22" t="s">
        <v>100</v>
      </c>
      <c r="D58" s="23">
        <f t="shared" ca="1" si="0"/>
        <v>0</v>
      </c>
      <c r="E58" s="24">
        <f t="shared" ca="1" si="1"/>
        <v>1</v>
      </c>
      <c r="F58" s="23" t="str">
        <f>IF(COUNTIFS('설문지 응답 시트1'!$C:$C, $C58, '설문지 응답 시트1'!$A:$A, "&gt;="&amp;(F$6 + TIME(17,0,0)), '설문지 응답 시트1'!$A:$A, "&lt;"&amp;(F$6 + 1 + TIME(9,0,0)))&gt;0, "O", "X")</f>
        <v>O</v>
      </c>
      <c r="G58" s="23" t="str">
        <f>IF(COUNTIFS('설문지 응답 시트1'!$C:$C, $C58, '설문지 응답 시트1'!$A:$A, "&gt;="&amp;(G$6 + TIME(17,0,0)), '설문지 응답 시트1'!$A:$A, "&lt;"&amp;(G$6 + 1 + TIME(9,0,0)))&gt;0, "O", "X")</f>
        <v>O</v>
      </c>
      <c r="H58" s="23" t="str">
        <f>IF(COUNTIFS('설문지 응답 시트1'!$C:$C, $C58, '설문지 응답 시트1'!$A:$A, "&gt;="&amp;(H$6 + TIME(17,0,0)), '설문지 응답 시트1'!$A:$A, "&lt;"&amp;(H$6 + 1 + TIME(9,0,0)))&gt;0, "O", "X")</f>
        <v>O</v>
      </c>
      <c r="I58" s="23" t="str">
        <f>IF(COUNTIFS('설문지 응답 시트1'!$C:$C, $C58, '설문지 응답 시트1'!$A:$A, "&gt;="&amp;(I$6 + TIME(17,0,0)), '설문지 응답 시트1'!$A:$A, "&lt;"&amp;(I$6 + 1 + TIME(9,0,0)))&gt;0, "O", "X")</f>
        <v>O</v>
      </c>
      <c r="J58" s="16"/>
    </row>
    <row r="59" spans="1:10" ht="12.75" x14ac:dyDescent="0.2">
      <c r="A59" s="15"/>
      <c r="B59" s="22">
        <v>8</v>
      </c>
      <c r="C59" s="22" t="s">
        <v>116</v>
      </c>
      <c r="D59" s="23">
        <f t="shared" ca="1" si="0"/>
        <v>0</v>
      </c>
      <c r="E59" s="24">
        <f t="shared" ca="1" si="1"/>
        <v>1</v>
      </c>
      <c r="F59" s="23" t="str">
        <f>IF(COUNTIFS('설문지 응답 시트1'!$C:$C, $C59, '설문지 응답 시트1'!$A:$A, "&gt;="&amp;(F$6 + TIME(17,0,0)), '설문지 응답 시트1'!$A:$A, "&lt;"&amp;(F$6 + 1 + TIME(9,0,0)))&gt;0, "O", "X")</f>
        <v>O</v>
      </c>
      <c r="G59" s="23" t="str">
        <f>IF(COUNTIFS('설문지 응답 시트1'!$C:$C, $C59, '설문지 응답 시트1'!$A:$A, "&gt;="&amp;(G$6 + TIME(17,0,0)), '설문지 응답 시트1'!$A:$A, "&lt;"&amp;(G$6 + 1 + TIME(9,0,0)))&gt;0, "O", "X")</f>
        <v>O</v>
      </c>
      <c r="H59" s="23" t="str">
        <f>IF(COUNTIFS('설문지 응답 시트1'!$C:$C, $C59, '설문지 응답 시트1'!$A:$A, "&gt;="&amp;(H$6 + TIME(17,0,0)), '설문지 응답 시트1'!$A:$A, "&lt;"&amp;(H$6 + 1 + TIME(9,0,0)))&gt;0, "O", "X")</f>
        <v>O</v>
      </c>
      <c r="I59" s="23" t="str">
        <f>IF(COUNTIFS('설문지 응답 시트1'!$C:$C, $C59, '설문지 응답 시트1'!$A:$A, "&gt;="&amp;(I$6 + TIME(17,0,0)), '설문지 응답 시트1'!$A:$A, "&lt;"&amp;(I$6 + 1 + TIME(9,0,0)))&gt;0, "O", "X")</f>
        <v>O</v>
      </c>
      <c r="J59" s="16"/>
    </row>
    <row r="60" spans="1:10" ht="12.75" x14ac:dyDescent="0.2">
      <c r="A60" s="15"/>
      <c r="B60" s="22">
        <v>8</v>
      </c>
      <c r="C60" s="22" t="s">
        <v>91</v>
      </c>
      <c r="D60" s="23">
        <f t="shared" ca="1" si="0"/>
        <v>0</v>
      </c>
      <c r="E60" s="24">
        <f t="shared" ca="1" si="1"/>
        <v>1</v>
      </c>
      <c r="F60" s="23" t="str">
        <f>IF(COUNTIFS('설문지 응답 시트1'!$C:$C, $C60, '설문지 응답 시트1'!$A:$A, "&gt;="&amp;(F$6 + TIME(17,0,0)), '설문지 응답 시트1'!$A:$A, "&lt;"&amp;(F$6 + 1 + TIME(9,0,0)))&gt;0, "O", "X")</f>
        <v>O</v>
      </c>
      <c r="G60" s="23" t="str">
        <f>IF(COUNTIFS('설문지 응답 시트1'!$C:$C, $C60, '설문지 응답 시트1'!$A:$A, "&gt;="&amp;(G$6 + TIME(17,0,0)), '설문지 응답 시트1'!$A:$A, "&lt;"&amp;(G$6 + 1 + TIME(9,0,0)))&gt;0, "O", "X")</f>
        <v>O</v>
      </c>
      <c r="H60" s="23" t="str">
        <f>IF(COUNTIFS('설문지 응답 시트1'!$C:$C, $C60, '설문지 응답 시트1'!$A:$A, "&gt;="&amp;(H$6 + TIME(17,0,0)), '설문지 응답 시트1'!$A:$A, "&lt;"&amp;(H$6 + 1 + TIME(9,0,0)))&gt;0, "O", "X")</f>
        <v>O</v>
      </c>
      <c r="I60" s="23" t="str">
        <f>IF(COUNTIFS('설문지 응답 시트1'!$C:$C, $C60, '설문지 응답 시트1'!$A:$A, "&gt;="&amp;(I$6 + TIME(17,0,0)), '설문지 응답 시트1'!$A:$A, "&lt;"&amp;(I$6 + 1 + TIME(9,0,0)))&gt;0, "O", "X")</f>
        <v>O</v>
      </c>
      <c r="J60" s="16"/>
    </row>
    <row r="61" spans="1:10" ht="12.75" x14ac:dyDescent="0.2">
      <c r="A61" s="15"/>
      <c r="B61" s="22">
        <v>8</v>
      </c>
      <c r="C61" s="22" t="s">
        <v>221</v>
      </c>
      <c r="D61" s="23">
        <f t="shared" ca="1" si="0"/>
        <v>1</v>
      </c>
      <c r="E61" s="24">
        <f t="shared" ca="1" si="1"/>
        <v>0.75</v>
      </c>
      <c r="F61" s="23" t="str">
        <f>IF(COUNTIFS('설문지 응답 시트1'!$C:$C, $C61, '설문지 응답 시트1'!$A:$A, "&gt;="&amp;(F$6 + TIME(17,0,0)), '설문지 응답 시트1'!$A:$A, "&lt;"&amp;(F$6 + 1 + TIME(9,0,0)))&gt;0, "O", "X")</f>
        <v>O</v>
      </c>
      <c r="G61" s="23" t="str">
        <f>IF(COUNTIFS('설문지 응답 시트1'!$C:$C, $C61, '설문지 응답 시트1'!$A:$A, "&gt;="&amp;(G$6 + TIME(17,0,0)), '설문지 응답 시트1'!$A:$A, "&lt;"&amp;(G$6 + 1 + TIME(9,0,0)))&gt;0, "O", "X")</f>
        <v>O</v>
      </c>
      <c r="H61" s="23" t="str">
        <f>IF(COUNTIFS('설문지 응답 시트1'!$C:$C, $C61, '설문지 응답 시트1'!$A:$A, "&gt;="&amp;(H$6 + TIME(17,0,0)), '설문지 응답 시트1'!$A:$A, "&lt;"&amp;(H$6 + 1 + TIME(9,0,0)))&gt;0, "O", "X")</f>
        <v>O</v>
      </c>
      <c r="I61" s="23" t="str">
        <f>IF(COUNTIFS('설문지 응답 시트1'!$C:$C, $C61, '설문지 응답 시트1'!$A:$A, "&gt;="&amp;(I$6 + TIME(17,0,0)), '설문지 응답 시트1'!$A:$A, "&lt;"&amp;(I$6 + 1 + TIME(9,0,0)))&gt;0, "O", "X")</f>
        <v>X</v>
      </c>
      <c r="J61" s="16"/>
    </row>
    <row r="62" spans="1:10" ht="12.75" x14ac:dyDescent="0.2">
      <c r="A62" s="15"/>
      <c r="B62" s="22">
        <v>8</v>
      </c>
      <c r="C62" s="22" t="s">
        <v>39</v>
      </c>
      <c r="D62" s="23">
        <f t="shared" ca="1" si="0"/>
        <v>0</v>
      </c>
      <c r="E62" s="24">
        <f t="shared" ca="1" si="1"/>
        <v>1</v>
      </c>
      <c r="F62" s="23" t="str">
        <f>IF(COUNTIFS('설문지 응답 시트1'!$C:$C, $C62, '설문지 응답 시트1'!$A:$A, "&gt;="&amp;(F$6 + TIME(17,0,0)), '설문지 응답 시트1'!$A:$A, "&lt;"&amp;(F$6 + 1 + TIME(9,0,0)))&gt;0, "O", "X")</f>
        <v>O</v>
      </c>
      <c r="G62" s="23" t="str">
        <f>IF(COUNTIFS('설문지 응답 시트1'!$C:$C, $C62, '설문지 응답 시트1'!$A:$A, "&gt;="&amp;(G$6 + TIME(17,0,0)), '설문지 응답 시트1'!$A:$A, "&lt;"&amp;(G$6 + 1 + TIME(9,0,0)))&gt;0, "O", "X")</f>
        <v>O</v>
      </c>
      <c r="H62" s="23" t="str">
        <f>IF(COUNTIFS('설문지 응답 시트1'!$C:$C, $C62, '설문지 응답 시트1'!$A:$A, "&gt;="&amp;(H$6 + TIME(17,0,0)), '설문지 응답 시트1'!$A:$A, "&lt;"&amp;(H$6 + 1 + TIME(9,0,0)))&gt;0, "O", "X")</f>
        <v>O</v>
      </c>
      <c r="I62" s="23" t="str">
        <f>IF(COUNTIFS('설문지 응답 시트1'!$C:$C, $C62, '설문지 응답 시트1'!$A:$A, "&gt;="&amp;(I$6 + TIME(17,0,0)), '설문지 응답 시트1'!$A:$A, "&lt;"&amp;(I$6 + 1 + TIME(9,0,0)))&gt;0, "O", "X")</f>
        <v>O</v>
      </c>
      <c r="J62" s="16"/>
    </row>
    <row r="63" spans="1:10" ht="12.75" x14ac:dyDescent="0.2">
      <c r="A63" s="15"/>
      <c r="B63" s="22">
        <v>8</v>
      </c>
      <c r="C63" s="22" t="s">
        <v>69</v>
      </c>
      <c r="D63" s="23">
        <f t="shared" ca="1" si="0"/>
        <v>0</v>
      </c>
      <c r="E63" s="24">
        <f t="shared" ca="1" si="1"/>
        <v>1</v>
      </c>
      <c r="F63" s="23" t="str">
        <f>IF(COUNTIFS('설문지 응답 시트1'!$C:$C, $C63, '설문지 응답 시트1'!$A:$A, "&gt;="&amp;(F$6 + TIME(17,0,0)), '설문지 응답 시트1'!$A:$A, "&lt;"&amp;(F$6 + 1 + TIME(9,0,0)))&gt;0, "O", "X")</f>
        <v>O</v>
      </c>
      <c r="G63" s="23" t="str">
        <f>IF(COUNTIFS('설문지 응답 시트1'!$C:$C, $C63, '설문지 응답 시트1'!$A:$A, "&gt;="&amp;(G$6 + TIME(17,0,0)), '설문지 응답 시트1'!$A:$A, "&lt;"&amp;(G$6 + 1 + TIME(9,0,0)))&gt;0, "O", "X")</f>
        <v>O</v>
      </c>
      <c r="H63" s="23" t="str">
        <f>IF(COUNTIFS('설문지 응답 시트1'!$C:$C, $C63, '설문지 응답 시트1'!$A:$A, "&gt;="&amp;(H$6 + TIME(17,0,0)), '설문지 응답 시트1'!$A:$A, "&lt;"&amp;(H$6 + 1 + TIME(9,0,0)))&gt;0, "O", "X")</f>
        <v>O</v>
      </c>
      <c r="I63" s="23" t="str">
        <f>IF(COUNTIFS('설문지 응답 시트1'!$C:$C, $C63, '설문지 응답 시트1'!$A:$A, "&gt;="&amp;(I$6 + TIME(17,0,0)), '설문지 응답 시트1'!$A:$A, "&lt;"&amp;(I$6 + 1 + TIME(9,0,0)))&gt;0, "O", "X")</f>
        <v>O</v>
      </c>
      <c r="J63" s="16"/>
    </row>
    <row r="64" spans="1:10" ht="12.75" x14ac:dyDescent="0.2">
      <c r="A64" s="15"/>
      <c r="B64" s="22">
        <v>8</v>
      </c>
      <c r="C64" s="22" t="s">
        <v>63</v>
      </c>
      <c r="D64" s="23">
        <f t="shared" ca="1" si="0"/>
        <v>0</v>
      </c>
      <c r="E64" s="24">
        <f t="shared" ca="1" si="1"/>
        <v>1</v>
      </c>
      <c r="F64" s="23" t="str">
        <f>IF(COUNTIFS('설문지 응답 시트1'!$C:$C, $C64, '설문지 응답 시트1'!$A:$A, "&gt;="&amp;(F$6 + TIME(17,0,0)), '설문지 응답 시트1'!$A:$A, "&lt;"&amp;(F$6 + 1 + TIME(9,0,0)))&gt;0, "O", "X")</f>
        <v>O</v>
      </c>
      <c r="G64" s="23" t="str">
        <f>IF(COUNTIFS('설문지 응답 시트1'!$C:$C, $C64, '설문지 응답 시트1'!$A:$A, "&gt;="&amp;(G$6 + TIME(17,0,0)), '설문지 응답 시트1'!$A:$A, "&lt;"&amp;(G$6 + 1 + TIME(9,0,0)))&gt;0, "O", "X")</f>
        <v>O</v>
      </c>
      <c r="H64" s="23" t="str">
        <f>IF(COUNTIFS('설문지 응답 시트1'!$C:$C, $C64, '설문지 응답 시트1'!$A:$A, "&gt;="&amp;(H$6 + TIME(17,0,0)), '설문지 응답 시트1'!$A:$A, "&lt;"&amp;(H$6 + 1 + TIME(9,0,0)))&gt;0, "O", "X")</f>
        <v>O</v>
      </c>
      <c r="I64" s="23" t="str">
        <f>IF(COUNTIFS('설문지 응답 시트1'!$C:$C, $C64, '설문지 응답 시트1'!$A:$A, "&gt;="&amp;(I$6 + TIME(17,0,0)), '설문지 응답 시트1'!$A:$A, "&lt;"&amp;(I$6 + 1 + TIME(9,0,0)))&gt;0, "O", "X")</f>
        <v>O</v>
      </c>
      <c r="J64" s="16"/>
    </row>
    <row r="65" spans="1:10" ht="12.75" x14ac:dyDescent="0.2">
      <c r="A65" s="15"/>
      <c r="B65" s="22">
        <v>8</v>
      </c>
      <c r="C65" s="22" t="s">
        <v>59</v>
      </c>
      <c r="D65" s="23">
        <f t="shared" ca="1" si="0"/>
        <v>1</v>
      </c>
      <c r="E65" s="24">
        <f t="shared" ca="1" si="1"/>
        <v>0.75</v>
      </c>
      <c r="F65" s="23" t="str">
        <f>IF(COUNTIFS('설문지 응답 시트1'!$C:$C, $C65, '설문지 응답 시트1'!$A:$A, "&gt;="&amp;(F$6 + TIME(17,0,0)), '설문지 응답 시트1'!$A:$A, "&lt;"&amp;(F$6 + 1 + TIME(9,0,0)))&gt;0, "O", "X")</f>
        <v>O</v>
      </c>
      <c r="G65" s="23" t="str">
        <f>IF(COUNTIFS('설문지 응답 시트1'!$C:$C, $C65, '설문지 응답 시트1'!$A:$A, "&gt;="&amp;(G$6 + TIME(17,0,0)), '설문지 응답 시트1'!$A:$A, "&lt;"&amp;(G$6 + 1 + TIME(9,0,0)))&gt;0, "O", "X")</f>
        <v>O</v>
      </c>
      <c r="H65" s="23" t="str">
        <f>IF(COUNTIFS('설문지 응답 시트1'!$C:$C, $C65, '설문지 응답 시트1'!$A:$A, "&gt;="&amp;(H$6 + TIME(17,0,0)), '설문지 응답 시트1'!$A:$A, "&lt;"&amp;(H$6 + 1 + TIME(9,0,0)))&gt;0, "O", "X")</f>
        <v>O</v>
      </c>
      <c r="I65" s="23" t="str">
        <f>IF(COUNTIFS('설문지 응답 시트1'!$C:$C, $C65, '설문지 응답 시트1'!$A:$A, "&gt;="&amp;(I$6 + TIME(17,0,0)), '설문지 응답 시트1'!$A:$A, "&lt;"&amp;(I$6 + 1 + TIME(9,0,0)))&gt;0, "O", "X")</f>
        <v>X</v>
      </c>
      <c r="J65" s="16"/>
    </row>
    <row r="66" spans="1:10" ht="12.75" x14ac:dyDescent="0.2">
      <c r="A66" s="15"/>
      <c r="B66" s="22">
        <v>8</v>
      </c>
      <c r="C66" s="22" t="s">
        <v>231</v>
      </c>
      <c r="D66" s="23">
        <f t="shared" ca="1" si="0"/>
        <v>0</v>
      </c>
      <c r="E66" s="24">
        <f t="shared" ca="1" si="1"/>
        <v>1</v>
      </c>
      <c r="F66" s="23" t="str">
        <f>IF(COUNTIFS('설문지 응답 시트1'!$C:$C, $C66, '설문지 응답 시트1'!$A:$A, "&gt;="&amp;(F$6 + TIME(17,0,0)), '설문지 응답 시트1'!$A:$A, "&lt;"&amp;(F$6 + 1 + TIME(9,0,0)))&gt;0, "O", "X")</f>
        <v>O</v>
      </c>
      <c r="G66" s="23" t="str">
        <f>IF(COUNTIFS('설문지 응답 시트1'!$C:$C, $C66, '설문지 응답 시트1'!$A:$A, "&gt;="&amp;(G$6 + TIME(17,0,0)), '설문지 응답 시트1'!$A:$A, "&lt;"&amp;(G$6 + 1 + TIME(9,0,0)))&gt;0, "O", "X")</f>
        <v>O</v>
      </c>
      <c r="H66" s="23" t="str">
        <f>IF(COUNTIFS('설문지 응답 시트1'!$C:$C, $C66, '설문지 응답 시트1'!$A:$A, "&gt;="&amp;(H$6 + TIME(17,0,0)), '설문지 응답 시트1'!$A:$A, "&lt;"&amp;(H$6 + 1 + TIME(9,0,0)))&gt;0, "O", "X")</f>
        <v>O</v>
      </c>
      <c r="I66" s="23" t="str">
        <f>IF(COUNTIFS('설문지 응답 시트1'!$C:$C, $C66, '설문지 응답 시트1'!$A:$A, "&gt;="&amp;(I$6 + TIME(17,0,0)), '설문지 응답 시트1'!$A:$A, "&lt;"&amp;(I$6 + 1 + TIME(9,0,0)))&gt;0, "O", "X")</f>
        <v>O</v>
      </c>
      <c r="J66" s="16"/>
    </row>
    <row r="67" spans="1:10" ht="12.75" x14ac:dyDescent="0.2">
      <c r="A67" s="15"/>
      <c r="B67" s="22">
        <v>9</v>
      </c>
      <c r="C67" s="22" t="s">
        <v>158</v>
      </c>
      <c r="D67" s="23">
        <f t="shared" ca="1" si="0"/>
        <v>0</v>
      </c>
      <c r="E67" s="24">
        <f t="shared" ca="1" si="1"/>
        <v>1</v>
      </c>
      <c r="F67" s="23" t="str">
        <f>IF(COUNTIFS('설문지 응답 시트1'!$C:$C, $C67, '설문지 응답 시트1'!$A:$A, "&gt;="&amp;(F$6 + TIME(17,0,0)), '설문지 응답 시트1'!$A:$A, "&lt;"&amp;(F$6 + 1 + TIME(9,0,0)))&gt;0, "O", "X")</f>
        <v>O</v>
      </c>
      <c r="G67" s="23" t="str">
        <f>IF(COUNTIFS('설문지 응답 시트1'!$C:$C, $C67, '설문지 응답 시트1'!$A:$A, "&gt;="&amp;(G$6 + TIME(17,0,0)), '설문지 응답 시트1'!$A:$A, "&lt;"&amp;(G$6 + 1 + TIME(9,0,0)))&gt;0, "O", "X")</f>
        <v>O</v>
      </c>
      <c r="H67" s="23" t="str">
        <f>IF(COUNTIFS('설문지 응답 시트1'!$C:$C, $C67, '설문지 응답 시트1'!$A:$A, "&gt;="&amp;(H$6 + TIME(17,0,0)), '설문지 응답 시트1'!$A:$A, "&lt;"&amp;(H$6 + 1 + TIME(9,0,0)))&gt;0, "O", "X")</f>
        <v>O</v>
      </c>
      <c r="I67" s="23" t="str">
        <f>IF(COUNTIFS('설문지 응답 시트1'!$C:$C, $C67, '설문지 응답 시트1'!$A:$A, "&gt;="&amp;(I$6 + TIME(17,0,0)), '설문지 응답 시트1'!$A:$A, "&lt;"&amp;(I$6 + 1 + TIME(9,0,0)))&gt;0, "O", "X")</f>
        <v>O</v>
      </c>
      <c r="J67" s="16"/>
    </row>
    <row r="68" spans="1:10" ht="12.75" x14ac:dyDescent="0.2">
      <c r="A68" s="15"/>
      <c r="B68" s="22">
        <v>9</v>
      </c>
      <c r="C68" s="22" t="s">
        <v>205</v>
      </c>
      <c r="D68" s="23">
        <f t="shared" ca="1" si="0"/>
        <v>1</v>
      </c>
      <c r="E68" s="24">
        <f t="shared" ca="1" si="1"/>
        <v>0.75</v>
      </c>
      <c r="F68" s="23" t="str">
        <f>IF(COUNTIFS('설문지 응답 시트1'!$C:$C, $C68, '설문지 응답 시트1'!$A:$A, "&gt;="&amp;(F$6 + TIME(17,0,0)), '설문지 응답 시트1'!$A:$A, "&lt;"&amp;(F$6 + 1 + TIME(9,0,0)))&gt;0, "O", "X")</f>
        <v>O</v>
      </c>
      <c r="G68" s="23" t="str">
        <f>IF(COUNTIFS('설문지 응답 시트1'!$C:$C, $C68, '설문지 응답 시트1'!$A:$A, "&gt;="&amp;(G$6 + TIME(17,0,0)), '설문지 응답 시트1'!$A:$A, "&lt;"&amp;(G$6 + 1 + TIME(9,0,0)))&gt;0, "O", "X")</f>
        <v>O</v>
      </c>
      <c r="H68" s="23" t="str">
        <f>IF(COUNTIFS('설문지 응답 시트1'!$C:$C, $C68, '설문지 응답 시트1'!$A:$A, "&gt;="&amp;(H$6 + TIME(17,0,0)), '설문지 응답 시트1'!$A:$A, "&lt;"&amp;(H$6 + 1 + TIME(9,0,0)))&gt;0, "O", "X")</f>
        <v>X</v>
      </c>
      <c r="I68" s="23" t="str">
        <f>IF(COUNTIFS('설문지 응답 시트1'!$C:$C, $C68, '설문지 응답 시트1'!$A:$A, "&gt;="&amp;(I$6 + TIME(17,0,0)), '설문지 응답 시트1'!$A:$A, "&lt;"&amp;(I$6 + 1 + TIME(9,0,0)))&gt;0, "O", "X")</f>
        <v>O</v>
      </c>
      <c r="J68" s="16"/>
    </row>
    <row r="69" spans="1:10" ht="12.75" x14ac:dyDescent="0.2">
      <c r="A69" s="15"/>
      <c r="B69" s="22">
        <v>9</v>
      </c>
      <c r="C69" s="22" t="s">
        <v>151</v>
      </c>
      <c r="D69" s="23">
        <f t="shared" ca="1" si="0"/>
        <v>0</v>
      </c>
      <c r="E69" s="24">
        <f t="shared" ca="1" si="1"/>
        <v>1</v>
      </c>
      <c r="F69" s="23" t="str">
        <f>IF(COUNTIFS('설문지 응답 시트1'!$C:$C, $C69, '설문지 응답 시트1'!$A:$A, "&gt;="&amp;(F$6 + TIME(17,0,0)), '설문지 응답 시트1'!$A:$A, "&lt;"&amp;(F$6 + 1 + TIME(9,0,0)))&gt;0, "O", "X")</f>
        <v>O</v>
      </c>
      <c r="G69" s="23" t="str">
        <f>IF(COUNTIFS('설문지 응답 시트1'!$C:$C, $C69, '설문지 응답 시트1'!$A:$A, "&gt;="&amp;(G$6 + TIME(17,0,0)), '설문지 응답 시트1'!$A:$A, "&lt;"&amp;(G$6 + 1 + TIME(9,0,0)))&gt;0, "O", "X")</f>
        <v>O</v>
      </c>
      <c r="H69" s="23" t="str">
        <f>IF(COUNTIFS('설문지 응답 시트1'!$C:$C, $C69, '설문지 응답 시트1'!$A:$A, "&gt;="&amp;(H$6 + TIME(17,0,0)), '설문지 응답 시트1'!$A:$A, "&lt;"&amp;(H$6 + 1 + TIME(9,0,0)))&gt;0, "O", "X")</f>
        <v>O</v>
      </c>
      <c r="I69" s="23" t="str">
        <f>IF(COUNTIFS('설문지 응답 시트1'!$C:$C, $C69, '설문지 응답 시트1'!$A:$A, "&gt;="&amp;(I$6 + TIME(17,0,0)), '설문지 응답 시트1'!$A:$A, "&lt;"&amp;(I$6 + 1 + TIME(9,0,0)))&gt;0, "O", "X")</f>
        <v>O</v>
      </c>
      <c r="J69" s="16"/>
    </row>
    <row r="70" spans="1:10" ht="12.75" x14ac:dyDescent="0.2">
      <c r="A70" s="15"/>
      <c r="B70" s="22">
        <v>9</v>
      </c>
      <c r="C70" s="22" t="s">
        <v>126</v>
      </c>
      <c r="D70" s="23">
        <f t="shared" ca="1" si="0"/>
        <v>3</v>
      </c>
      <c r="E70" s="24">
        <f t="shared" ca="1" si="1"/>
        <v>0.25</v>
      </c>
      <c r="F70" s="23" t="str">
        <f>IF(COUNTIFS('설문지 응답 시트1'!$C:$C, $C70, '설문지 응답 시트1'!$A:$A, "&gt;="&amp;(F$6 + TIME(17,0,0)), '설문지 응답 시트1'!$A:$A, "&lt;"&amp;(F$6 + 1 + TIME(9,0,0)))&gt;0, "O", "X")</f>
        <v>O</v>
      </c>
      <c r="G70" s="23" t="str">
        <f>IF(COUNTIFS('설문지 응답 시트1'!$C:$C, $C70, '설문지 응답 시트1'!$A:$A, "&gt;="&amp;(G$6 + TIME(17,0,0)), '설문지 응답 시트1'!$A:$A, "&lt;"&amp;(G$6 + 1 + TIME(9,0,0)))&gt;0, "O", "X")</f>
        <v>X</v>
      </c>
      <c r="H70" s="23" t="str">
        <f>IF(COUNTIFS('설문지 응답 시트1'!$C:$C, $C70, '설문지 응답 시트1'!$A:$A, "&gt;="&amp;(H$6 + TIME(17,0,0)), '설문지 응답 시트1'!$A:$A, "&lt;"&amp;(H$6 + 1 + TIME(9,0,0)))&gt;0, "O", "X")</f>
        <v>X</v>
      </c>
      <c r="I70" s="23" t="str">
        <f>IF(COUNTIFS('설문지 응답 시트1'!$C:$C, $C70, '설문지 응답 시트1'!$A:$A, "&gt;="&amp;(I$6 + TIME(17,0,0)), '설문지 응답 시트1'!$A:$A, "&lt;"&amp;(I$6 + 1 + TIME(9,0,0)))&gt;0, "O", "X")</f>
        <v>X</v>
      </c>
      <c r="J70" s="16"/>
    </row>
    <row r="71" spans="1:10" ht="12.75" x14ac:dyDescent="0.2">
      <c r="A71" s="15"/>
      <c r="B71" s="22">
        <v>9</v>
      </c>
      <c r="C71" s="22" t="s">
        <v>253</v>
      </c>
      <c r="D71" s="23">
        <f t="shared" ca="1" si="0"/>
        <v>2</v>
      </c>
      <c r="E71" s="24">
        <f t="shared" ca="1" si="1"/>
        <v>0.5</v>
      </c>
      <c r="F71" s="23" t="str">
        <f>IF(COUNTIFS('설문지 응답 시트1'!$C:$C, $C71, '설문지 응답 시트1'!$A:$A, "&gt;="&amp;(F$6 + TIME(17,0,0)), '설문지 응답 시트1'!$A:$A, "&lt;"&amp;(F$6 + 1 + TIME(9,0,0)))&gt;0, "O", "X")</f>
        <v>X</v>
      </c>
      <c r="G71" s="23" t="str">
        <f>IF(COUNTIFS('설문지 응답 시트1'!$C:$C, $C71, '설문지 응답 시트1'!$A:$A, "&gt;="&amp;(G$6 + TIME(17,0,0)), '설문지 응답 시트1'!$A:$A, "&lt;"&amp;(G$6 + 1 + TIME(9,0,0)))&gt;0, "O", "X")</f>
        <v>X</v>
      </c>
      <c r="H71" s="23" t="str">
        <f>IF(COUNTIFS('설문지 응답 시트1'!$C:$C, $C71, '설문지 응답 시트1'!$A:$A, "&gt;="&amp;(H$6 + TIME(17,0,0)), '설문지 응답 시트1'!$A:$A, "&lt;"&amp;(H$6 + 1 + TIME(9,0,0)))&gt;0, "O", "X")</f>
        <v>O</v>
      </c>
      <c r="I71" s="23" t="str">
        <f>IF(COUNTIFS('설문지 응답 시트1'!$C:$C, $C71, '설문지 응답 시트1'!$A:$A, "&gt;="&amp;(I$6 + TIME(17,0,0)), '설문지 응답 시트1'!$A:$A, "&lt;"&amp;(I$6 + 1 + TIME(9,0,0)))&gt;0, "O", "X")</f>
        <v>O</v>
      </c>
      <c r="J71" s="16"/>
    </row>
    <row r="72" spans="1:10" ht="12.75" x14ac:dyDescent="0.2">
      <c r="A72" s="15"/>
      <c r="B72" s="22">
        <v>9</v>
      </c>
      <c r="C72" s="22" t="s">
        <v>202</v>
      </c>
      <c r="D72" s="23">
        <f t="shared" ca="1" si="0"/>
        <v>1</v>
      </c>
      <c r="E72" s="24">
        <f t="shared" ca="1" si="1"/>
        <v>0.75</v>
      </c>
      <c r="F72" s="23" t="str">
        <f>IF(COUNTIFS('설문지 응답 시트1'!$C:$C, $C72, '설문지 응답 시트1'!$A:$A, "&gt;="&amp;(F$6 + TIME(17,0,0)), '설문지 응답 시트1'!$A:$A, "&lt;"&amp;(F$6 + 1 + TIME(9,0,0)))&gt;0, "O", "X")</f>
        <v>O</v>
      </c>
      <c r="G72" s="23" t="str">
        <f>IF(COUNTIFS('설문지 응답 시트1'!$C:$C, $C72, '설문지 응답 시트1'!$A:$A, "&gt;="&amp;(G$6 + TIME(17,0,0)), '설문지 응답 시트1'!$A:$A, "&lt;"&amp;(G$6 + 1 + TIME(9,0,0)))&gt;0, "O", "X")</f>
        <v>O</v>
      </c>
      <c r="H72" s="23" t="str">
        <f>IF(COUNTIFS('설문지 응답 시트1'!$C:$C, $C72, '설문지 응답 시트1'!$A:$A, "&gt;="&amp;(H$6 + TIME(17,0,0)), '설문지 응답 시트1'!$A:$A, "&lt;"&amp;(H$6 + 1 + TIME(9,0,0)))&gt;0, "O", "X")</f>
        <v>O</v>
      </c>
      <c r="I72" s="23" t="str">
        <f>IF(COUNTIFS('설문지 응답 시트1'!$C:$C, $C72, '설문지 응답 시트1'!$A:$A, "&gt;="&amp;(I$6 + TIME(17,0,0)), '설문지 응답 시트1'!$A:$A, "&lt;"&amp;(I$6 + 1 + TIME(9,0,0)))&gt;0, "O", "X")</f>
        <v>X</v>
      </c>
      <c r="J72" s="16"/>
    </row>
    <row r="73" spans="1:10" ht="12.75" x14ac:dyDescent="0.2">
      <c r="A73" s="15"/>
      <c r="B73" s="22">
        <v>9</v>
      </c>
      <c r="C73" s="22" t="s">
        <v>16</v>
      </c>
      <c r="D73" s="23">
        <f t="shared" ca="1" si="0"/>
        <v>0</v>
      </c>
      <c r="E73" s="24">
        <f t="shared" ca="1" si="1"/>
        <v>1</v>
      </c>
      <c r="F73" s="23" t="str">
        <f>IF(COUNTIFS('설문지 응답 시트1'!$C:$C, $C73, '설문지 응답 시트1'!$A:$A, "&gt;="&amp;(F$6 + TIME(17,0,0)), '설문지 응답 시트1'!$A:$A, "&lt;"&amp;(F$6 + 1 + TIME(9,0,0)))&gt;0, "O", "X")</f>
        <v>O</v>
      </c>
      <c r="G73" s="23" t="str">
        <f>IF(COUNTIFS('설문지 응답 시트1'!$C:$C, $C73, '설문지 응답 시트1'!$A:$A, "&gt;="&amp;(G$6 + TIME(17,0,0)), '설문지 응답 시트1'!$A:$A, "&lt;"&amp;(G$6 + 1 + TIME(9,0,0)))&gt;0, "O", "X")</f>
        <v>O</v>
      </c>
      <c r="H73" s="23" t="str">
        <f>IF(COUNTIFS('설문지 응답 시트1'!$C:$C, $C73, '설문지 응답 시트1'!$A:$A, "&gt;="&amp;(H$6 + TIME(17,0,0)), '설문지 응답 시트1'!$A:$A, "&lt;"&amp;(H$6 + 1 + TIME(9,0,0)))&gt;0, "O", "X")</f>
        <v>O</v>
      </c>
      <c r="I73" s="23" t="str">
        <f>IF(COUNTIFS('설문지 응답 시트1'!$C:$C, $C73, '설문지 응답 시트1'!$A:$A, "&gt;="&amp;(I$6 + TIME(17,0,0)), '설문지 응답 시트1'!$A:$A, "&lt;"&amp;(I$6 + 1 + TIME(9,0,0)))&gt;0, "O", "X")</f>
        <v>O</v>
      </c>
      <c r="J73" s="16"/>
    </row>
    <row r="74" spans="1:10" ht="12.75" x14ac:dyDescent="0.2">
      <c r="A74" s="15"/>
      <c r="B74" s="22">
        <v>10</v>
      </c>
      <c r="C74" s="22" t="s">
        <v>129</v>
      </c>
      <c r="D74" s="23">
        <f t="shared" ca="1" si="0"/>
        <v>0</v>
      </c>
      <c r="E74" s="24">
        <f t="shared" ca="1" si="1"/>
        <v>1</v>
      </c>
      <c r="F74" s="23" t="str">
        <f>IF(COUNTIFS('설문지 응답 시트1'!$C:$C, $C74, '설문지 응답 시트1'!$A:$A, "&gt;="&amp;(F$6 + TIME(17,0,0)), '설문지 응답 시트1'!$A:$A, "&lt;"&amp;(F$6 + 1 + TIME(9,0,0)))&gt;0, "O", "X")</f>
        <v>O</v>
      </c>
      <c r="G74" s="23" t="str">
        <f>IF(COUNTIFS('설문지 응답 시트1'!$C:$C, $C74, '설문지 응답 시트1'!$A:$A, "&gt;="&amp;(G$6 + TIME(17,0,0)), '설문지 응답 시트1'!$A:$A, "&lt;"&amp;(G$6 + 1 + TIME(9,0,0)))&gt;0, "O", "X")</f>
        <v>O</v>
      </c>
      <c r="H74" s="23" t="str">
        <f>IF(COUNTIFS('설문지 응답 시트1'!$C:$C, $C74, '설문지 응답 시트1'!$A:$A, "&gt;="&amp;(H$6 + TIME(17,0,0)), '설문지 응답 시트1'!$A:$A, "&lt;"&amp;(H$6 + 1 + TIME(9,0,0)))&gt;0, "O", "X")</f>
        <v>O</v>
      </c>
      <c r="I74" s="23" t="str">
        <f>IF(COUNTIFS('설문지 응답 시트1'!$C:$C, $C74, '설문지 응답 시트1'!$A:$A, "&gt;="&amp;(I$6 + TIME(17,0,0)), '설문지 응답 시트1'!$A:$A, "&lt;"&amp;(I$6 + 1 + TIME(9,0,0)))&gt;0, "O", "X")</f>
        <v>O</v>
      </c>
      <c r="J74" s="16"/>
    </row>
    <row r="75" spans="1:10" ht="12.75" x14ac:dyDescent="0.2">
      <c r="A75" s="15"/>
      <c r="B75" s="22">
        <v>10</v>
      </c>
      <c r="C75" s="22" t="s">
        <v>94</v>
      </c>
      <c r="D75" s="23">
        <f t="shared" ca="1" si="0"/>
        <v>0</v>
      </c>
      <c r="E75" s="24">
        <f t="shared" ca="1" si="1"/>
        <v>1</v>
      </c>
      <c r="F75" s="23" t="str">
        <f>IF(COUNTIFS('설문지 응답 시트1'!$C:$C, $C75, '설문지 응답 시트1'!$A:$A, "&gt;="&amp;(F$6 + TIME(17,0,0)), '설문지 응답 시트1'!$A:$A, "&lt;"&amp;(F$6 + 1 + TIME(9,0,0)))&gt;0, "O", "X")</f>
        <v>O</v>
      </c>
      <c r="G75" s="23" t="str">
        <f>IF(COUNTIFS('설문지 응답 시트1'!$C:$C, $C75, '설문지 응답 시트1'!$A:$A, "&gt;="&amp;(G$6 + TIME(17,0,0)), '설문지 응답 시트1'!$A:$A, "&lt;"&amp;(G$6 + 1 + TIME(9,0,0)))&gt;0, "O", "X")</f>
        <v>O</v>
      </c>
      <c r="H75" s="23" t="str">
        <f>IF(COUNTIFS('설문지 응답 시트1'!$C:$C, $C75, '설문지 응답 시트1'!$A:$A, "&gt;="&amp;(H$6 + TIME(17,0,0)), '설문지 응답 시트1'!$A:$A, "&lt;"&amp;(H$6 + 1 + TIME(9,0,0)))&gt;0, "O", "X")</f>
        <v>O</v>
      </c>
      <c r="I75" s="23" t="str">
        <f>IF(COUNTIFS('설문지 응답 시트1'!$C:$C, $C75, '설문지 응답 시트1'!$A:$A, "&gt;="&amp;(I$6 + TIME(17,0,0)), '설문지 응답 시트1'!$A:$A, "&lt;"&amp;(I$6 + 1 + TIME(9,0,0)))&gt;0, "O", "X")</f>
        <v>O</v>
      </c>
      <c r="J75" s="16"/>
    </row>
    <row r="76" spans="1:10" ht="12.75" x14ac:dyDescent="0.2">
      <c r="A76" s="15"/>
      <c r="B76" s="22">
        <v>10</v>
      </c>
      <c r="C76" s="22" t="s">
        <v>45</v>
      </c>
      <c r="D76" s="23">
        <f t="shared" ca="1" si="0"/>
        <v>0</v>
      </c>
      <c r="E76" s="24">
        <f t="shared" ca="1" si="1"/>
        <v>1</v>
      </c>
      <c r="F76" s="23" t="str">
        <f>IF(COUNTIFS('설문지 응답 시트1'!$C:$C, $C76, '설문지 응답 시트1'!$A:$A, "&gt;="&amp;(F$6 + TIME(17,0,0)), '설문지 응답 시트1'!$A:$A, "&lt;"&amp;(F$6 + 1 + TIME(9,0,0)))&gt;0, "O", "X")</f>
        <v>O</v>
      </c>
      <c r="G76" s="23" t="str">
        <f>IF(COUNTIFS('설문지 응답 시트1'!$C:$C, $C76, '설문지 응답 시트1'!$A:$A, "&gt;="&amp;(G$6 + TIME(17,0,0)), '설문지 응답 시트1'!$A:$A, "&lt;"&amp;(G$6 + 1 + TIME(9,0,0)))&gt;0, "O", "X")</f>
        <v>O</v>
      </c>
      <c r="H76" s="23" t="str">
        <f>IF(COUNTIFS('설문지 응답 시트1'!$C:$C, $C76, '설문지 응답 시트1'!$A:$A, "&gt;="&amp;(H$6 + TIME(17,0,0)), '설문지 응답 시트1'!$A:$A, "&lt;"&amp;(H$6 + 1 + TIME(9,0,0)))&gt;0, "O", "X")</f>
        <v>O</v>
      </c>
      <c r="I76" s="23" t="str">
        <f>IF(COUNTIFS('설문지 응답 시트1'!$C:$C, $C76, '설문지 응답 시트1'!$A:$A, "&gt;="&amp;(I$6 + TIME(17,0,0)), '설문지 응답 시트1'!$A:$A, "&lt;"&amp;(I$6 + 1 + TIME(9,0,0)))&gt;0, "O", "X")</f>
        <v>O</v>
      </c>
      <c r="J76" s="16"/>
    </row>
    <row r="77" spans="1:10" ht="12.75" x14ac:dyDescent="0.2">
      <c r="A77" s="15"/>
      <c r="B77" s="22">
        <v>10</v>
      </c>
      <c r="C77" s="22" t="s">
        <v>164</v>
      </c>
      <c r="D77" s="23">
        <f t="shared" ca="1" si="0"/>
        <v>0</v>
      </c>
      <c r="E77" s="24">
        <f t="shared" ca="1" si="1"/>
        <v>1</v>
      </c>
      <c r="F77" s="23" t="str">
        <f>IF(COUNTIFS('설문지 응답 시트1'!$C:$C, $C77, '설문지 응답 시트1'!$A:$A, "&gt;="&amp;(F$6 + TIME(17,0,0)), '설문지 응답 시트1'!$A:$A, "&lt;"&amp;(F$6 + 1 + TIME(9,0,0)))&gt;0, "O", "X")</f>
        <v>O</v>
      </c>
      <c r="G77" s="23" t="str">
        <f>IF(COUNTIFS('설문지 응답 시트1'!$C:$C, $C77, '설문지 응답 시트1'!$A:$A, "&gt;="&amp;(G$6 + TIME(17,0,0)), '설문지 응답 시트1'!$A:$A, "&lt;"&amp;(G$6 + 1 + TIME(9,0,0)))&gt;0, "O", "X")</f>
        <v>O</v>
      </c>
      <c r="H77" s="23" t="str">
        <f>IF(COUNTIFS('설문지 응답 시트1'!$C:$C, $C77, '설문지 응답 시트1'!$A:$A, "&gt;="&amp;(H$6 + TIME(17,0,0)), '설문지 응답 시트1'!$A:$A, "&lt;"&amp;(H$6 + 1 + TIME(9,0,0)))&gt;0, "O", "X")</f>
        <v>O</v>
      </c>
      <c r="I77" s="23" t="str">
        <f>IF(COUNTIFS('설문지 응답 시트1'!$C:$C, $C77, '설문지 응답 시트1'!$A:$A, "&gt;="&amp;(I$6 + TIME(17,0,0)), '설문지 응답 시트1'!$A:$A, "&lt;"&amp;(I$6 + 1 + TIME(9,0,0)))&gt;0, "O", "X")</f>
        <v>O</v>
      </c>
      <c r="J77" s="16"/>
    </row>
    <row r="78" spans="1:10" ht="12.75" x14ac:dyDescent="0.2">
      <c r="A78" s="15"/>
      <c r="B78" s="22">
        <v>10</v>
      </c>
      <c r="C78" s="22" t="s">
        <v>215</v>
      </c>
      <c r="D78" s="23">
        <f t="shared" ca="1" si="0"/>
        <v>0</v>
      </c>
      <c r="E78" s="24">
        <f t="shared" ca="1" si="1"/>
        <v>1</v>
      </c>
      <c r="F78" s="23" t="str">
        <f>IF(COUNTIFS('설문지 응답 시트1'!$C:$C, $C78, '설문지 응답 시트1'!$A:$A, "&gt;="&amp;(F$6 + TIME(17,0,0)), '설문지 응답 시트1'!$A:$A, "&lt;"&amp;(F$6 + 1 + TIME(9,0,0)))&gt;0, "O", "X")</f>
        <v>O</v>
      </c>
      <c r="G78" s="23" t="str">
        <f>IF(COUNTIFS('설문지 응답 시트1'!$C:$C, $C78, '설문지 응답 시트1'!$A:$A, "&gt;="&amp;(G$6 + TIME(17,0,0)), '설문지 응답 시트1'!$A:$A, "&lt;"&amp;(G$6 + 1 + TIME(9,0,0)))&gt;0, "O", "X")</f>
        <v>O</v>
      </c>
      <c r="H78" s="23" t="str">
        <f>IF(COUNTIFS('설문지 응답 시트1'!$C:$C, $C78, '설문지 응답 시트1'!$A:$A, "&gt;="&amp;(H$6 + TIME(17,0,0)), '설문지 응답 시트1'!$A:$A, "&lt;"&amp;(H$6 + 1 + TIME(9,0,0)))&gt;0, "O", "X")</f>
        <v>O</v>
      </c>
      <c r="I78" s="23" t="str">
        <f>IF(COUNTIFS('설문지 응답 시트1'!$C:$C, $C78, '설문지 응답 시트1'!$A:$A, "&gt;="&amp;(I$6 + TIME(17,0,0)), '설문지 응답 시트1'!$A:$A, "&lt;"&amp;(I$6 + 1 + TIME(9,0,0)))&gt;0, "O", "X")</f>
        <v>O</v>
      </c>
      <c r="J78" s="16"/>
    </row>
    <row r="79" spans="1:10" ht="12.75" x14ac:dyDescent="0.2">
      <c r="A79" s="15"/>
      <c r="B79" s="22">
        <v>10</v>
      </c>
      <c r="C79" s="22" t="s">
        <v>291</v>
      </c>
      <c r="D79" s="23">
        <f t="shared" ca="1" si="0"/>
        <v>1</v>
      </c>
      <c r="E79" s="24">
        <f t="shared" ca="1" si="1"/>
        <v>0.75</v>
      </c>
      <c r="F79" s="23" t="str">
        <f>IF(COUNTIFS('설문지 응답 시트1'!$C:$C, $C79, '설문지 응답 시트1'!$A:$A, "&gt;="&amp;(F$6 + TIME(17,0,0)), '설문지 응답 시트1'!$A:$A, "&lt;"&amp;(F$6 + 1 + TIME(9,0,0)))&gt;0, "O", "X")</f>
        <v>X</v>
      </c>
      <c r="G79" s="23" t="str">
        <f>IF(COUNTIFS('설문지 응답 시트1'!$C:$C, $C79, '설문지 응답 시트1'!$A:$A, "&gt;="&amp;(G$6 + TIME(17,0,0)), '설문지 응답 시트1'!$A:$A, "&lt;"&amp;(G$6 + 1 + TIME(9,0,0)))&gt;0, "O", "X")</f>
        <v>O</v>
      </c>
      <c r="H79" s="23" t="str">
        <f>IF(COUNTIFS('설문지 응답 시트1'!$C:$C, $C79, '설문지 응답 시트1'!$A:$A, "&gt;="&amp;(H$6 + TIME(17,0,0)), '설문지 응답 시트1'!$A:$A, "&lt;"&amp;(H$6 + 1 + TIME(9,0,0)))&gt;0, "O", "X")</f>
        <v>O</v>
      </c>
      <c r="I79" s="23" t="str">
        <f>IF(COUNTIFS('설문지 응답 시트1'!$C:$C, $C79, '설문지 응답 시트1'!$A:$A, "&gt;="&amp;(I$6 + TIME(17,0,0)), '설문지 응답 시트1'!$A:$A, "&lt;"&amp;(I$6 + 1 + TIME(9,0,0)))&gt;0, "O", "X")</f>
        <v>O</v>
      </c>
      <c r="J79" s="16"/>
    </row>
    <row r="80" spans="1:10" ht="12.75" x14ac:dyDescent="0.2">
      <c r="A80" s="15"/>
      <c r="B80" s="22">
        <v>10</v>
      </c>
      <c r="C80" s="22" t="s">
        <v>142</v>
      </c>
      <c r="D80" s="23">
        <f t="shared" ca="1" si="0"/>
        <v>1</v>
      </c>
      <c r="E80" s="24">
        <f t="shared" ca="1" si="1"/>
        <v>0.75</v>
      </c>
      <c r="F80" s="23" t="str">
        <f>IF(COUNTIFS('설문지 응답 시트1'!$C:$C, $C80, '설문지 응답 시트1'!$A:$A, "&gt;="&amp;(F$6 + TIME(17,0,0)), '설문지 응답 시트1'!$A:$A, "&lt;"&amp;(F$6 + 1 + TIME(9,0,0)))&gt;0, "O", "X")</f>
        <v>O</v>
      </c>
      <c r="G80" s="23" t="str">
        <f>IF(COUNTIFS('설문지 응답 시트1'!$C:$C, $C80, '설문지 응답 시트1'!$A:$A, "&gt;="&amp;(G$6 + TIME(17,0,0)), '설문지 응답 시트1'!$A:$A, "&lt;"&amp;(G$6 + 1 + TIME(9,0,0)))&gt;0, "O", "X")</f>
        <v>X</v>
      </c>
      <c r="H80" s="23" t="str">
        <f>IF(COUNTIFS('설문지 응답 시트1'!$C:$C, $C80, '설문지 응답 시트1'!$A:$A, "&gt;="&amp;(H$6 + TIME(17,0,0)), '설문지 응답 시트1'!$A:$A, "&lt;"&amp;(H$6 + 1 + TIME(9,0,0)))&gt;0, "O", "X")</f>
        <v>O</v>
      </c>
      <c r="I80" s="23" t="str">
        <f>IF(COUNTIFS('설문지 응답 시트1'!$C:$C, $C80, '설문지 응답 시트1'!$A:$A, "&gt;="&amp;(I$6 + TIME(17,0,0)), '설문지 응답 시트1'!$A:$A, "&lt;"&amp;(I$6 + 1 + TIME(9,0,0)))&gt;0, "O", "X")</f>
        <v>O</v>
      </c>
      <c r="J80" s="16"/>
    </row>
    <row r="81" spans="1:10" ht="12.75" x14ac:dyDescent="0.2">
      <c r="A81" s="15"/>
      <c r="B81" s="22" t="s">
        <v>503</v>
      </c>
      <c r="C81" s="22" t="s">
        <v>195</v>
      </c>
      <c r="D81" s="23">
        <f t="shared" ca="1" si="0"/>
        <v>3</v>
      </c>
      <c r="E81" s="24">
        <f t="shared" ca="1" si="1"/>
        <v>0.25</v>
      </c>
      <c r="F81" s="23" t="str">
        <f>IF(COUNTIFS('설문지 응답 시트1'!$C:$C, $C81, '설문지 응답 시트1'!$A:$A, "&gt;="&amp;(F$6 + TIME(17,0,0)), '설문지 응답 시트1'!$A:$A, "&lt;"&amp;(F$6 + 1 + TIME(9,0,0)))&gt;0, "O", "X")</f>
        <v>O</v>
      </c>
      <c r="G81" s="23" t="str">
        <f>IF(COUNTIFS('설문지 응답 시트1'!$C:$C, $C81, '설문지 응답 시트1'!$A:$A, "&gt;="&amp;(G$6 + TIME(17,0,0)), '설문지 응답 시트1'!$A:$A, "&lt;"&amp;(G$6 + 1 + TIME(9,0,0)))&gt;0, "O", "X")</f>
        <v>X</v>
      </c>
      <c r="H81" s="23" t="str">
        <f>IF(COUNTIFS('설문지 응답 시트1'!$C:$C, $C81, '설문지 응답 시트1'!$A:$A, "&gt;="&amp;(H$6 + TIME(17,0,0)), '설문지 응답 시트1'!$A:$A, "&lt;"&amp;(H$6 + 1 + TIME(9,0,0)))&gt;0, "O", "X")</f>
        <v>X</v>
      </c>
      <c r="I81" s="23" t="str">
        <f>IF(COUNTIFS('설문지 응답 시트1'!$C:$C, $C81, '설문지 응답 시트1'!$A:$A, "&gt;="&amp;(I$6 + TIME(17,0,0)), '설문지 응답 시트1'!$A:$A, "&lt;"&amp;(I$6 + 1 + TIME(9,0,0)))&gt;0, "O", "X")</f>
        <v>X</v>
      </c>
      <c r="J81" s="16"/>
    </row>
    <row r="82" spans="1:10" ht="12.75" x14ac:dyDescent="0.2">
      <c r="A82" s="15"/>
      <c r="B82" s="22" t="s">
        <v>503</v>
      </c>
      <c r="C82" s="22" t="s">
        <v>504</v>
      </c>
      <c r="D82" s="23">
        <f t="shared" ca="1" si="0"/>
        <v>4</v>
      </c>
      <c r="E82" s="24">
        <f t="shared" ca="1" si="1"/>
        <v>0</v>
      </c>
      <c r="F82" s="23" t="str">
        <f>IF(COUNTIFS('설문지 응답 시트1'!$C:$C, $C82, '설문지 응답 시트1'!$A:$A, "&gt;="&amp;(F$6 + TIME(17,0,0)), '설문지 응답 시트1'!$A:$A, "&lt;"&amp;(F$6 + 1 + TIME(9,0,0)))&gt;0, "O", "X")</f>
        <v>X</v>
      </c>
      <c r="G82" s="23" t="str">
        <f>IF(COUNTIFS('설문지 응답 시트1'!$C:$C, $C82, '설문지 응답 시트1'!$A:$A, "&gt;="&amp;(G$6 + TIME(17,0,0)), '설문지 응답 시트1'!$A:$A, "&lt;"&amp;(G$6 + 1 + TIME(9,0,0)))&gt;0, "O", "X")</f>
        <v>X</v>
      </c>
      <c r="H82" s="23" t="str">
        <f>IF(COUNTIFS('설문지 응답 시트1'!$C:$C, $C82, '설문지 응답 시트1'!$A:$A, "&gt;="&amp;(H$6 + TIME(17,0,0)), '설문지 응답 시트1'!$A:$A, "&lt;"&amp;(H$6 + 1 + TIME(9,0,0)))&gt;0, "O", "X")</f>
        <v>X</v>
      </c>
      <c r="I82" s="23" t="str">
        <f>IF(COUNTIFS('설문지 응답 시트1'!$C:$C, $C82, '설문지 응답 시트1'!$A:$A, "&gt;="&amp;(I$6 + TIME(17,0,0)), '설문지 응답 시트1'!$A:$A, "&lt;"&amp;(I$6 + 1 + TIME(9,0,0)))&gt;0, "O", "X")</f>
        <v>X</v>
      </c>
      <c r="J82" s="16"/>
    </row>
    <row r="83" spans="1:10" ht="12.75" x14ac:dyDescent="0.2">
      <c r="A83" s="15"/>
      <c r="B83" s="22" t="s">
        <v>503</v>
      </c>
      <c r="C83" s="22" t="s">
        <v>192</v>
      </c>
      <c r="D83" s="23">
        <f t="shared" ca="1" si="0"/>
        <v>0</v>
      </c>
      <c r="E83" s="24">
        <f t="shared" ca="1" si="1"/>
        <v>1</v>
      </c>
      <c r="F83" s="23" t="str">
        <f>IF(COUNTIFS('설문지 응답 시트1'!$C:$C, $C83, '설문지 응답 시트1'!$A:$A, "&gt;="&amp;(F$6 + TIME(17,0,0)), '설문지 응답 시트1'!$A:$A, "&lt;"&amp;(F$6 + 1 + TIME(9,0,0)))&gt;0, "O", "X")</f>
        <v>O</v>
      </c>
      <c r="G83" s="23" t="str">
        <f>IF(COUNTIFS('설문지 응답 시트1'!$C:$C, $C83, '설문지 응답 시트1'!$A:$A, "&gt;="&amp;(G$6 + TIME(17,0,0)), '설문지 응답 시트1'!$A:$A, "&lt;"&amp;(G$6 + 1 + TIME(9,0,0)))&gt;0, "O", "X")</f>
        <v>O</v>
      </c>
      <c r="H83" s="23" t="str">
        <f>IF(COUNTIFS('설문지 응답 시트1'!$C:$C, $C83, '설문지 응답 시트1'!$A:$A, "&gt;="&amp;(H$6 + TIME(17,0,0)), '설문지 응답 시트1'!$A:$A, "&lt;"&amp;(H$6 + 1 + TIME(9,0,0)))&gt;0, "O", "X")</f>
        <v>O</v>
      </c>
      <c r="I83" s="23" t="str">
        <f>IF(COUNTIFS('설문지 응답 시트1'!$C:$C, $C83, '설문지 응답 시트1'!$A:$A, "&gt;="&amp;(I$6 + TIME(17,0,0)), '설문지 응답 시트1'!$A:$A, "&lt;"&amp;(I$6 + 1 + TIME(9,0,0)))&gt;0, "O", "X")</f>
        <v>O</v>
      </c>
      <c r="J83" s="16"/>
    </row>
    <row r="84" spans="1:10" ht="12.75" x14ac:dyDescent="0.2">
      <c r="A84" s="15"/>
      <c r="B84" s="25"/>
      <c r="C84" s="25"/>
      <c r="D84" s="16"/>
      <c r="E84" s="16"/>
      <c r="F84" s="16"/>
      <c r="G84" s="16"/>
      <c r="H84" s="16"/>
      <c r="I84" s="16"/>
      <c r="J84" s="16"/>
    </row>
    <row r="85" spans="1:10" ht="12.75" x14ac:dyDescent="0.2">
      <c r="A85" s="15"/>
      <c r="B85" s="25"/>
      <c r="C85" s="25"/>
      <c r="D85" s="16"/>
      <c r="E85" s="16"/>
      <c r="F85" s="16"/>
      <c r="G85" s="16"/>
      <c r="H85" s="16"/>
      <c r="I85" s="16"/>
      <c r="J85" s="16"/>
    </row>
    <row r="86" spans="1:10" ht="12.75" x14ac:dyDescent="0.2">
      <c r="A86" s="15"/>
      <c r="B86" s="25"/>
      <c r="C86" s="25"/>
      <c r="D86" s="16"/>
      <c r="E86" s="16"/>
      <c r="F86" s="16"/>
      <c r="G86" s="16"/>
      <c r="H86" s="16"/>
      <c r="I86" s="16"/>
      <c r="J86" s="16"/>
    </row>
    <row r="87" spans="1:10" ht="12.75" x14ac:dyDescent="0.2">
      <c r="A87" s="15"/>
      <c r="B87" s="25"/>
      <c r="C87" s="25"/>
      <c r="D87" s="16"/>
      <c r="E87" s="16"/>
      <c r="F87" s="16"/>
      <c r="G87" s="16"/>
      <c r="H87" s="16"/>
      <c r="I87" s="16"/>
      <c r="J87" s="16"/>
    </row>
    <row r="88" spans="1:10" ht="12.75" x14ac:dyDescent="0.2">
      <c r="A88" s="15"/>
      <c r="B88" s="25"/>
      <c r="C88" s="25"/>
      <c r="D88" s="16"/>
      <c r="E88" s="16"/>
      <c r="F88" s="16"/>
      <c r="G88" s="16"/>
      <c r="H88" s="16"/>
      <c r="I88" s="16"/>
      <c r="J88" s="16"/>
    </row>
    <row r="89" spans="1:10" ht="12.75" x14ac:dyDescent="0.2">
      <c r="A89" s="15"/>
      <c r="B89" s="25"/>
      <c r="C89" s="25"/>
      <c r="D89" s="16"/>
      <c r="E89" s="16"/>
      <c r="F89" s="16"/>
      <c r="G89" s="16"/>
      <c r="H89" s="16"/>
      <c r="I89" s="16"/>
      <c r="J89" s="16"/>
    </row>
    <row r="90" spans="1:10" ht="12.75" x14ac:dyDescent="0.2">
      <c r="A90" s="15"/>
      <c r="B90" s="25"/>
      <c r="C90" s="25"/>
      <c r="D90" s="16"/>
      <c r="E90" s="16"/>
      <c r="F90" s="16"/>
      <c r="G90" s="16"/>
      <c r="H90" s="16"/>
      <c r="I90" s="16"/>
      <c r="J90" s="16"/>
    </row>
    <row r="91" spans="1:10" ht="12.75" x14ac:dyDescent="0.2">
      <c r="A91" s="15"/>
      <c r="B91" s="25"/>
      <c r="C91" s="25"/>
      <c r="D91" s="16"/>
      <c r="E91" s="16"/>
      <c r="F91" s="16"/>
      <c r="G91" s="16"/>
      <c r="H91" s="16"/>
      <c r="I91" s="16"/>
      <c r="J91" s="16"/>
    </row>
    <row r="92" spans="1:10" ht="12.75" x14ac:dyDescent="0.2">
      <c r="A92" s="15"/>
      <c r="B92" s="25"/>
      <c r="C92" s="25"/>
      <c r="D92" s="16"/>
      <c r="E92" s="16"/>
      <c r="F92" s="16"/>
      <c r="G92" s="16"/>
      <c r="H92" s="16"/>
      <c r="I92" s="16"/>
      <c r="J92" s="16"/>
    </row>
    <row r="93" spans="1:10" ht="12.75" x14ac:dyDescent="0.2">
      <c r="A93" s="15"/>
      <c r="B93" s="25"/>
      <c r="C93" s="25"/>
      <c r="D93" s="16"/>
      <c r="E93" s="16"/>
      <c r="F93" s="16"/>
      <c r="G93" s="16"/>
      <c r="H93" s="16"/>
      <c r="I93" s="16"/>
      <c r="J93" s="16"/>
    </row>
    <row r="94" spans="1:10" ht="12.75" x14ac:dyDescent="0.2">
      <c r="A94" s="15"/>
      <c r="B94" s="25"/>
      <c r="C94" s="25"/>
      <c r="D94" s="16"/>
      <c r="E94" s="16"/>
      <c r="F94" s="16"/>
      <c r="G94" s="16"/>
      <c r="H94" s="16"/>
      <c r="I94" s="16"/>
      <c r="J94" s="16"/>
    </row>
    <row r="95" spans="1:10" ht="12.75" x14ac:dyDescent="0.2">
      <c r="A95" s="15"/>
      <c r="B95" s="25"/>
      <c r="C95" s="25"/>
      <c r="D95" s="16"/>
      <c r="E95" s="16"/>
      <c r="F95" s="16"/>
      <c r="G95" s="16"/>
      <c r="H95" s="16"/>
      <c r="I95" s="16"/>
      <c r="J95" s="16"/>
    </row>
    <row r="96" spans="1:10" ht="12.75" x14ac:dyDescent="0.2">
      <c r="A96" s="15"/>
      <c r="B96" s="25"/>
      <c r="C96" s="25"/>
      <c r="D96" s="16"/>
      <c r="E96" s="16"/>
      <c r="F96" s="16"/>
      <c r="G96" s="16"/>
      <c r="H96" s="16"/>
      <c r="I96" s="16"/>
      <c r="J96" s="16"/>
    </row>
    <row r="97" spans="1:10" ht="12.75" x14ac:dyDescent="0.2">
      <c r="A97" s="15"/>
      <c r="B97" s="25"/>
      <c r="C97" s="25"/>
      <c r="D97" s="16"/>
      <c r="E97" s="16"/>
      <c r="F97" s="16"/>
      <c r="G97" s="16"/>
      <c r="H97" s="16"/>
      <c r="I97" s="16"/>
      <c r="J97" s="16"/>
    </row>
    <row r="98" spans="1:10" ht="12.75" x14ac:dyDescent="0.2">
      <c r="A98" s="15"/>
      <c r="B98" s="25"/>
      <c r="C98" s="25"/>
      <c r="D98" s="16"/>
      <c r="E98" s="16"/>
      <c r="F98" s="16"/>
      <c r="G98" s="16"/>
      <c r="H98" s="16"/>
      <c r="I98" s="16"/>
      <c r="J98" s="16"/>
    </row>
    <row r="99" spans="1:10" ht="12.75" x14ac:dyDescent="0.2">
      <c r="A99" s="15"/>
      <c r="B99" s="25"/>
      <c r="C99" s="25"/>
      <c r="D99" s="16"/>
      <c r="E99" s="16"/>
      <c r="F99" s="16"/>
      <c r="G99" s="16"/>
      <c r="H99" s="16"/>
      <c r="I99" s="16"/>
      <c r="J99" s="16"/>
    </row>
    <row r="100" spans="1:10" ht="12.75" x14ac:dyDescent="0.2">
      <c r="A100" s="15"/>
      <c r="B100" s="25"/>
      <c r="C100" s="25"/>
      <c r="D100" s="16"/>
      <c r="E100" s="16"/>
      <c r="F100" s="16"/>
      <c r="G100" s="16"/>
      <c r="H100" s="16"/>
      <c r="I100" s="16"/>
      <c r="J100" s="16"/>
    </row>
    <row r="101" spans="1:10" ht="12.75" x14ac:dyDescent="0.2">
      <c r="A101" s="15"/>
      <c r="B101" s="15"/>
      <c r="C101" s="15"/>
      <c r="D101" s="16"/>
      <c r="E101" s="16"/>
      <c r="F101" s="16"/>
      <c r="G101" s="16"/>
      <c r="H101" s="16"/>
      <c r="I101" s="16"/>
      <c r="J101" s="16"/>
    </row>
    <row r="102" spans="1:10" ht="12.75" x14ac:dyDescent="0.2">
      <c r="A102" s="15"/>
      <c r="B102" s="15"/>
      <c r="C102" s="15"/>
      <c r="D102" s="16"/>
      <c r="E102" s="16"/>
      <c r="F102" s="16"/>
      <c r="G102" s="16"/>
      <c r="H102" s="16"/>
      <c r="I102" s="16"/>
      <c r="J102" s="16"/>
    </row>
    <row r="103" spans="1:10" ht="12.75" x14ac:dyDescent="0.2">
      <c r="A103" s="15"/>
      <c r="B103" s="15"/>
      <c r="C103" s="15"/>
      <c r="D103" s="16"/>
      <c r="E103" s="16"/>
      <c r="F103" s="16"/>
      <c r="G103" s="16"/>
      <c r="H103" s="16"/>
      <c r="I103" s="16"/>
      <c r="J103" s="16"/>
    </row>
    <row r="104" spans="1:10" ht="12.75" x14ac:dyDescent="0.2">
      <c r="A104" s="15"/>
      <c r="B104" s="15"/>
      <c r="C104" s="15"/>
      <c r="D104" s="16"/>
      <c r="E104" s="16"/>
      <c r="F104" s="16"/>
      <c r="G104" s="16"/>
      <c r="H104" s="16"/>
      <c r="I104" s="16"/>
      <c r="J104" s="16"/>
    </row>
    <row r="105" spans="1:10" ht="12.75" x14ac:dyDescent="0.2">
      <c r="A105" s="15"/>
      <c r="B105" s="15"/>
      <c r="C105" s="15"/>
      <c r="D105" s="16"/>
      <c r="E105" s="16"/>
      <c r="F105" s="16"/>
      <c r="G105" s="16"/>
      <c r="H105" s="16"/>
      <c r="I105" s="16"/>
      <c r="J105" s="16"/>
    </row>
    <row r="106" spans="1:10" ht="12.75" x14ac:dyDescent="0.2">
      <c r="A106" s="15"/>
      <c r="B106" s="15"/>
      <c r="C106" s="15"/>
      <c r="D106" s="16"/>
      <c r="E106" s="16"/>
      <c r="F106" s="16"/>
      <c r="G106" s="16"/>
      <c r="H106" s="16"/>
      <c r="I106" s="16"/>
      <c r="J106" s="16"/>
    </row>
    <row r="107" spans="1:10" ht="12.75" x14ac:dyDescent="0.2">
      <c r="A107" s="15"/>
      <c r="B107" s="15"/>
      <c r="C107" s="15"/>
      <c r="D107" s="16"/>
      <c r="E107" s="16"/>
      <c r="F107" s="16"/>
      <c r="G107" s="16"/>
      <c r="H107" s="16"/>
      <c r="I107" s="16"/>
      <c r="J107" s="16"/>
    </row>
    <row r="108" spans="1:10" ht="12.75" x14ac:dyDescent="0.2">
      <c r="A108" s="15"/>
      <c r="B108" s="15"/>
      <c r="C108" s="15"/>
      <c r="D108" s="16"/>
      <c r="E108" s="16"/>
      <c r="F108" s="16"/>
      <c r="G108" s="16"/>
      <c r="H108" s="16"/>
      <c r="I108" s="16"/>
      <c r="J108" s="16"/>
    </row>
    <row r="109" spans="1:10" ht="12.75" x14ac:dyDescent="0.2">
      <c r="A109" s="15"/>
      <c r="B109" s="15"/>
      <c r="C109" s="15"/>
      <c r="D109" s="16"/>
      <c r="E109" s="16"/>
      <c r="F109" s="16"/>
      <c r="G109" s="16"/>
      <c r="H109" s="16"/>
      <c r="I109" s="16"/>
      <c r="J109" s="16"/>
    </row>
    <row r="110" spans="1:10" ht="12.75" x14ac:dyDescent="0.2">
      <c r="A110" s="15"/>
      <c r="B110" s="15"/>
      <c r="C110" s="15"/>
      <c r="D110" s="16"/>
      <c r="E110" s="16"/>
      <c r="F110" s="16"/>
      <c r="G110" s="16"/>
      <c r="H110" s="16"/>
      <c r="I110" s="16"/>
      <c r="J110" s="16"/>
    </row>
    <row r="111" spans="1:10" ht="12.75" x14ac:dyDescent="0.2">
      <c r="A111" s="15"/>
      <c r="B111" s="15"/>
      <c r="C111" s="15"/>
      <c r="D111" s="16"/>
      <c r="E111" s="16"/>
      <c r="F111" s="16"/>
      <c r="G111" s="16"/>
      <c r="H111" s="16"/>
      <c r="I111" s="16"/>
      <c r="J111" s="16"/>
    </row>
    <row r="112" spans="1:10" ht="12.75" x14ac:dyDescent="0.2">
      <c r="A112" s="15"/>
      <c r="B112" s="15"/>
      <c r="C112" s="15"/>
      <c r="D112" s="16"/>
      <c r="E112" s="16"/>
      <c r="F112" s="16"/>
      <c r="G112" s="16"/>
      <c r="H112" s="16"/>
      <c r="I112" s="16"/>
      <c r="J112" s="16"/>
    </row>
    <row r="113" spans="1:10" ht="12.75" x14ac:dyDescent="0.2">
      <c r="A113" s="15"/>
      <c r="B113" s="15"/>
      <c r="C113" s="15"/>
      <c r="D113" s="16"/>
      <c r="E113" s="16"/>
      <c r="F113" s="16"/>
      <c r="G113" s="16"/>
      <c r="H113" s="16"/>
      <c r="I113" s="16"/>
      <c r="J113" s="16"/>
    </row>
    <row r="114" spans="1:10" ht="12.75" x14ac:dyDescent="0.2">
      <c r="A114" s="15"/>
      <c r="B114" s="15"/>
      <c r="C114" s="15"/>
      <c r="D114" s="16"/>
      <c r="E114" s="16"/>
      <c r="F114" s="16"/>
      <c r="G114" s="16"/>
      <c r="H114" s="16"/>
      <c r="I114" s="16"/>
      <c r="J114" s="16"/>
    </row>
    <row r="115" spans="1:10" ht="12.75" x14ac:dyDescent="0.2">
      <c r="A115" s="15"/>
      <c r="B115" s="15"/>
      <c r="C115" s="15"/>
      <c r="D115" s="16"/>
      <c r="E115" s="16"/>
      <c r="F115" s="16"/>
      <c r="G115" s="16"/>
      <c r="H115" s="16"/>
      <c r="I115" s="16"/>
      <c r="J115" s="16"/>
    </row>
    <row r="116" spans="1:10" ht="12.75" x14ac:dyDescent="0.2">
      <c r="A116" s="15"/>
      <c r="B116" s="15"/>
      <c r="C116" s="15"/>
      <c r="D116" s="16"/>
      <c r="E116" s="16"/>
      <c r="F116" s="16"/>
      <c r="G116" s="16"/>
      <c r="H116" s="16"/>
      <c r="I116" s="16"/>
      <c r="J116" s="16"/>
    </row>
    <row r="117" spans="1:10" ht="12.75" x14ac:dyDescent="0.2">
      <c r="A117" s="15"/>
      <c r="B117" s="15"/>
      <c r="C117" s="15"/>
      <c r="D117" s="16"/>
      <c r="E117" s="16"/>
      <c r="F117" s="16"/>
      <c r="G117" s="16"/>
      <c r="H117" s="16"/>
      <c r="I117" s="16"/>
      <c r="J117" s="16"/>
    </row>
    <row r="118" spans="1:10" ht="12.75" x14ac:dyDescent="0.2">
      <c r="A118" s="15"/>
      <c r="B118" s="15"/>
      <c r="C118" s="15"/>
      <c r="D118" s="16"/>
      <c r="E118" s="16"/>
      <c r="F118" s="16"/>
      <c r="G118" s="16"/>
      <c r="H118" s="16"/>
      <c r="I118" s="16"/>
      <c r="J118" s="16"/>
    </row>
    <row r="119" spans="1:10" ht="12.75" x14ac:dyDescent="0.2">
      <c r="A119" s="15"/>
      <c r="B119" s="15"/>
      <c r="C119" s="15"/>
      <c r="D119" s="16"/>
      <c r="E119" s="16"/>
      <c r="F119" s="16"/>
      <c r="G119" s="16"/>
      <c r="H119" s="16"/>
      <c r="I119" s="16"/>
      <c r="J119" s="16"/>
    </row>
    <row r="120" spans="1:10" ht="12.75" x14ac:dyDescent="0.2">
      <c r="A120" s="15"/>
      <c r="B120" s="15"/>
      <c r="C120" s="15"/>
      <c r="D120" s="16"/>
      <c r="E120" s="16"/>
      <c r="F120" s="16"/>
      <c r="G120" s="16"/>
      <c r="H120" s="16"/>
      <c r="I120" s="16"/>
      <c r="J120" s="16"/>
    </row>
    <row r="121" spans="1:10" ht="12.75" x14ac:dyDescent="0.2">
      <c r="A121" s="15"/>
      <c r="B121" s="15"/>
      <c r="C121" s="15"/>
      <c r="D121" s="16"/>
      <c r="E121" s="16"/>
      <c r="F121" s="16"/>
      <c r="G121" s="16"/>
      <c r="H121" s="16"/>
      <c r="I121" s="16"/>
      <c r="J121" s="16"/>
    </row>
    <row r="122" spans="1:10" ht="12.75" x14ac:dyDescent="0.2">
      <c r="A122" s="15"/>
      <c r="B122" s="15"/>
      <c r="C122" s="15"/>
      <c r="D122" s="16"/>
      <c r="E122" s="16"/>
      <c r="F122" s="16"/>
      <c r="G122" s="16"/>
      <c r="H122" s="16"/>
      <c r="I122" s="16"/>
      <c r="J122" s="16"/>
    </row>
    <row r="123" spans="1:10" ht="12.75" x14ac:dyDescent="0.2">
      <c r="A123" s="15"/>
      <c r="B123" s="15"/>
      <c r="C123" s="15"/>
      <c r="D123" s="16"/>
      <c r="E123" s="16"/>
      <c r="F123" s="16"/>
      <c r="G123" s="16"/>
      <c r="H123" s="16"/>
      <c r="I123" s="16"/>
      <c r="J123" s="16"/>
    </row>
    <row r="124" spans="1:10" ht="12.75" x14ac:dyDescent="0.2">
      <c r="A124" s="15"/>
      <c r="B124" s="15"/>
      <c r="C124" s="15"/>
      <c r="D124" s="16"/>
      <c r="E124" s="16"/>
      <c r="F124" s="16"/>
      <c r="G124" s="16"/>
      <c r="H124" s="16"/>
      <c r="I124" s="16"/>
      <c r="J124" s="16"/>
    </row>
    <row r="125" spans="1:10" ht="12.75" x14ac:dyDescent="0.2">
      <c r="A125" s="15"/>
      <c r="B125" s="15"/>
      <c r="C125" s="15"/>
      <c r="D125" s="16"/>
      <c r="E125" s="16"/>
      <c r="F125" s="16"/>
      <c r="G125" s="16"/>
      <c r="H125" s="16"/>
      <c r="I125" s="16"/>
      <c r="J125" s="16"/>
    </row>
    <row r="126" spans="1:10" ht="12.75" x14ac:dyDescent="0.2">
      <c r="A126" s="15"/>
      <c r="B126" s="15"/>
      <c r="C126" s="15"/>
      <c r="D126" s="16"/>
      <c r="E126" s="16"/>
      <c r="F126" s="16"/>
      <c r="G126" s="16"/>
      <c r="H126" s="16"/>
      <c r="I126" s="16"/>
      <c r="J126" s="16"/>
    </row>
    <row r="127" spans="1:10" ht="12.75" x14ac:dyDescent="0.2">
      <c r="A127" s="15"/>
      <c r="B127" s="15"/>
      <c r="C127" s="15"/>
      <c r="D127" s="16"/>
      <c r="E127" s="16"/>
      <c r="F127" s="16"/>
      <c r="G127" s="16"/>
      <c r="H127" s="16"/>
      <c r="I127" s="16"/>
      <c r="J127" s="16"/>
    </row>
    <row r="128" spans="1:10" ht="12.75" x14ac:dyDescent="0.2">
      <c r="A128" s="15"/>
      <c r="B128" s="15"/>
      <c r="C128" s="15"/>
      <c r="D128" s="16"/>
      <c r="E128" s="16"/>
      <c r="F128" s="16"/>
      <c r="G128" s="16"/>
      <c r="H128" s="16"/>
      <c r="I128" s="16"/>
      <c r="J128" s="16"/>
    </row>
    <row r="129" spans="1:10" ht="12.75" x14ac:dyDescent="0.2">
      <c r="A129" s="15"/>
      <c r="B129" s="15"/>
      <c r="C129" s="15"/>
      <c r="D129" s="16"/>
      <c r="E129" s="16"/>
      <c r="F129" s="16"/>
      <c r="G129" s="16"/>
      <c r="H129" s="16"/>
      <c r="I129" s="16"/>
      <c r="J129" s="16"/>
    </row>
    <row r="130" spans="1:10" ht="12.75" x14ac:dyDescent="0.2">
      <c r="A130" s="15"/>
      <c r="B130" s="15"/>
      <c r="C130" s="15"/>
      <c r="D130" s="16"/>
      <c r="E130" s="16"/>
      <c r="F130" s="16"/>
      <c r="G130" s="16"/>
      <c r="H130" s="16"/>
      <c r="I130" s="16"/>
      <c r="J130" s="16"/>
    </row>
    <row r="131" spans="1:10" ht="12.75" x14ac:dyDescent="0.2">
      <c r="A131" s="15"/>
      <c r="B131" s="15"/>
      <c r="C131" s="15"/>
      <c r="D131" s="16"/>
      <c r="E131" s="16"/>
      <c r="F131" s="16"/>
      <c r="G131" s="16"/>
      <c r="H131" s="16"/>
      <c r="I131" s="16"/>
      <c r="J131" s="16"/>
    </row>
    <row r="132" spans="1:10" ht="12.75" x14ac:dyDescent="0.2">
      <c r="A132" s="15"/>
      <c r="B132" s="15"/>
      <c r="C132" s="15"/>
      <c r="D132" s="16"/>
      <c r="E132" s="16"/>
      <c r="F132" s="16"/>
      <c r="G132" s="16"/>
      <c r="H132" s="16"/>
      <c r="I132" s="16"/>
      <c r="J132" s="16"/>
    </row>
    <row r="133" spans="1:10" ht="12.75" x14ac:dyDescent="0.2">
      <c r="A133" s="15"/>
      <c r="B133" s="15"/>
      <c r="C133" s="15"/>
      <c r="D133" s="16"/>
      <c r="E133" s="16"/>
      <c r="F133" s="16"/>
      <c r="G133" s="16"/>
      <c r="H133" s="16"/>
      <c r="I133" s="16"/>
      <c r="J133" s="16"/>
    </row>
    <row r="134" spans="1:10" ht="12.75" x14ac:dyDescent="0.2">
      <c r="A134" s="15"/>
      <c r="B134" s="15"/>
      <c r="C134" s="15"/>
      <c r="D134" s="16"/>
      <c r="E134" s="16"/>
      <c r="F134" s="16"/>
      <c r="G134" s="16"/>
      <c r="H134" s="16"/>
      <c r="I134" s="16"/>
      <c r="J134" s="16"/>
    </row>
    <row r="135" spans="1:10" ht="12.75" x14ac:dyDescent="0.2">
      <c r="A135" s="15"/>
      <c r="B135" s="15"/>
      <c r="C135" s="15"/>
      <c r="D135" s="16"/>
      <c r="E135" s="16"/>
      <c r="F135" s="16"/>
      <c r="G135" s="16"/>
      <c r="H135" s="16"/>
      <c r="I135" s="16"/>
      <c r="J135" s="16"/>
    </row>
    <row r="136" spans="1:10" ht="12.75" x14ac:dyDescent="0.2">
      <c r="A136" s="15"/>
      <c r="B136" s="15"/>
      <c r="C136" s="15"/>
      <c r="D136" s="16"/>
      <c r="E136" s="16"/>
      <c r="F136" s="16"/>
      <c r="G136" s="16"/>
      <c r="H136" s="16"/>
      <c r="I136" s="16"/>
      <c r="J136" s="16"/>
    </row>
    <row r="137" spans="1:10" ht="12.75" x14ac:dyDescent="0.2">
      <c r="A137" s="15"/>
      <c r="B137" s="15"/>
      <c r="C137" s="15"/>
      <c r="D137" s="16"/>
      <c r="E137" s="16"/>
      <c r="F137" s="16"/>
      <c r="G137" s="16"/>
      <c r="H137" s="16"/>
      <c r="I137" s="16"/>
      <c r="J137" s="16"/>
    </row>
    <row r="138" spans="1:10" ht="12.75" x14ac:dyDescent="0.2">
      <c r="A138" s="15"/>
      <c r="B138" s="15"/>
      <c r="C138" s="15"/>
      <c r="D138" s="16"/>
      <c r="E138" s="16"/>
      <c r="F138" s="16"/>
      <c r="G138" s="16"/>
      <c r="H138" s="16"/>
      <c r="I138" s="16"/>
      <c r="J138" s="16"/>
    </row>
    <row r="139" spans="1:10" ht="12.75" x14ac:dyDescent="0.2">
      <c r="A139" s="15"/>
      <c r="B139" s="15"/>
      <c r="C139" s="15"/>
      <c r="D139" s="16"/>
      <c r="E139" s="16"/>
      <c r="F139" s="16"/>
      <c r="G139" s="16"/>
      <c r="H139" s="16"/>
      <c r="I139" s="16"/>
      <c r="J139" s="16"/>
    </row>
    <row r="140" spans="1:10" ht="12.75" x14ac:dyDescent="0.2">
      <c r="A140" s="15"/>
      <c r="B140" s="15"/>
      <c r="C140" s="15"/>
      <c r="D140" s="16"/>
      <c r="E140" s="16"/>
      <c r="F140" s="16"/>
      <c r="G140" s="16"/>
      <c r="H140" s="16"/>
      <c r="I140" s="16"/>
      <c r="J140" s="16"/>
    </row>
    <row r="141" spans="1:10" ht="12.75" x14ac:dyDescent="0.2">
      <c r="A141" s="15"/>
      <c r="B141" s="15"/>
      <c r="C141" s="15"/>
      <c r="D141" s="16"/>
      <c r="E141" s="16"/>
      <c r="F141" s="16"/>
      <c r="G141" s="16"/>
      <c r="H141" s="16"/>
      <c r="I141" s="16"/>
      <c r="J141" s="16"/>
    </row>
    <row r="142" spans="1:10" ht="12.75" x14ac:dyDescent="0.2">
      <c r="A142" s="15"/>
      <c r="B142" s="15"/>
      <c r="C142" s="15"/>
      <c r="D142" s="16"/>
      <c r="E142" s="16"/>
      <c r="F142" s="16"/>
      <c r="G142" s="16"/>
      <c r="H142" s="16"/>
      <c r="I142" s="16"/>
      <c r="J142" s="16"/>
    </row>
    <row r="143" spans="1:10" ht="12.75" x14ac:dyDescent="0.2">
      <c r="A143" s="15"/>
      <c r="B143" s="15"/>
      <c r="C143" s="15"/>
      <c r="D143" s="16"/>
      <c r="E143" s="16"/>
      <c r="F143" s="16"/>
      <c r="G143" s="16"/>
      <c r="H143" s="16"/>
      <c r="I143" s="16"/>
      <c r="J143" s="16"/>
    </row>
    <row r="144" spans="1:10" ht="12.75" x14ac:dyDescent="0.2">
      <c r="A144" s="15"/>
      <c r="B144" s="15"/>
      <c r="C144" s="15"/>
      <c r="D144" s="16"/>
      <c r="E144" s="16"/>
      <c r="F144" s="16"/>
      <c r="G144" s="16"/>
      <c r="H144" s="16"/>
      <c r="I144" s="16"/>
      <c r="J144" s="16"/>
    </row>
    <row r="145" spans="1:10" ht="12.75" x14ac:dyDescent="0.2">
      <c r="A145" s="15"/>
      <c r="B145" s="15"/>
      <c r="C145" s="15"/>
      <c r="D145" s="16"/>
      <c r="E145" s="16"/>
      <c r="F145" s="16"/>
      <c r="G145" s="16"/>
      <c r="H145" s="16"/>
      <c r="I145" s="16"/>
      <c r="J145" s="16"/>
    </row>
    <row r="146" spans="1:10" ht="12.75" x14ac:dyDescent="0.2">
      <c r="A146" s="15"/>
      <c r="B146" s="15"/>
      <c r="C146" s="15"/>
      <c r="D146" s="16"/>
      <c r="E146" s="16"/>
      <c r="F146" s="16"/>
      <c r="G146" s="16"/>
      <c r="H146" s="16"/>
      <c r="I146" s="16"/>
      <c r="J146" s="16"/>
    </row>
    <row r="147" spans="1:10" ht="12.75" x14ac:dyDescent="0.2">
      <c r="A147" s="15"/>
      <c r="B147" s="15"/>
      <c r="C147" s="15"/>
      <c r="D147" s="16"/>
      <c r="E147" s="16"/>
      <c r="F147" s="16"/>
      <c r="G147" s="16"/>
      <c r="H147" s="16"/>
      <c r="I147" s="16"/>
      <c r="J147" s="16"/>
    </row>
    <row r="148" spans="1:10" ht="12.75" x14ac:dyDescent="0.2">
      <c r="A148" s="15"/>
      <c r="B148" s="15"/>
      <c r="C148" s="15"/>
      <c r="D148" s="16"/>
      <c r="E148" s="16"/>
      <c r="F148" s="16"/>
      <c r="G148" s="16"/>
      <c r="H148" s="16"/>
      <c r="I148" s="16"/>
      <c r="J148" s="16"/>
    </row>
    <row r="149" spans="1:10" ht="12.75" x14ac:dyDescent="0.2">
      <c r="A149" s="15"/>
      <c r="B149" s="15"/>
      <c r="C149" s="15"/>
      <c r="D149" s="16"/>
      <c r="E149" s="16"/>
      <c r="F149" s="16"/>
      <c r="G149" s="16"/>
      <c r="H149" s="16"/>
      <c r="I149" s="16"/>
      <c r="J149" s="16"/>
    </row>
    <row r="150" spans="1:10" ht="12.75" x14ac:dyDescent="0.2">
      <c r="A150" s="15"/>
      <c r="B150" s="15"/>
      <c r="C150" s="15"/>
      <c r="D150" s="16"/>
      <c r="E150" s="16"/>
      <c r="F150" s="16"/>
      <c r="G150" s="16"/>
      <c r="H150" s="16"/>
      <c r="I150" s="16"/>
      <c r="J150" s="16"/>
    </row>
    <row r="151" spans="1:10" ht="12.75" x14ac:dyDescent="0.2">
      <c r="A151" s="15"/>
      <c r="B151" s="15"/>
      <c r="C151" s="15"/>
      <c r="D151" s="16"/>
      <c r="E151" s="16"/>
      <c r="F151" s="16"/>
      <c r="G151" s="16"/>
      <c r="H151" s="16"/>
      <c r="I151" s="16"/>
      <c r="J151" s="16"/>
    </row>
    <row r="152" spans="1:10" ht="12.75" x14ac:dyDescent="0.2">
      <c r="A152" s="15"/>
      <c r="B152" s="15"/>
      <c r="C152" s="15"/>
      <c r="D152" s="16"/>
      <c r="E152" s="16"/>
      <c r="F152" s="16"/>
      <c r="G152" s="16"/>
      <c r="H152" s="16"/>
      <c r="I152" s="16"/>
      <c r="J152" s="16"/>
    </row>
    <row r="153" spans="1:10" ht="12.75" x14ac:dyDescent="0.2">
      <c r="A153" s="15"/>
      <c r="B153" s="15"/>
      <c r="C153" s="15"/>
      <c r="D153" s="16"/>
      <c r="E153" s="16"/>
      <c r="F153" s="16"/>
      <c r="G153" s="16"/>
      <c r="H153" s="16"/>
      <c r="I153" s="16"/>
      <c r="J153" s="16"/>
    </row>
    <row r="154" spans="1:10" ht="12.75" x14ac:dyDescent="0.2">
      <c r="A154" s="15"/>
      <c r="B154" s="15"/>
      <c r="C154" s="15"/>
      <c r="D154" s="16"/>
      <c r="E154" s="16"/>
      <c r="F154" s="16"/>
      <c r="G154" s="16"/>
      <c r="H154" s="16"/>
      <c r="I154" s="16"/>
      <c r="J154" s="16"/>
    </row>
    <row r="155" spans="1:10" ht="12.75" x14ac:dyDescent="0.2">
      <c r="A155" s="15"/>
      <c r="B155" s="15"/>
      <c r="C155" s="15"/>
      <c r="D155" s="16"/>
      <c r="E155" s="16"/>
      <c r="F155" s="16"/>
      <c r="G155" s="16"/>
      <c r="H155" s="16"/>
      <c r="I155" s="16"/>
      <c r="J155" s="16"/>
    </row>
    <row r="156" spans="1:10" ht="12.75" x14ac:dyDescent="0.2">
      <c r="A156" s="15"/>
      <c r="B156" s="15"/>
      <c r="C156" s="15"/>
      <c r="D156" s="16"/>
      <c r="E156" s="16"/>
      <c r="F156" s="16"/>
      <c r="G156" s="16"/>
      <c r="H156" s="16"/>
      <c r="I156" s="16"/>
      <c r="J156" s="16"/>
    </row>
    <row r="157" spans="1:10" ht="12.75" x14ac:dyDescent="0.2">
      <c r="A157" s="15"/>
      <c r="B157" s="15"/>
      <c r="C157" s="15"/>
      <c r="D157" s="16"/>
      <c r="E157" s="16"/>
      <c r="F157" s="16"/>
      <c r="G157" s="16"/>
      <c r="H157" s="16"/>
      <c r="I157" s="16"/>
      <c r="J157" s="16"/>
    </row>
    <row r="158" spans="1:10" ht="12.75" x14ac:dyDescent="0.2">
      <c r="A158" s="15"/>
      <c r="B158" s="15"/>
      <c r="C158" s="15"/>
      <c r="D158" s="16"/>
      <c r="E158" s="16"/>
      <c r="F158" s="16"/>
      <c r="G158" s="16"/>
      <c r="H158" s="16"/>
      <c r="I158" s="16"/>
      <c r="J158" s="16"/>
    </row>
    <row r="159" spans="1:10" ht="12.75" x14ac:dyDescent="0.2">
      <c r="A159" s="15"/>
      <c r="B159" s="15"/>
      <c r="C159" s="15"/>
      <c r="D159" s="16"/>
      <c r="E159" s="16"/>
      <c r="F159" s="16"/>
      <c r="G159" s="16"/>
      <c r="H159" s="16"/>
      <c r="I159" s="16"/>
      <c r="J159" s="16"/>
    </row>
    <row r="160" spans="1:10" ht="12.75" x14ac:dyDescent="0.2">
      <c r="A160" s="15"/>
      <c r="B160" s="15"/>
      <c r="C160" s="15"/>
      <c r="D160" s="16"/>
      <c r="E160" s="16"/>
      <c r="F160" s="16"/>
      <c r="G160" s="16"/>
      <c r="H160" s="16"/>
      <c r="I160" s="16"/>
      <c r="J160" s="16"/>
    </row>
    <row r="161" spans="1:10" ht="12.75" x14ac:dyDescent="0.2">
      <c r="A161" s="15"/>
      <c r="B161" s="15"/>
      <c r="C161" s="15"/>
      <c r="D161" s="16"/>
      <c r="E161" s="16"/>
      <c r="F161" s="16"/>
      <c r="G161" s="16"/>
      <c r="H161" s="16"/>
      <c r="I161" s="16"/>
      <c r="J161" s="16"/>
    </row>
    <row r="162" spans="1:10" ht="12.75" x14ac:dyDescent="0.2">
      <c r="A162" s="15"/>
      <c r="B162" s="15"/>
      <c r="C162" s="15"/>
      <c r="D162" s="16"/>
      <c r="E162" s="16"/>
      <c r="F162" s="16"/>
      <c r="G162" s="16"/>
      <c r="H162" s="16"/>
      <c r="I162" s="16"/>
      <c r="J162" s="16"/>
    </row>
    <row r="163" spans="1:10" ht="12.75" x14ac:dyDescent="0.2">
      <c r="A163" s="15"/>
      <c r="B163" s="15"/>
      <c r="C163" s="15"/>
      <c r="D163" s="16"/>
      <c r="E163" s="16"/>
      <c r="F163" s="16"/>
      <c r="G163" s="16"/>
      <c r="H163" s="16"/>
      <c r="I163" s="16"/>
      <c r="J163" s="16"/>
    </row>
    <row r="164" spans="1:10" ht="12.75" x14ac:dyDescent="0.2">
      <c r="A164" s="15"/>
      <c r="B164" s="15"/>
      <c r="C164" s="15"/>
      <c r="D164" s="16"/>
      <c r="E164" s="16"/>
      <c r="F164" s="16"/>
      <c r="G164" s="16"/>
      <c r="H164" s="16"/>
      <c r="I164" s="16"/>
      <c r="J164" s="16"/>
    </row>
    <row r="165" spans="1:10" ht="12.75" x14ac:dyDescent="0.2">
      <c r="A165" s="15"/>
      <c r="B165" s="15"/>
      <c r="C165" s="15"/>
      <c r="D165" s="16"/>
      <c r="E165" s="16"/>
      <c r="F165" s="16"/>
      <c r="G165" s="16"/>
      <c r="H165" s="16"/>
      <c r="I165" s="16"/>
      <c r="J165" s="16"/>
    </row>
    <row r="166" spans="1:10" ht="12.75" x14ac:dyDescent="0.2">
      <c r="A166" s="15"/>
      <c r="B166" s="15"/>
      <c r="C166" s="15"/>
      <c r="D166" s="16"/>
      <c r="E166" s="16"/>
      <c r="F166" s="16"/>
      <c r="G166" s="16"/>
      <c r="H166" s="16"/>
      <c r="I166" s="16"/>
      <c r="J166" s="16"/>
    </row>
    <row r="167" spans="1:10" ht="12.75" x14ac:dyDescent="0.2">
      <c r="A167" s="15"/>
      <c r="B167" s="15"/>
      <c r="C167" s="15"/>
      <c r="D167" s="16"/>
      <c r="E167" s="16"/>
      <c r="F167" s="16"/>
      <c r="G167" s="16"/>
      <c r="H167" s="16"/>
      <c r="I167" s="16"/>
      <c r="J167" s="16"/>
    </row>
    <row r="168" spans="1:10" ht="12.75" x14ac:dyDescent="0.2">
      <c r="A168" s="15"/>
      <c r="B168" s="15"/>
      <c r="C168" s="15"/>
      <c r="D168" s="16"/>
      <c r="E168" s="16"/>
      <c r="F168" s="16"/>
      <c r="G168" s="16"/>
      <c r="H168" s="16"/>
      <c r="I168" s="16"/>
      <c r="J168" s="16"/>
    </row>
    <row r="169" spans="1:10" ht="12.75" x14ac:dyDescent="0.2">
      <c r="A169" s="15"/>
      <c r="B169" s="15"/>
      <c r="C169" s="15"/>
      <c r="D169" s="16"/>
      <c r="E169" s="16"/>
      <c r="F169" s="16"/>
      <c r="G169" s="16"/>
      <c r="H169" s="16"/>
      <c r="I169" s="16"/>
      <c r="J169" s="16"/>
    </row>
    <row r="170" spans="1:10" ht="12.75" x14ac:dyDescent="0.2">
      <c r="A170" s="15"/>
      <c r="B170" s="15"/>
      <c r="C170" s="15"/>
      <c r="D170" s="16"/>
      <c r="E170" s="16"/>
      <c r="F170" s="16"/>
      <c r="G170" s="16"/>
      <c r="H170" s="16"/>
      <c r="I170" s="16"/>
      <c r="J170" s="16"/>
    </row>
    <row r="171" spans="1:10" ht="12.75" x14ac:dyDescent="0.2">
      <c r="A171" s="15"/>
      <c r="B171" s="15"/>
      <c r="C171" s="15"/>
      <c r="D171" s="16"/>
      <c r="E171" s="16"/>
      <c r="F171" s="16"/>
      <c r="G171" s="16"/>
      <c r="H171" s="16"/>
      <c r="I171" s="16"/>
      <c r="J171" s="16"/>
    </row>
    <row r="172" spans="1:10" ht="12.75" x14ac:dyDescent="0.2">
      <c r="A172" s="15"/>
      <c r="B172" s="15"/>
      <c r="C172" s="15"/>
      <c r="D172" s="16"/>
      <c r="E172" s="16"/>
      <c r="F172" s="16"/>
      <c r="G172" s="16"/>
      <c r="H172" s="16"/>
      <c r="I172" s="16"/>
      <c r="J172" s="16"/>
    </row>
    <row r="173" spans="1:10" ht="12.75" x14ac:dyDescent="0.2">
      <c r="A173" s="15"/>
      <c r="B173" s="15"/>
      <c r="C173" s="15"/>
      <c r="D173" s="16"/>
      <c r="E173" s="16"/>
      <c r="F173" s="16"/>
      <c r="G173" s="16"/>
      <c r="H173" s="16"/>
      <c r="I173" s="16"/>
      <c r="J173" s="16"/>
    </row>
    <row r="174" spans="1:10" ht="12.75" x14ac:dyDescent="0.2">
      <c r="A174" s="15"/>
      <c r="B174" s="15"/>
      <c r="C174" s="15"/>
      <c r="D174" s="16"/>
      <c r="E174" s="16"/>
      <c r="F174" s="16"/>
      <c r="G174" s="16"/>
      <c r="H174" s="16"/>
      <c r="I174" s="16"/>
      <c r="J174" s="16"/>
    </row>
    <row r="175" spans="1:10" ht="12.75" x14ac:dyDescent="0.2">
      <c r="A175" s="15"/>
      <c r="B175" s="15"/>
      <c r="C175" s="15"/>
      <c r="D175" s="16"/>
      <c r="E175" s="16"/>
      <c r="F175" s="16"/>
      <c r="G175" s="16"/>
      <c r="H175" s="16"/>
      <c r="I175" s="16"/>
      <c r="J175" s="16"/>
    </row>
    <row r="176" spans="1:10" ht="12.75" x14ac:dyDescent="0.2">
      <c r="A176" s="15"/>
      <c r="B176" s="15"/>
      <c r="C176" s="15"/>
      <c r="D176" s="16"/>
      <c r="E176" s="16"/>
      <c r="F176" s="16"/>
      <c r="G176" s="16"/>
      <c r="H176" s="16"/>
      <c r="I176" s="16"/>
      <c r="J176" s="16"/>
    </row>
    <row r="177" spans="1:10" ht="12.75" x14ac:dyDescent="0.2">
      <c r="A177" s="15"/>
      <c r="B177" s="15"/>
      <c r="C177" s="15"/>
      <c r="D177" s="16"/>
      <c r="E177" s="16"/>
      <c r="F177" s="16"/>
      <c r="G177" s="16"/>
      <c r="H177" s="16"/>
      <c r="I177" s="16"/>
      <c r="J177" s="16"/>
    </row>
    <row r="178" spans="1:10" ht="12.75" x14ac:dyDescent="0.2">
      <c r="A178" s="15"/>
      <c r="B178" s="15"/>
      <c r="C178" s="15"/>
      <c r="D178" s="16"/>
      <c r="E178" s="16"/>
      <c r="F178" s="16"/>
      <c r="G178" s="16"/>
      <c r="H178" s="16"/>
      <c r="I178" s="16"/>
      <c r="J178" s="16"/>
    </row>
    <row r="179" spans="1:10" ht="12.75" x14ac:dyDescent="0.2">
      <c r="A179" s="15"/>
      <c r="B179" s="15"/>
      <c r="C179" s="15"/>
      <c r="D179" s="16"/>
      <c r="E179" s="16"/>
      <c r="F179" s="16"/>
      <c r="G179" s="16"/>
      <c r="H179" s="16"/>
      <c r="I179" s="16"/>
      <c r="J179" s="16"/>
    </row>
    <row r="180" spans="1:10" ht="12.75" x14ac:dyDescent="0.2">
      <c r="A180" s="15"/>
      <c r="B180" s="15"/>
      <c r="C180" s="15"/>
      <c r="D180" s="16"/>
      <c r="E180" s="16"/>
      <c r="F180" s="16"/>
      <c r="G180" s="16"/>
      <c r="H180" s="16"/>
      <c r="I180" s="16"/>
      <c r="J180" s="16"/>
    </row>
    <row r="181" spans="1:10" ht="12.75" x14ac:dyDescent="0.2">
      <c r="A181" s="15"/>
      <c r="B181" s="15"/>
      <c r="C181" s="15"/>
      <c r="D181" s="16"/>
      <c r="E181" s="16"/>
      <c r="F181" s="16"/>
      <c r="G181" s="16"/>
      <c r="H181" s="16"/>
      <c r="I181" s="16"/>
      <c r="J181" s="16"/>
    </row>
    <row r="182" spans="1:10" ht="12.75" x14ac:dyDescent="0.2">
      <c r="A182" s="15"/>
      <c r="B182" s="15"/>
      <c r="C182" s="15"/>
      <c r="D182" s="16"/>
      <c r="E182" s="16"/>
      <c r="F182" s="16"/>
      <c r="G182" s="16"/>
      <c r="H182" s="16"/>
      <c r="I182" s="16"/>
      <c r="J182" s="16"/>
    </row>
    <row r="183" spans="1:10" ht="12.75" x14ac:dyDescent="0.2">
      <c r="A183" s="15"/>
      <c r="B183" s="15"/>
      <c r="C183" s="15"/>
      <c r="D183" s="16"/>
      <c r="E183" s="16"/>
      <c r="F183" s="16"/>
      <c r="G183" s="16"/>
      <c r="H183" s="16"/>
      <c r="I183" s="16"/>
      <c r="J183" s="16"/>
    </row>
    <row r="184" spans="1:10" ht="12.75" x14ac:dyDescent="0.2">
      <c r="A184" s="15"/>
      <c r="B184" s="15"/>
      <c r="C184" s="15"/>
      <c r="D184" s="16"/>
      <c r="E184" s="16"/>
      <c r="F184" s="16"/>
      <c r="G184" s="16"/>
      <c r="H184" s="16"/>
      <c r="I184" s="16"/>
      <c r="J184" s="16"/>
    </row>
    <row r="185" spans="1:10" ht="12.75" x14ac:dyDescent="0.2">
      <c r="A185" s="15"/>
      <c r="B185" s="15"/>
      <c r="C185" s="15"/>
      <c r="D185" s="16"/>
      <c r="E185" s="16"/>
      <c r="F185" s="16"/>
      <c r="G185" s="16"/>
      <c r="H185" s="16"/>
      <c r="I185" s="16"/>
      <c r="J185" s="16"/>
    </row>
    <row r="186" spans="1:10" ht="12.75" x14ac:dyDescent="0.2">
      <c r="A186" s="15"/>
      <c r="B186" s="15"/>
      <c r="C186" s="15"/>
      <c r="D186" s="16"/>
      <c r="E186" s="16"/>
      <c r="F186" s="16"/>
      <c r="G186" s="16"/>
      <c r="H186" s="16"/>
      <c r="I186" s="16"/>
      <c r="J186" s="16"/>
    </row>
    <row r="187" spans="1:10" ht="12.75" x14ac:dyDescent="0.2">
      <c r="A187" s="15"/>
      <c r="B187" s="15"/>
      <c r="C187" s="15"/>
      <c r="D187" s="16"/>
      <c r="E187" s="16"/>
      <c r="F187" s="16"/>
      <c r="G187" s="16"/>
      <c r="H187" s="16"/>
      <c r="I187" s="16"/>
      <c r="J187" s="16"/>
    </row>
    <row r="188" spans="1:10" ht="12.75" x14ac:dyDescent="0.2">
      <c r="A188" s="15"/>
      <c r="B188" s="15"/>
      <c r="C188" s="15"/>
      <c r="D188" s="16"/>
      <c r="E188" s="16"/>
      <c r="F188" s="16"/>
      <c r="G188" s="16"/>
      <c r="H188" s="16"/>
      <c r="I188" s="16"/>
      <c r="J188" s="16"/>
    </row>
    <row r="189" spans="1:10" ht="12.75" x14ac:dyDescent="0.2">
      <c r="A189" s="15"/>
      <c r="B189" s="15"/>
      <c r="C189" s="15"/>
      <c r="D189" s="16"/>
      <c r="E189" s="16"/>
      <c r="F189" s="16"/>
      <c r="G189" s="16"/>
      <c r="H189" s="16"/>
      <c r="I189" s="16"/>
      <c r="J189" s="16"/>
    </row>
    <row r="190" spans="1:10" ht="12.75" x14ac:dyDescent="0.2">
      <c r="A190" s="15"/>
      <c r="B190" s="15"/>
      <c r="C190" s="15"/>
      <c r="D190" s="16"/>
      <c r="E190" s="16"/>
      <c r="F190" s="16"/>
      <c r="G190" s="16"/>
      <c r="H190" s="16"/>
      <c r="I190" s="16"/>
      <c r="J190" s="16"/>
    </row>
    <row r="191" spans="1:10" ht="12.75" x14ac:dyDescent="0.2">
      <c r="A191" s="15"/>
      <c r="B191" s="15"/>
      <c r="C191" s="15"/>
      <c r="D191" s="16"/>
      <c r="E191" s="16"/>
      <c r="F191" s="16"/>
      <c r="G191" s="16"/>
      <c r="H191" s="16"/>
      <c r="I191" s="16"/>
      <c r="J191" s="16"/>
    </row>
    <row r="192" spans="1:10" ht="12.75" x14ac:dyDescent="0.2">
      <c r="A192" s="15"/>
      <c r="B192" s="15"/>
      <c r="C192" s="15"/>
      <c r="D192" s="16"/>
      <c r="E192" s="16"/>
      <c r="F192" s="16"/>
      <c r="G192" s="16"/>
      <c r="H192" s="16"/>
      <c r="I192" s="16"/>
      <c r="J192" s="16"/>
    </row>
    <row r="193" spans="1:10" ht="12.75" x14ac:dyDescent="0.2">
      <c r="A193" s="15"/>
      <c r="B193" s="15"/>
      <c r="C193" s="15"/>
      <c r="D193" s="16"/>
      <c r="E193" s="16"/>
      <c r="F193" s="16"/>
      <c r="G193" s="16"/>
      <c r="H193" s="16"/>
      <c r="I193" s="16"/>
      <c r="J193" s="16"/>
    </row>
    <row r="194" spans="1:10" ht="12.75" x14ac:dyDescent="0.2">
      <c r="A194" s="15"/>
      <c r="B194" s="15"/>
      <c r="C194" s="15"/>
      <c r="D194" s="16"/>
      <c r="E194" s="16"/>
      <c r="F194" s="16"/>
      <c r="G194" s="16"/>
      <c r="H194" s="16"/>
      <c r="I194" s="16"/>
      <c r="J194" s="16"/>
    </row>
    <row r="195" spans="1:10" ht="12.75" x14ac:dyDescent="0.2">
      <c r="A195" s="15"/>
      <c r="B195" s="15"/>
      <c r="C195" s="15"/>
      <c r="D195" s="16"/>
      <c r="E195" s="16"/>
      <c r="F195" s="16"/>
      <c r="G195" s="16"/>
      <c r="H195" s="16"/>
      <c r="I195" s="16"/>
      <c r="J195" s="16"/>
    </row>
    <row r="196" spans="1:10" ht="12.75" x14ac:dyDescent="0.2">
      <c r="A196" s="15"/>
      <c r="B196" s="15"/>
      <c r="C196" s="15"/>
      <c r="D196" s="16"/>
      <c r="E196" s="16"/>
      <c r="F196" s="16"/>
      <c r="G196" s="16"/>
      <c r="H196" s="16"/>
      <c r="I196" s="16"/>
      <c r="J196" s="16"/>
    </row>
    <row r="197" spans="1:10" ht="12.75" x14ac:dyDescent="0.2">
      <c r="A197" s="15"/>
      <c r="B197" s="15"/>
      <c r="C197" s="15"/>
      <c r="D197" s="16"/>
      <c r="E197" s="16"/>
      <c r="F197" s="16"/>
      <c r="G197" s="16"/>
      <c r="H197" s="16"/>
      <c r="I197" s="16"/>
      <c r="J197" s="16"/>
    </row>
    <row r="198" spans="1:10" ht="12.75" x14ac:dyDescent="0.2">
      <c r="A198" s="15"/>
      <c r="B198" s="15"/>
      <c r="C198" s="15"/>
      <c r="D198" s="16"/>
      <c r="E198" s="16"/>
      <c r="F198" s="16"/>
      <c r="G198" s="16"/>
      <c r="H198" s="16"/>
      <c r="I198" s="16"/>
      <c r="J198" s="16"/>
    </row>
    <row r="199" spans="1:10" ht="12.75" x14ac:dyDescent="0.2">
      <c r="A199" s="15"/>
      <c r="B199" s="15"/>
      <c r="C199" s="15"/>
      <c r="D199" s="16"/>
      <c r="E199" s="16"/>
      <c r="F199" s="16"/>
      <c r="G199" s="16"/>
      <c r="H199" s="16"/>
      <c r="I199" s="16"/>
      <c r="J199" s="16"/>
    </row>
    <row r="200" spans="1:10" ht="12.75" x14ac:dyDescent="0.2">
      <c r="A200" s="15"/>
      <c r="B200" s="15"/>
      <c r="C200" s="15"/>
      <c r="D200" s="16"/>
      <c r="E200" s="16"/>
      <c r="F200" s="16"/>
      <c r="G200" s="16"/>
      <c r="H200" s="16"/>
      <c r="I200" s="16"/>
      <c r="J200" s="16"/>
    </row>
    <row r="201" spans="1:10" ht="12.75" x14ac:dyDescent="0.2">
      <c r="A201" s="15"/>
      <c r="B201" s="15"/>
      <c r="C201" s="15"/>
      <c r="D201" s="16"/>
      <c r="E201" s="16"/>
      <c r="F201" s="16"/>
      <c r="G201" s="16"/>
      <c r="H201" s="16"/>
      <c r="I201" s="16"/>
      <c r="J201" s="16"/>
    </row>
    <row r="202" spans="1:10" ht="12.75" x14ac:dyDescent="0.2">
      <c r="A202" s="26"/>
      <c r="B202" s="26"/>
      <c r="C202" s="26"/>
      <c r="D202" s="16"/>
      <c r="E202" s="16"/>
      <c r="F202" s="16"/>
      <c r="G202" s="16"/>
      <c r="H202" s="16"/>
      <c r="I202" s="16"/>
      <c r="J202" s="16"/>
    </row>
    <row r="203" spans="1:10" ht="12.75" x14ac:dyDescent="0.2">
      <c r="A203" s="26"/>
      <c r="B203" s="26"/>
      <c r="C203" s="26"/>
      <c r="D203" s="16"/>
      <c r="E203" s="16"/>
      <c r="F203" s="16"/>
      <c r="G203" s="16"/>
      <c r="H203" s="16"/>
      <c r="I203" s="16"/>
      <c r="J203" s="16"/>
    </row>
    <row r="204" spans="1:10" ht="12.75" x14ac:dyDescent="0.2">
      <c r="A204" s="26"/>
      <c r="B204" s="26"/>
      <c r="C204" s="26"/>
      <c r="D204" s="16"/>
      <c r="E204" s="16"/>
      <c r="F204" s="16"/>
      <c r="G204" s="16"/>
      <c r="H204" s="16"/>
      <c r="I204" s="16"/>
      <c r="J204" s="16"/>
    </row>
    <row r="205" spans="1:10" ht="12.75" x14ac:dyDescent="0.2">
      <c r="A205" s="26"/>
      <c r="B205" s="26"/>
      <c r="C205" s="26"/>
      <c r="D205" s="16"/>
      <c r="E205" s="16"/>
      <c r="F205" s="16"/>
      <c r="G205" s="16"/>
      <c r="H205" s="16"/>
      <c r="I205" s="16"/>
      <c r="J205" s="16"/>
    </row>
    <row r="206" spans="1:10" ht="12.75" x14ac:dyDescent="0.2">
      <c r="A206" s="26"/>
      <c r="B206" s="26"/>
      <c r="C206" s="26"/>
      <c r="D206" s="16"/>
      <c r="E206" s="16"/>
      <c r="F206" s="16"/>
      <c r="G206" s="16"/>
      <c r="H206" s="16"/>
      <c r="I206" s="16"/>
      <c r="J206" s="16"/>
    </row>
    <row r="207" spans="1:10" ht="12.75" x14ac:dyDescent="0.2">
      <c r="A207" s="26"/>
      <c r="B207" s="26"/>
      <c r="C207" s="26"/>
      <c r="D207" s="16"/>
      <c r="E207" s="16"/>
      <c r="F207" s="16"/>
      <c r="G207" s="16"/>
      <c r="H207" s="16"/>
      <c r="I207" s="16"/>
      <c r="J207" s="16"/>
    </row>
    <row r="208" spans="1:10" ht="12.75" x14ac:dyDescent="0.2">
      <c r="A208" s="26"/>
      <c r="B208" s="26"/>
      <c r="C208" s="26"/>
      <c r="D208" s="16"/>
      <c r="E208" s="16"/>
      <c r="F208" s="16"/>
      <c r="G208" s="16"/>
      <c r="H208" s="16"/>
      <c r="I208" s="16"/>
      <c r="J208" s="16"/>
    </row>
    <row r="209" spans="1:10" ht="12.75" x14ac:dyDescent="0.2">
      <c r="A209" s="26"/>
      <c r="B209" s="26"/>
      <c r="C209" s="26"/>
      <c r="D209" s="16"/>
      <c r="E209" s="16"/>
      <c r="F209" s="16"/>
      <c r="G209" s="16"/>
      <c r="H209" s="16"/>
      <c r="I209" s="16"/>
      <c r="J209" s="16"/>
    </row>
    <row r="210" spans="1:10" ht="12.75" x14ac:dyDescent="0.2">
      <c r="A210" s="26"/>
      <c r="B210" s="26"/>
      <c r="C210" s="26"/>
      <c r="D210" s="16"/>
      <c r="E210" s="16"/>
      <c r="F210" s="16"/>
      <c r="G210" s="16"/>
      <c r="H210" s="16"/>
      <c r="I210" s="16"/>
      <c r="J210" s="16"/>
    </row>
    <row r="211" spans="1:10" ht="12.75" x14ac:dyDescent="0.2">
      <c r="A211" s="26"/>
      <c r="B211" s="26"/>
      <c r="C211" s="26"/>
      <c r="D211" s="16"/>
      <c r="E211" s="16"/>
      <c r="F211" s="16"/>
      <c r="G211" s="16"/>
      <c r="H211" s="16"/>
      <c r="I211" s="16"/>
      <c r="J211" s="16"/>
    </row>
    <row r="212" spans="1:10" ht="12.75" x14ac:dyDescent="0.2">
      <c r="A212" s="26"/>
      <c r="B212" s="26"/>
      <c r="C212" s="26"/>
      <c r="D212" s="16"/>
      <c r="E212" s="16"/>
      <c r="F212" s="16"/>
      <c r="G212" s="16"/>
      <c r="H212" s="16"/>
      <c r="I212" s="16"/>
      <c r="J212" s="16"/>
    </row>
    <row r="213" spans="1:10" ht="12.75" x14ac:dyDescent="0.2">
      <c r="A213" s="26"/>
      <c r="B213" s="26"/>
      <c r="C213" s="26"/>
      <c r="D213" s="16"/>
      <c r="E213" s="16"/>
      <c r="F213" s="16"/>
      <c r="G213" s="16"/>
      <c r="H213" s="16"/>
      <c r="I213" s="16"/>
      <c r="J213" s="16"/>
    </row>
    <row r="214" spans="1:10" ht="12.75" x14ac:dyDescent="0.2">
      <c r="A214" s="26"/>
      <c r="B214" s="26"/>
      <c r="C214" s="26"/>
      <c r="D214" s="16"/>
      <c r="E214" s="16"/>
      <c r="F214" s="16"/>
      <c r="G214" s="16"/>
      <c r="H214" s="16"/>
      <c r="I214" s="16"/>
      <c r="J214" s="16"/>
    </row>
    <row r="215" spans="1:10" ht="12.75" x14ac:dyDescent="0.2">
      <c r="A215" s="26"/>
      <c r="B215" s="26"/>
      <c r="C215" s="26"/>
      <c r="D215" s="16"/>
      <c r="E215" s="16"/>
      <c r="F215" s="16"/>
      <c r="G215" s="16"/>
      <c r="H215" s="16"/>
      <c r="I215" s="16"/>
      <c r="J215" s="16"/>
    </row>
    <row r="216" spans="1:10" ht="12.75" x14ac:dyDescent="0.2">
      <c r="A216" s="26"/>
      <c r="B216" s="26"/>
      <c r="C216" s="26"/>
      <c r="D216" s="16"/>
      <c r="E216" s="16"/>
      <c r="F216" s="16"/>
      <c r="G216" s="16"/>
      <c r="H216" s="16"/>
      <c r="I216" s="16"/>
      <c r="J216" s="16"/>
    </row>
    <row r="217" spans="1:10" ht="12.75" x14ac:dyDescent="0.2">
      <c r="A217" s="26"/>
      <c r="B217" s="26"/>
      <c r="C217" s="26"/>
      <c r="D217" s="16"/>
      <c r="E217" s="16"/>
      <c r="F217" s="16"/>
      <c r="G217" s="16"/>
      <c r="H217" s="16"/>
      <c r="I217" s="16"/>
      <c r="J217" s="16"/>
    </row>
    <row r="218" spans="1:10" ht="12.75" x14ac:dyDescent="0.2">
      <c r="A218" s="26"/>
      <c r="B218" s="26"/>
      <c r="C218" s="26"/>
      <c r="D218" s="16"/>
      <c r="E218" s="16"/>
      <c r="F218" s="16"/>
      <c r="G218" s="16"/>
      <c r="H218" s="16"/>
      <c r="I218" s="16"/>
      <c r="J218" s="16"/>
    </row>
    <row r="219" spans="1:10" ht="12.75" x14ac:dyDescent="0.2">
      <c r="A219" s="26"/>
      <c r="B219" s="26"/>
      <c r="C219" s="26"/>
      <c r="D219" s="16"/>
      <c r="E219" s="16"/>
      <c r="F219" s="16"/>
      <c r="G219" s="16"/>
      <c r="H219" s="16"/>
      <c r="I219" s="16"/>
      <c r="J219" s="16"/>
    </row>
    <row r="220" spans="1:10" ht="12.75" x14ac:dyDescent="0.2">
      <c r="A220" s="26"/>
      <c r="B220" s="26"/>
      <c r="C220" s="26"/>
      <c r="D220" s="16"/>
      <c r="E220" s="16"/>
      <c r="F220" s="16"/>
      <c r="G220" s="16"/>
      <c r="H220" s="16"/>
      <c r="I220" s="16"/>
      <c r="J220" s="16"/>
    </row>
    <row r="221" spans="1:10" ht="12.75" x14ac:dyDescent="0.2">
      <c r="A221" s="26"/>
      <c r="B221" s="26"/>
      <c r="C221" s="26"/>
      <c r="D221" s="16"/>
      <c r="E221" s="16"/>
      <c r="F221" s="16"/>
      <c r="G221" s="16"/>
      <c r="H221" s="16"/>
      <c r="I221" s="16"/>
      <c r="J221" s="16"/>
    </row>
    <row r="222" spans="1:10" ht="12.75" x14ac:dyDescent="0.2">
      <c r="A222" s="26"/>
      <c r="B222" s="26"/>
      <c r="C222" s="26"/>
      <c r="D222" s="16"/>
      <c r="E222" s="16"/>
      <c r="F222" s="16"/>
      <c r="G222" s="16"/>
      <c r="H222" s="16"/>
      <c r="I222" s="16"/>
      <c r="J222" s="16"/>
    </row>
    <row r="223" spans="1:10" ht="12.75" x14ac:dyDescent="0.2">
      <c r="A223" s="26"/>
      <c r="B223" s="26"/>
      <c r="C223" s="26"/>
      <c r="D223" s="16"/>
      <c r="E223" s="16"/>
      <c r="F223" s="16"/>
      <c r="G223" s="16"/>
      <c r="H223" s="16"/>
      <c r="I223" s="16"/>
      <c r="J223" s="16"/>
    </row>
    <row r="224" spans="1:10" ht="12.75" x14ac:dyDescent="0.2">
      <c r="A224" s="26"/>
      <c r="B224" s="26"/>
      <c r="C224" s="26"/>
      <c r="D224" s="16"/>
      <c r="E224" s="16"/>
      <c r="F224" s="16"/>
      <c r="G224" s="16"/>
      <c r="H224" s="16"/>
      <c r="I224" s="16"/>
      <c r="J224" s="16"/>
    </row>
    <row r="225" spans="1:10" ht="12.75" x14ac:dyDescent="0.2">
      <c r="A225" s="26"/>
      <c r="B225" s="26"/>
      <c r="C225" s="26"/>
      <c r="D225" s="16"/>
      <c r="E225" s="16"/>
      <c r="F225" s="16"/>
      <c r="G225" s="16"/>
      <c r="H225" s="16"/>
      <c r="I225" s="16"/>
      <c r="J225" s="16"/>
    </row>
    <row r="226" spans="1:10" ht="12.75" x14ac:dyDescent="0.2">
      <c r="A226" s="26"/>
      <c r="B226" s="26"/>
      <c r="C226" s="26"/>
      <c r="D226" s="16"/>
      <c r="E226" s="16"/>
      <c r="F226" s="16"/>
      <c r="G226" s="16"/>
      <c r="H226" s="16"/>
      <c r="I226" s="16"/>
      <c r="J226" s="16"/>
    </row>
    <row r="227" spans="1:10" ht="12.75" x14ac:dyDescent="0.2">
      <c r="A227" s="26"/>
      <c r="B227" s="26"/>
      <c r="C227" s="26"/>
      <c r="D227" s="16"/>
      <c r="E227" s="16"/>
      <c r="F227" s="16"/>
      <c r="G227" s="16"/>
      <c r="H227" s="16"/>
      <c r="I227" s="16"/>
      <c r="J227" s="16"/>
    </row>
    <row r="228" spans="1:10" ht="12.75" x14ac:dyDescent="0.2">
      <c r="A228" s="26"/>
      <c r="B228" s="26"/>
      <c r="C228" s="26"/>
      <c r="D228" s="16"/>
      <c r="E228" s="16"/>
      <c r="F228" s="16"/>
      <c r="G228" s="16"/>
      <c r="H228" s="16"/>
      <c r="I228" s="16"/>
      <c r="J228" s="16"/>
    </row>
    <row r="229" spans="1:10" ht="12.75" x14ac:dyDescent="0.2">
      <c r="A229" s="26"/>
      <c r="B229" s="26"/>
      <c r="C229" s="26"/>
      <c r="D229" s="16"/>
      <c r="E229" s="16"/>
      <c r="F229" s="16"/>
      <c r="G229" s="16"/>
      <c r="H229" s="16"/>
      <c r="I229" s="16"/>
      <c r="J229" s="16"/>
    </row>
    <row r="230" spans="1:10" ht="12.75" x14ac:dyDescent="0.2">
      <c r="A230" s="26"/>
      <c r="B230" s="26"/>
      <c r="C230" s="26"/>
      <c r="D230" s="16"/>
      <c r="E230" s="16"/>
      <c r="F230" s="16"/>
      <c r="G230" s="16"/>
      <c r="H230" s="16"/>
      <c r="I230" s="16"/>
      <c r="J230" s="16"/>
    </row>
    <row r="231" spans="1:10" ht="12.75" x14ac:dyDescent="0.2">
      <c r="A231" s="26"/>
      <c r="B231" s="26"/>
      <c r="C231" s="26"/>
      <c r="D231" s="16"/>
      <c r="E231" s="16"/>
      <c r="F231" s="16"/>
      <c r="G231" s="16"/>
      <c r="H231" s="16"/>
      <c r="I231" s="16"/>
      <c r="J231" s="16"/>
    </row>
    <row r="232" spans="1:10" ht="12.75" x14ac:dyDescent="0.2">
      <c r="A232" s="26"/>
      <c r="B232" s="26"/>
      <c r="C232" s="26"/>
      <c r="D232" s="16"/>
      <c r="E232" s="16"/>
      <c r="F232" s="16"/>
      <c r="G232" s="16"/>
      <c r="H232" s="16"/>
      <c r="I232" s="16"/>
      <c r="J232" s="16"/>
    </row>
    <row r="233" spans="1:10" ht="12.75" x14ac:dyDescent="0.2">
      <c r="A233" s="26"/>
      <c r="B233" s="26"/>
      <c r="C233" s="26"/>
      <c r="D233" s="16"/>
      <c r="E233" s="16"/>
      <c r="F233" s="16"/>
      <c r="G233" s="16"/>
      <c r="H233" s="16"/>
      <c r="I233" s="16"/>
      <c r="J233" s="16"/>
    </row>
    <row r="234" spans="1:10" ht="12.75" x14ac:dyDescent="0.2">
      <c r="A234" s="26"/>
      <c r="B234" s="26"/>
      <c r="C234" s="26"/>
      <c r="D234" s="16"/>
      <c r="E234" s="16"/>
      <c r="F234" s="16"/>
      <c r="G234" s="16"/>
      <c r="H234" s="16"/>
      <c r="I234" s="16"/>
      <c r="J234" s="16"/>
    </row>
    <row r="235" spans="1:10" ht="12.75" x14ac:dyDescent="0.2">
      <c r="A235" s="26"/>
      <c r="B235" s="26"/>
      <c r="C235" s="26"/>
      <c r="D235" s="16"/>
      <c r="E235" s="16"/>
      <c r="F235" s="16"/>
      <c r="G235" s="16"/>
      <c r="H235" s="16"/>
      <c r="I235" s="16"/>
      <c r="J235" s="16"/>
    </row>
    <row r="236" spans="1:10" ht="12.75" x14ac:dyDescent="0.2">
      <c r="A236" s="26"/>
      <c r="B236" s="26"/>
      <c r="C236" s="26"/>
      <c r="D236" s="16"/>
      <c r="E236" s="16"/>
      <c r="F236" s="16"/>
      <c r="G236" s="16"/>
      <c r="H236" s="16"/>
      <c r="I236" s="16"/>
      <c r="J236" s="16"/>
    </row>
    <row r="237" spans="1:10" ht="12.75" x14ac:dyDescent="0.2">
      <c r="A237" s="26"/>
      <c r="B237" s="26"/>
      <c r="C237" s="26"/>
      <c r="D237" s="16"/>
      <c r="E237" s="16"/>
      <c r="F237" s="16"/>
      <c r="G237" s="16"/>
      <c r="H237" s="16"/>
      <c r="I237" s="16"/>
      <c r="J237" s="16"/>
    </row>
    <row r="238" spans="1:10" ht="12.75" x14ac:dyDescent="0.2">
      <c r="A238" s="26"/>
      <c r="B238" s="26"/>
      <c r="C238" s="26"/>
      <c r="D238" s="16"/>
      <c r="E238" s="16"/>
      <c r="F238" s="16"/>
      <c r="G238" s="16"/>
      <c r="H238" s="16"/>
      <c r="I238" s="16"/>
      <c r="J238" s="16"/>
    </row>
    <row r="239" spans="1:10" ht="12.75" x14ac:dyDescent="0.2">
      <c r="A239" s="26"/>
      <c r="B239" s="26"/>
      <c r="C239" s="26"/>
      <c r="D239" s="16"/>
      <c r="E239" s="16"/>
      <c r="F239" s="16"/>
      <c r="G239" s="16"/>
      <c r="H239" s="16"/>
      <c r="I239" s="16"/>
      <c r="J239" s="16"/>
    </row>
    <row r="240" spans="1:10" ht="12.75" x14ac:dyDescent="0.2">
      <c r="A240" s="26"/>
      <c r="B240" s="26"/>
      <c r="C240" s="26"/>
      <c r="D240" s="16"/>
      <c r="E240" s="16"/>
      <c r="F240" s="16"/>
      <c r="G240" s="16"/>
      <c r="H240" s="16"/>
      <c r="I240" s="16"/>
      <c r="J240" s="16"/>
    </row>
    <row r="241" spans="1:10" ht="12.75" x14ac:dyDescent="0.2">
      <c r="A241" s="26"/>
      <c r="B241" s="26"/>
      <c r="C241" s="26"/>
      <c r="D241" s="16"/>
      <c r="E241" s="16"/>
      <c r="F241" s="16"/>
      <c r="G241" s="16"/>
      <c r="H241" s="16"/>
      <c r="I241" s="16"/>
      <c r="J241" s="16"/>
    </row>
    <row r="242" spans="1:10" ht="12.75" x14ac:dyDescent="0.2">
      <c r="A242" s="26"/>
      <c r="B242" s="26"/>
      <c r="C242" s="26"/>
      <c r="D242" s="16"/>
      <c r="E242" s="16"/>
      <c r="F242" s="16"/>
      <c r="G242" s="16"/>
      <c r="H242" s="16"/>
      <c r="I242" s="16"/>
      <c r="J242" s="16"/>
    </row>
    <row r="243" spans="1:10" ht="12.75" x14ac:dyDescent="0.2">
      <c r="A243" s="26"/>
      <c r="B243" s="26"/>
      <c r="C243" s="26"/>
      <c r="D243" s="16"/>
      <c r="E243" s="16"/>
      <c r="F243" s="16"/>
      <c r="G243" s="16"/>
      <c r="H243" s="16"/>
      <c r="I243" s="16"/>
      <c r="J243" s="16"/>
    </row>
    <row r="244" spans="1:10" ht="12.75" x14ac:dyDescent="0.2">
      <c r="A244" s="26"/>
      <c r="B244" s="26"/>
      <c r="C244" s="26"/>
      <c r="D244" s="16"/>
      <c r="E244" s="16"/>
      <c r="F244" s="16"/>
      <c r="G244" s="16"/>
      <c r="H244" s="16"/>
      <c r="I244" s="16"/>
      <c r="J244" s="16"/>
    </row>
    <row r="245" spans="1:10" ht="12.75" x14ac:dyDescent="0.2">
      <c r="A245" s="26"/>
      <c r="B245" s="26"/>
      <c r="C245" s="26"/>
      <c r="D245" s="16"/>
      <c r="E245" s="16"/>
      <c r="F245" s="16"/>
      <c r="G245" s="16"/>
      <c r="H245" s="16"/>
      <c r="I245" s="16"/>
      <c r="J245" s="16"/>
    </row>
    <row r="246" spans="1:10" ht="12.75" x14ac:dyDescent="0.2">
      <c r="A246" s="26"/>
      <c r="B246" s="26"/>
      <c r="C246" s="26"/>
      <c r="D246" s="16"/>
      <c r="E246" s="16"/>
      <c r="F246" s="16"/>
      <c r="G246" s="16"/>
      <c r="H246" s="16"/>
      <c r="I246" s="16"/>
      <c r="J246" s="16"/>
    </row>
    <row r="247" spans="1:10" ht="12.75" x14ac:dyDescent="0.2">
      <c r="A247" s="26"/>
      <c r="B247" s="26"/>
      <c r="C247" s="26"/>
      <c r="D247" s="16"/>
      <c r="E247" s="16"/>
      <c r="F247" s="16"/>
      <c r="G247" s="16"/>
      <c r="H247" s="16"/>
      <c r="I247" s="16"/>
      <c r="J247" s="16"/>
    </row>
    <row r="248" spans="1:10" ht="12.75" x14ac:dyDescent="0.2">
      <c r="A248" s="26"/>
      <c r="B248" s="26"/>
      <c r="C248" s="26"/>
      <c r="D248" s="16"/>
      <c r="E248" s="16"/>
      <c r="F248" s="16"/>
      <c r="G248" s="16"/>
      <c r="H248" s="16"/>
      <c r="I248" s="16"/>
      <c r="J248" s="16"/>
    </row>
    <row r="249" spans="1:10" ht="12.75" x14ac:dyDescent="0.2">
      <c r="A249" s="26"/>
      <c r="B249" s="26"/>
      <c r="C249" s="26"/>
      <c r="D249" s="16"/>
      <c r="E249" s="16"/>
      <c r="F249" s="16"/>
      <c r="G249" s="16"/>
      <c r="H249" s="16"/>
      <c r="I249" s="16"/>
      <c r="J249" s="16"/>
    </row>
    <row r="250" spans="1:10" ht="12.75" x14ac:dyDescent="0.2">
      <c r="A250" s="26"/>
      <c r="B250" s="26"/>
      <c r="C250" s="26"/>
      <c r="D250" s="16"/>
      <c r="E250" s="16"/>
      <c r="F250" s="16"/>
      <c r="G250" s="16"/>
      <c r="H250" s="16"/>
      <c r="I250" s="16"/>
      <c r="J250" s="16"/>
    </row>
    <row r="251" spans="1:10" ht="12.75" x14ac:dyDescent="0.2">
      <c r="A251" s="26"/>
      <c r="B251" s="26"/>
      <c r="C251" s="26"/>
      <c r="D251" s="16"/>
      <c r="E251" s="16"/>
      <c r="F251" s="16"/>
      <c r="G251" s="16"/>
      <c r="H251" s="16"/>
      <c r="I251" s="16"/>
      <c r="J251" s="16"/>
    </row>
    <row r="252" spans="1:10" ht="12.75" x14ac:dyDescent="0.2">
      <c r="A252" s="26"/>
      <c r="B252" s="26"/>
      <c r="C252" s="26"/>
      <c r="D252" s="16"/>
      <c r="E252" s="16"/>
      <c r="F252" s="16"/>
      <c r="G252" s="16"/>
      <c r="H252" s="16"/>
      <c r="I252" s="16"/>
      <c r="J252" s="16"/>
    </row>
    <row r="253" spans="1:10" ht="12.75" x14ac:dyDescent="0.2">
      <c r="A253" s="26"/>
      <c r="B253" s="26"/>
      <c r="C253" s="26"/>
      <c r="D253" s="16"/>
      <c r="E253" s="16"/>
      <c r="F253" s="16"/>
      <c r="G253" s="16"/>
      <c r="H253" s="16"/>
      <c r="I253" s="16"/>
      <c r="J253" s="16"/>
    </row>
    <row r="254" spans="1:10" ht="12.75" x14ac:dyDescent="0.2">
      <c r="A254" s="26"/>
      <c r="B254" s="26"/>
      <c r="C254" s="26"/>
      <c r="D254" s="16"/>
      <c r="E254" s="16"/>
      <c r="F254" s="16"/>
      <c r="G254" s="16"/>
      <c r="H254" s="16"/>
      <c r="I254" s="16"/>
      <c r="J254" s="16"/>
    </row>
    <row r="255" spans="1:10" ht="12.75" x14ac:dyDescent="0.2">
      <c r="A255" s="26"/>
      <c r="B255" s="26"/>
      <c r="C255" s="26"/>
      <c r="D255" s="16"/>
      <c r="E255" s="16"/>
      <c r="F255" s="16"/>
      <c r="G255" s="16"/>
      <c r="H255" s="16"/>
      <c r="I255" s="16"/>
      <c r="J255" s="16"/>
    </row>
    <row r="256" spans="1:10" ht="12.75" x14ac:dyDescent="0.2">
      <c r="A256" s="26"/>
      <c r="B256" s="26"/>
      <c r="C256" s="26"/>
      <c r="D256" s="16"/>
      <c r="E256" s="16"/>
      <c r="F256" s="16"/>
      <c r="G256" s="16"/>
      <c r="H256" s="16"/>
      <c r="I256" s="16"/>
      <c r="J256" s="16"/>
    </row>
    <row r="257" spans="1:10" ht="12.75" x14ac:dyDescent="0.2">
      <c r="A257" s="26"/>
      <c r="B257" s="26"/>
      <c r="C257" s="26"/>
      <c r="D257" s="16"/>
      <c r="E257" s="16"/>
      <c r="F257" s="16"/>
      <c r="G257" s="16"/>
      <c r="H257" s="16"/>
      <c r="I257" s="16"/>
      <c r="J257" s="16"/>
    </row>
    <row r="258" spans="1:10" ht="12.75" x14ac:dyDescent="0.2">
      <c r="A258" s="26"/>
      <c r="B258" s="26"/>
      <c r="C258" s="26"/>
      <c r="D258" s="16"/>
      <c r="E258" s="16"/>
      <c r="F258" s="16"/>
      <c r="G258" s="16"/>
      <c r="H258" s="16"/>
      <c r="I258" s="16"/>
      <c r="J258" s="16"/>
    </row>
    <row r="259" spans="1:10" ht="12.75" x14ac:dyDescent="0.2">
      <c r="A259" s="26"/>
      <c r="B259" s="26"/>
      <c r="C259" s="26"/>
      <c r="D259" s="16"/>
      <c r="E259" s="16"/>
      <c r="F259" s="16"/>
      <c r="G259" s="16"/>
      <c r="H259" s="16"/>
      <c r="I259" s="16"/>
      <c r="J259" s="16"/>
    </row>
    <row r="260" spans="1:10" ht="12.75" x14ac:dyDescent="0.2">
      <c r="A260" s="26"/>
      <c r="B260" s="26"/>
      <c r="C260" s="26"/>
      <c r="D260" s="16"/>
      <c r="E260" s="16"/>
      <c r="F260" s="16"/>
      <c r="G260" s="16"/>
      <c r="H260" s="16"/>
      <c r="I260" s="16"/>
      <c r="J260" s="16"/>
    </row>
    <row r="261" spans="1:10" ht="12.75" x14ac:dyDescent="0.2">
      <c r="A261" s="26"/>
      <c r="B261" s="26"/>
      <c r="C261" s="26"/>
      <c r="D261" s="16"/>
      <c r="E261" s="16"/>
      <c r="F261" s="16"/>
      <c r="G261" s="16"/>
      <c r="H261" s="16"/>
      <c r="I261" s="16"/>
      <c r="J261" s="16"/>
    </row>
    <row r="262" spans="1:10" ht="12.75" x14ac:dyDescent="0.2">
      <c r="A262" s="26"/>
      <c r="B262" s="26"/>
      <c r="C262" s="26"/>
      <c r="D262" s="16"/>
      <c r="E262" s="16"/>
      <c r="F262" s="16"/>
      <c r="G262" s="16"/>
      <c r="H262" s="16"/>
      <c r="I262" s="16"/>
      <c r="J262" s="16"/>
    </row>
    <row r="263" spans="1:10" ht="12.75" x14ac:dyDescent="0.2">
      <c r="A263" s="26"/>
      <c r="B263" s="26"/>
      <c r="C263" s="26"/>
      <c r="D263" s="16"/>
      <c r="E263" s="16"/>
      <c r="F263" s="16"/>
      <c r="G263" s="16"/>
      <c r="H263" s="16"/>
      <c r="I263" s="16"/>
      <c r="J263" s="16"/>
    </row>
    <row r="264" spans="1:10" ht="12.75" x14ac:dyDescent="0.2">
      <c r="A264" s="26"/>
      <c r="B264" s="26"/>
      <c r="C264" s="26"/>
      <c r="D264" s="16"/>
      <c r="E264" s="16"/>
      <c r="F264" s="16"/>
      <c r="G264" s="16"/>
      <c r="H264" s="16"/>
      <c r="I264" s="16"/>
      <c r="J264" s="16"/>
    </row>
    <row r="265" spans="1:10" ht="12.75" x14ac:dyDescent="0.2">
      <c r="A265" s="26"/>
      <c r="B265" s="26"/>
      <c r="C265" s="26"/>
      <c r="D265" s="16"/>
      <c r="E265" s="16"/>
      <c r="F265" s="16"/>
      <c r="G265" s="16"/>
      <c r="H265" s="16"/>
      <c r="I265" s="16"/>
      <c r="J265" s="16"/>
    </row>
    <row r="266" spans="1:10" ht="12.75" x14ac:dyDescent="0.2">
      <c r="A266" s="26"/>
      <c r="B266" s="26"/>
      <c r="C266" s="26"/>
      <c r="D266" s="16"/>
      <c r="E266" s="16"/>
      <c r="F266" s="16"/>
      <c r="G266" s="16"/>
      <c r="H266" s="16"/>
      <c r="I266" s="16"/>
      <c r="J266" s="16"/>
    </row>
    <row r="267" spans="1:10" ht="12.75" x14ac:dyDescent="0.2">
      <c r="A267" s="26"/>
      <c r="B267" s="26"/>
      <c r="C267" s="26"/>
      <c r="D267" s="16"/>
      <c r="E267" s="16"/>
      <c r="F267" s="16"/>
      <c r="G267" s="16"/>
      <c r="H267" s="16"/>
      <c r="I267" s="16"/>
      <c r="J267" s="16"/>
    </row>
    <row r="268" spans="1:10" ht="12.75" x14ac:dyDescent="0.2">
      <c r="A268" s="26"/>
      <c r="B268" s="26"/>
      <c r="C268" s="26"/>
      <c r="D268" s="16"/>
      <c r="E268" s="16"/>
      <c r="F268" s="16"/>
      <c r="G268" s="16"/>
      <c r="H268" s="16"/>
      <c r="I268" s="16"/>
      <c r="J268" s="16"/>
    </row>
    <row r="269" spans="1:10" ht="12.75" x14ac:dyDescent="0.2">
      <c r="A269" s="26"/>
      <c r="B269" s="26"/>
      <c r="C269" s="26"/>
      <c r="D269" s="16"/>
      <c r="E269" s="16"/>
      <c r="F269" s="16"/>
      <c r="G269" s="16"/>
      <c r="H269" s="16"/>
      <c r="I269" s="16"/>
      <c r="J269" s="16"/>
    </row>
    <row r="270" spans="1:10" ht="12.75" x14ac:dyDescent="0.2">
      <c r="A270" s="26"/>
      <c r="B270" s="26"/>
      <c r="C270" s="26"/>
      <c r="D270" s="16"/>
      <c r="E270" s="16"/>
      <c r="F270" s="16"/>
      <c r="G270" s="16"/>
      <c r="H270" s="16"/>
      <c r="I270" s="16"/>
      <c r="J270" s="16"/>
    </row>
    <row r="271" spans="1:10" ht="12.75" x14ac:dyDescent="0.2">
      <c r="A271" s="26"/>
      <c r="B271" s="26"/>
      <c r="C271" s="26"/>
      <c r="D271" s="16"/>
      <c r="E271" s="16"/>
      <c r="F271" s="16"/>
      <c r="G271" s="16"/>
      <c r="H271" s="16"/>
      <c r="I271" s="16"/>
      <c r="J271" s="16"/>
    </row>
    <row r="272" spans="1:10" ht="12.75" x14ac:dyDescent="0.2">
      <c r="A272" s="26"/>
      <c r="B272" s="26"/>
      <c r="C272" s="26"/>
      <c r="D272" s="16"/>
      <c r="E272" s="16"/>
      <c r="F272" s="16"/>
      <c r="G272" s="16"/>
      <c r="H272" s="16"/>
      <c r="I272" s="16"/>
      <c r="J272" s="16"/>
    </row>
    <row r="273" spans="1:10" ht="12.75" x14ac:dyDescent="0.2">
      <c r="A273" s="26"/>
      <c r="B273" s="26"/>
      <c r="C273" s="26"/>
      <c r="D273" s="16"/>
      <c r="E273" s="16"/>
      <c r="F273" s="16"/>
      <c r="G273" s="16"/>
      <c r="H273" s="16"/>
      <c r="I273" s="16"/>
      <c r="J273" s="16"/>
    </row>
    <row r="274" spans="1:10" ht="12.75" x14ac:dyDescent="0.2">
      <c r="A274" s="26"/>
      <c r="B274" s="26"/>
      <c r="C274" s="26"/>
      <c r="D274" s="16"/>
      <c r="E274" s="16"/>
      <c r="F274" s="16"/>
      <c r="G274" s="16"/>
      <c r="H274" s="16"/>
      <c r="I274" s="16"/>
      <c r="J274" s="16"/>
    </row>
    <row r="275" spans="1:10" ht="12.75" x14ac:dyDescent="0.2">
      <c r="A275" s="26"/>
      <c r="B275" s="26"/>
      <c r="C275" s="26"/>
      <c r="D275" s="16"/>
      <c r="E275" s="16"/>
      <c r="F275" s="16"/>
      <c r="G275" s="16"/>
      <c r="H275" s="16"/>
      <c r="I275" s="16"/>
      <c r="J275" s="16"/>
    </row>
    <row r="276" spans="1:10" ht="12.75" x14ac:dyDescent="0.2">
      <c r="A276" s="26"/>
      <c r="B276" s="26"/>
      <c r="C276" s="26"/>
      <c r="D276" s="16"/>
      <c r="E276" s="16"/>
      <c r="F276" s="16"/>
      <c r="G276" s="16"/>
      <c r="H276" s="16"/>
      <c r="I276" s="16"/>
      <c r="J276" s="16"/>
    </row>
    <row r="277" spans="1:10" ht="12.75" x14ac:dyDescent="0.2">
      <c r="A277" s="26"/>
      <c r="B277" s="26"/>
      <c r="C277" s="26"/>
      <c r="D277" s="16"/>
      <c r="E277" s="16"/>
      <c r="F277" s="16"/>
      <c r="G277" s="16"/>
      <c r="H277" s="16"/>
      <c r="I277" s="16"/>
      <c r="J277" s="16"/>
    </row>
    <row r="278" spans="1:10" ht="12.75" x14ac:dyDescent="0.2">
      <c r="A278" s="26"/>
      <c r="B278" s="26"/>
      <c r="C278" s="26"/>
      <c r="D278" s="16"/>
      <c r="E278" s="16"/>
      <c r="F278" s="16"/>
      <c r="G278" s="16"/>
      <c r="H278" s="16"/>
      <c r="I278" s="16"/>
      <c r="J278" s="16"/>
    </row>
    <row r="279" spans="1:10" ht="12.75" x14ac:dyDescent="0.2">
      <c r="A279" s="26"/>
      <c r="B279" s="26"/>
      <c r="C279" s="26"/>
      <c r="D279" s="16"/>
      <c r="E279" s="16"/>
      <c r="F279" s="16"/>
      <c r="G279" s="16"/>
      <c r="H279" s="16"/>
      <c r="I279" s="16"/>
      <c r="J279" s="16"/>
    </row>
    <row r="280" spans="1:10" ht="12.75" x14ac:dyDescent="0.2">
      <c r="A280" s="26"/>
      <c r="B280" s="26"/>
      <c r="C280" s="26"/>
      <c r="D280" s="16"/>
      <c r="E280" s="16"/>
      <c r="F280" s="16"/>
      <c r="G280" s="16"/>
      <c r="H280" s="16"/>
      <c r="I280" s="16"/>
      <c r="J280" s="16"/>
    </row>
    <row r="281" spans="1:10" ht="12.75" x14ac:dyDescent="0.2">
      <c r="A281" s="26"/>
      <c r="B281" s="26"/>
      <c r="C281" s="26"/>
      <c r="D281" s="16"/>
      <c r="E281" s="16"/>
      <c r="F281" s="16"/>
      <c r="G281" s="16"/>
      <c r="H281" s="16"/>
      <c r="I281" s="16"/>
      <c r="J281" s="16"/>
    </row>
    <row r="282" spans="1:10" ht="12.75" x14ac:dyDescent="0.2">
      <c r="A282" s="26"/>
      <c r="B282" s="26"/>
      <c r="C282" s="26"/>
      <c r="D282" s="16"/>
      <c r="E282" s="16"/>
      <c r="F282" s="16"/>
      <c r="G282" s="16"/>
      <c r="H282" s="16"/>
      <c r="I282" s="16"/>
      <c r="J282" s="16"/>
    </row>
    <row r="283" spans="1:10" ht="12.75" x14ac:dyDescent="0.2">
      <c r="A283" s="26"/>
      <c r="B283" s="26"/>
      <c r="C283" s="26"/>
      <c r="D283" s="16"/>
      <c r="E283" s="16"/>
      <c r="F283" s="16"/>
      <c r="G283" s="16"/>
      <c r="H283" s="16"/>
      <c r="I283" s="16"/>
      <c r="J283" s="16"/>
    </row>
    <row r="284" spans="1:10" ht="12.75" x14ac:dyDescent="0.2">
      <c r="A284" s="26"/>
      <c r="B284" s="26"/>
      <c r="C284" s="26"/>
      <c r="D284" s="16"/>
      <c r="E284" s="16"/>
      <c r="F284" s="16"/>
      <c r="G284" s="16"/>
      <c r="H284" s="16"/>
      <c r="I284" s="16"/>
      <c r="J284" s="16"/>
    </row>
    <row r="285" spans="1:10" ht="12.75" x14ac:dyDescent="0.2">
      <c r="A285" s="26"/>
      <c r="B285" s="26"/>
      <c r="C285" s="26"/>
      <c r="D285" s="16"/>
      <c r="E285" s="16"/>
      <c r="F285" s="16"/>
      <c r="G285" s="16"/>
      <c r="H285" s="16"/>
      <c r="I285" s="16"/>
      <c r="J285" s="16"/>
    </row>
    <row r="286" spans="1:10" ht="12.75" x14ac:dyDescent="0.2">
      <c r="A286" s="26"/>
      <c r="B286" s="26"/>
      <c r="C286" s="26"/>
      <c r="D286" s="16"/>
      <c r="E286" s="16"/>
      <c r="F286" s="16"/>
      <c r="G286" s="16"/>
      <c r="H286" s="16"/>
      <c r="I286" s="16"/>
      <c r="J286" s="16"/>
    </row>
    <row r="287" spans="1:10" ht="12.75" x14ac:dyDescent="0.2">
      <c r="A287" s="26"/>
      <c r="B287" s="26"/>
      <c r="C287" s="26"/>
      <c r="D287" s="16"/>
      <c r="E287" s="16"/>
      <c r="F287" s="16"/>
      <c r="G287" s="16"/>
      <c r="H287" s="16"/>
      <c r="I287" s="16"/>
      <c r="J287" s="16"/>
    </row>
    <row r="288" spans="1:10" ht="12.75" x14ac:dyDescent="0.2">
      <c r="A288" s="26"/>
      <c r="B288" s="26"/>
      <c r="C288" s="26"/>
      <c r="D288" s="16"/>
      <c r="E288" s="16"/>
      <c r="F288" s="16"/>
      <c r="G288" s="16"/>
      <c r="H288" s="16"/>
      <c r="I288" s="16"/>
      <c r="J288" s="16"/>
    </row>
    <row r="289" spans="1:10" ht="12.75" x14ac:dyDescent="0.2">
      <c r="A289" s="26"/>
      <c r="B289" s="26"/>
      <c r="C289" s="26"/>
      <c r="D289" s="16"/>
      <c r="E289" s="16"/>
      <c r="F289" s="16"/>
      <c r="G289" s="16"/>
      <c r="H289" s="16"/>
      <c r="I289" s="16"/>
      <c r="J289" s="16"/>
    </row>
    <row r="290" spans="1:10" ht="12.75" x14ac:dyDescent="0.2">
      <c r="A290" s="26"/>
      <c r="B290" s="26"/>
      <c r="C290" s="26"/>
      <c r="D290" s="16"/>
      <c r="E290" s="16"/>
      <c r="F290" s="16"/>
      <c r="G290" s="16"/>
      <c r="H290" s="16"/>
      <c r="I290" s="16"/>
      <c r="J290" s="16"/>
    </row>
    <row r="291" spans="1:10" ht="12.75" x14ac:dyDescent="0.2">
      <c r="A291" s="26"/>
      <c r="B291" s="26"/>
      <c r="C291" s="26"/>
      <c r="D291" s="16"/>
      <c r="E291" s="16"/>
      <c r="F291" s="16"/>
      <c r="G291" s="16"/>
      <c r="H291" s="16"/>
      <c r="I291" s="16"/>
      <c r="J291" s="16"/>
    </row>
    <row r="292" spans="1:10" ht="12.75" x14ac:dyDescent="0.2">
      <c r="A292" s="26"/>
      <c r="B292" s="26"/>
      <c r="C292" s="26"/>
      <c r="D292" s="16"/>
      <c r="E292" s="16"/>
      <c r="F292" s="16"/>
      <c r="G292" s="16"/>
      <c r="H292" s="16"/>
      <c r="I292" s="16"/>
      <c r="J292" s="16"/>
    </row>
    <row r="293" spans="1:10" ht="12.75" x14ac:dyDescent="0.2">
      <c r="A293" s="26"/>
      <c r="B293" s="26"/>
      <c r="C293" s="26"/>
      <c r="D293" s="16"/>
      <c r="E293" s="16"/>
      <c r="F293" s="16"/>
      <c r="G293" s="16"/>
      <c r="H293" s="16"/>
      <c r="I293" s="16"/>
      <c r="J293" s="16"/>
    </row>
    <row r="294" spans="1:10" ht="12.75" x14ac:dyDescent="0.2">
      <c r="A294" s="26"/>
      <c r="B294" s="26"/>
      <c r="C294" s="26"/>
      <c r="D294" s="16"/>
      <c r="E294" s="16"/>
      <c r="F294" s="16"/>
      <c r="G294" s="16"/>
      <c r="H294" s="16"/>
      <c r="I294" s="16"/>
      <c r="J294" s="16"/>
    </row>
    <row r="295" spans="1:10" ht="12.75" x14ac:dyDescent="0.2">
      <c r="A295" s="26"/>
      <c r="B295" s="26"/>
      <c r="C295" s="26"/>
      <c r="D295" s="16"/>
      <c r="E295" s="16"/>
      <c r="F295" s="16"/>
      <c r="G295" s="16"/>
      <c r="H295" s="16"/>
      <c r="I295" s="16"/>
      <c r="J295" s="16"/>
    </row>
    <row r="296" spans="1:10" ht="12.75" x14ac:dyDescent="0.2">
      <c r="A296" s="26"/>
      <c r="B296" s="26"/>
      <c r="C296" s="26"/>
      <c r="D296" s="16"/>
      <c r="E296" s="16"/>
      <c r="F296" s="16"/>
      <c r="G296" s="16"/>
      <c r="H296" s="16"/>
      <c r="I296" s="16"/>
      <c r="J296" s="16"/>
    </row>
    <row r="297" spans="1:10" ht="12.75" x14ac:dyDescent="0.2">
      <c r="A297" s="26"/>
      <c r="B297" s="26"/>
      <c r="C297" s="26"/>
      <c r="D297" s="16"/>
      <c r="E297" s="16"/>
      <c r="F297" s="16"/>
      <c r="G297" s="16"/>
      <c r="H297" s="16"/>
      <c r="I297" s="16"/>
      <c r="J297" s="16"/>
    </row>
    <row r="298" spans="1:10" ht="12.75" x14ac:dyDescent="0.2">
      <c r="A298" s="26"/>
      <c r="B298" s="26"/>
      <c r="C298" s="26"/>
      <c r="D298" s="16"/>
      <c r="E298" s="16"/>
      <c r="F298" s="16"/>
      <c r="G298" s="16"/>
      <c r="H298" s="16"/>
      <c r="I298" s="16"/>
      <c r="J298" s="16"/>
    </row>
    <row r="299" spans="1:10" ht="12.75" x14ac:dyDescent="0.2">
      <c r="A299" s="26"/>
      <c r="B299" s="26"/>
      <c r="C299" s="26"/>
      <c r="D299" s="16"/>
      <c r="E299" s="16"/>
      <c r="F299" s="16"/>
      <c r="G299" s="16"/>
      <c r="H299" s="16"/>
      <c r="I299" s="16"/>
      <c r="J299" s="16"/>
    </row>
    <row r="300" spans="1:10" ht="12.75" x14ac:dyDescent="0.2">
      <c r="A300" s="26"/>
      <c r="B300" s="26"/>
      <c r="C300" s="26"/>
      <c r="D300" s="16"/>
      <c r="E300" s="16"/>
      <c r="F300" s="16"/>
      <c r="G300" s="16"/>
      <c r="H300" s="16"/>
      <c r="I300" s="16"/>
      <c r="J300" s="16"/>
    </row>
    <row r="301" spans="1:10" ht="12.75" x14ac:dyDescent="0.2">
      <c r="A301" s="26"/>
      <c r="B301" s="26"/>
      <c r="C301" s="26"/>
      <c r="D301" s="16"/>
      <c r="E301" s="16"/>
      <c r="F301" s="16"/>
      <c r="G301" s="16"/>
      <c r="H301" s="16"/>
      <c r="I301" s="16"/>
      <c r="J301" s="16"/>
    </row>
    <row r="302" spans="1:10" ht="12.75" x14ac:dyDescent="0.2">
      <c r="A302" s="26"/>
      <c r="B302" s="26"/>
      <c r="C302" s="26"/>
      <c r="D302" s="16"/>
      <c r="E302" s="16"/>
      <c r="F302" s="16"/>
      <c r="G302" s="16"/>
      <c r="H302" s="16"/>
      <c r="I302" s="16"/>
      <c r="J302" s="16"/>
    </row>
    <row r="303" spans="1:10" ht="12.75" x14ac:dyDescent="0.2">
      <c r="A303" s="26"/>
      <c r="B303" s="26"/>
      <c r="C303" s="26"/>
      <c r="D303" s="16"/>
      <c r="E303" s="16"/>
      <c r="F303" s="16"/>
      <c r="G303" s="16"/>
      <c r="H303" s="16"/>
      <c r="I303" s="16"/>
      <c r="J303" s="16"/>
    </row>
    <row r="304" spans="1:10" ht="12.75" x14ac:dyDescent="0.2">
      <c r="A304" s="26"/>
      <c r="B304" s="26"/>
      <c r="C304" s="26"/>
      <c r="D304" s="16"/>
      <c r="E304" s="16"/>
      <c r="F304" s="16"/>
      <c r="G304" s="16"/>
      <c r="H304" s="16"/>
      <c r="I304" s="16"/>
      <c r="J304" s="16"/>
    </row>
    <row r="305" spans="1:10" ht="12.75" x14ac:dyDescent="0.2">
      <c r="A305" s="26"/>
      <c r="B305" s="26"/>
      <c r="C305" s="26"/>
      <c r="D305" s="16"/>
      <c r="E305" s="16"/>
      <c r="F305" s="16"/>
      <c r="G305" s="16"/>
      <c r="H305" s="16"/>
      <c r="I305" s="16"/>
      <c r="J305" s="16"/>
    </row>
    <row r="306" spans="1:10" ht="12.75" x14ac:dyDescent="0.2">
      <c r="A306" s="26"/>
      <c r="B306" s="26"/>
      <c r="C306" s="26"/>
      <c r="D306" s="16"/>
      <c r="E306" s="16"/>
      <c r="F306" s="16"/>
      <c r="G306" s="16"/>
      <c r="H306" s="16"/>
      <c r="I306" s="16"/>
      <c r="J306" s="16"/>
    </row>
    <row r="307" spans="1:10" ht="12.75" x14ac:dyDescent="0.2">
      <c r="A307" s="26"/>
      <c r="B307" s="26"/>
      <c r="C307" s="26"/>
      <c r="D307" s="16"/>
      <c r="E307" s="16"/>
      <c r="F307" s="16"/>
      <c r="G307" s="16"/>
      <c r="H307" s="16"/>
      <c r="I307" s="16"/>
      <c r="J307" s="16"/>
    </row>
    <row r="308" spans="1:10" ht="12.75" x14ac:dyDescent="0.2">
      <c r="A308" s="26"/>
      <c r="B308" s="26"/>
      <c r="C308" s="26"/>
      <c r="D308" s="16"/>
      <c r="E308" s="16"/>
      <c r="F308" s="16"/>
      <c r="G308" s="16"/>
      <c r="H308" s="16"/>
      <c r="I308" s="16"/>
      <c r="J308" s="16"/>
    </row>
    <row r="309" spans="1:10" ht="12.75" x14ac:dyDescent="0.2">
      <c r="A309" s="26"/>
      <c r="B309" s="26"/>
      <c r="C309" s="26"/>
      <c r="D309" s="16"/>
      <c r="E309" s="16"/>
      <c r="F309" s="16"/>
      <c r="G309" s="16"/>
      <c r="H309" s="16"/>
      <c r="I309" s="16"/>
      <c r="J309" s="16"/>
    </row>
    <row r="310" spans="1:10" ht="12.75" x14ac:dyDescent="0.2">
      <c r="A310" s="26"/>
      <c r="B310" s="26"/>
      <c r="C310" s="26"/>
      <c r="D310" s="16"/>
      <c r="E310" s="16"/>
      <c r="F310" s="16"/>
      <c r="G310" s="16"/>
      <c r="H310" s="16"/>
      <c r="I310" s="16"/>
      <c r="J310" s="16"/>
    </row>
    <row r="311" spans="1:10" ht="12.75" x14ac:dyDescent="0.2">
      <c r="A311" s="26"/>
      <c r="B311" s="26"/>
      <c r="C311" s="26"/>
      <c r="D311" s="16"/>
      <c r="E311" s="16"/>
      <c r="F311" s="16"/>
      <c r="G311" s="16"/>
      <c r="H311" s="16"/>
      <c r="I311" s="16"/>
      <c r="J311" s="16"/>
    </row>
    <row r="312" spans="1:10" ht="12.75" x14ac:dyDescent="0.2">
      <c r="A312" s="26"/>
      <c r="B312" s="26"/>
      <c r="C312" s="26"/>
      <c r="D312" s="16"/>
      <c r="E312" s="16"/>
      <c r="F312" s="16"/>
      <c r="G312" s="16"/>
      <c r="H312" s="16"/>
      <c r="I312" s="16"/>
      <c r="J312" s="16"/>
    </row>
    <row r="313" spans="1:10" ht="12.75" x14ac:dyDescent="0.2">
      <c r="A313" s="26"/>
      <c r="B313" s="26"/>
      <c r="C313" s="26"/>
      <c r="D313" s="16"/>
      <c r="E313" s="16"/>
      <c r="F313" s="16"/>
      <c r="G313" s="16"/>
      <c r="H313" s="16"/>
      <c r="I313" s="16"/>
      <c r="J313" s="16"/>
    </row>
    <row r="314" spans="1:10" ht="12.75" x14ac:dyDescent="0.2">
      <c r="A314" s="26"/>
      <c r="B314" s="26"/>
      <c r="C314" s="26"/>
      <c r="D314" s="16"/>
      <c r="E314" s="16"/>
      <c r="F314" s="16"/>
      <c r="G314" s="16"/>
      <c r="H314" s="16"/>
      <c r="I314" s="16"/>
      <c r="J314" s="16"/>
    </row>
    <row r="315" spans="1:10" ht="12.75" x14ac:dyDescent="0.2">
      <c r="A315" s="26"/>
      <c r="B315" s="26"/>
      <c r="C315" s="26"/>
      <c r="D315" s="16"/>
      <c r="E315" s="16"/>
      <c r="F315" s="16"/>
      <c r="G315" s="16"/>
      <c r="H315" s="16"/>
      <c r="I315" s="16"/>
      <c r="J315" s="16"/>
    </row>
    <row r="316" spans="1:10" ht="12.75" x14ac:dyDescent="0.2">
      <c r="A316" s="26"/>
      <c r="B316" s="26"/>
      <c r="C316" s="26"/>
      <c r="D316" s="16"/>
      <c r="E316" s="16"/>
      <c r="F316" s="16"/>
      <c r="G316" s="16"/>
      <c r="H316" s="16"/>
      <c r="I316" s="16"/>
      <c r="J316" s="16"/>
    </row>
    <row r="317" spans="1:10" ht="12.75" x14ac:dyDescent="0.2">
      <c r="A317" s="26"/>
      <c r="B317" s="26"/>
      <c r="C317" s="26"/>
      <c r="D317" s="16"/>
      <c r="E317" s="16"/>
      <c r="F317" s="16"/>
      <c r="G317" s="16"/>
      <c r="H317" s="16"/>
      <c r="I317" s="16"/>
      <c r="J317" s="16"/>
    </row>
    <row r="318" spans="1:10" ht="12.75" x14ac:dyDescent="0.2">
      <c r="A318" s="26"/>
      <c r="B318" s="26"/>
      <c r="C318" s="26"/>
      <c r="D318" s="16"/>
      <c r="E318" s="16"/>
      <c r="F318" s="16"/>
      <c r="G318" s="16"/>
      <c r="H318" s="16"/>
      <c r="I318" s="16"/>
      <c r="J318" s="16"/>
    </row>
    <row r="319" spans="1:10" ht="12.75" x14ac:dyDescent="0.2">
      <c r="A319" s="26"/>
      <c r="B319" s="26"/>
      <c r="C319" s="26"/>
      <c r="D319" s="16"/>
      <c r="E319" s="16"/>
      <c r="F319" s="16"/>
      <c r="G319" s="16"/>
      <c r="H319" s="16"/>
      <c r="I319" s="16"/>
      <c r="J319" s="16"/>
    </row>
    <row r="320" spans="1:10" ht="12.75" x14ac:dyDescent="0.2">
      <c r="A320" s="26"/>
      <c r="B320" s="26"/>
      <c r="C320" s="26"/>
      <c r="D320" s="16"/>
      <c r="E320" s="16"/>
      <c r="F320" s="16"/>
      <c r="G320" s="16"/>
      <c r="H320" s="16"/>
      <c r="I320" s="16"/>
      <c r="J320" s="16"/>
    </row>
    <row r="321" spans="1:10" ht="12.75" x14ac:dyDescent="0.2">
      <c r="A321" s="26"/>
      <c r="B321" s="26"/>
      <c r="C321" s="26"/>
      <c r="D321" s="16"/>
      <c r="E321" s="16"/>
      <c r="F321" s="16"/>
      <c r="G321" s="16"/>
      <c r="H321" s="16"/>
      <c r="I321" s="16"/>
      <c r="J321" s="16"/>
    </row>
    <row r="322" spans="1:10" ht="12.75" x14ac:dyDescent="0.2">
      <c r="A322" s="26"/>
      <c r="B322" s="26"/>
      <c r="C322" s="26"/>
      <c r="D322" s="16"/>
      <c r="E322" s="16"/>
      <c r="F322" s="16"/>
      <c r="G322" s="16"/>
      <c r="H322" s="16"/>
      <c r="I322" s="16"/>
      <c r="J322" s="16"/>
    </row>
    <row r="323" spans="1:10" ht="12.75" x14ac:dyDescent="0.2">
      <c r="A323" s="26"/>
      <c r="B323" s="26"/>
      <c r="C323" s="26"/>
      <c r="D323" s="16"/>
      <c r="E323" s="16"/>
      <c r="F323" s="16"/>
      <c r="G323" s="16"/>
      <c r="H323" s="16"/>
      <c r="I323" s="16"/>
      <c r="J323" s="16"/>
    </row>
    <row r="324" spans="1:10" ht="12.75" x14ac:dyDescent="0.2">
      <c r="A324" s="26"/>
      <c r="B324" s="26"/>
      <c r="C324" s="26"/>
      <c r="D324" s="16"/>
      <c r="E324" s="16"/>
      <c r="F324" s="16"/>
      <c r="G324" s="16"/>
      <c r="H324" s="16"/>
      <c r="I324" s="16"/>
      <c r="J324" s="16"/>
    </row>
    <row r="325" spans="1:10" ht="12.75" x14ac:dyDescent="0.2">
      <c r="A325" s="26"/>
      <c r="B325" s="26"/>
      <c r="C325" s="26"/>
      <c r="D325" s="16"/>
      <c r="E325" s="16"/>
      <c r="F325" s="16"/>
      <c r="G325" s="16"/>
      <c r="H325" s="16"/>
      <c r="I325" s="16"/>
      <c r="J325" s="16"/>
    </row>
    <row r="326" spans="1:10" ht="12.75" x14ac:dyDescent="0.2">
      <c r="A326" s="26"/>
      <c r="B326" s="26"/>
      <c r="C326" s="26"/>
      <c r="D326" s="16"/>
      <c r="E326" s="16"/>
      <c r="F326" s="16"/>
      <c r="G326" s="16"/>
      <c r="H326" s="16"/>
      <c r="I326" s="16"/>
      <c r="J326" s="16"/>
    </row>
    <row r="327" spans="1:10" ht="12.75" x14ac:dyDescent="0.2">
      <c r="A327" s="26"/>
      <c r="B327" s="26"/>
      <c r="C327" s="26"/>
      <c r="D327" s="16"/>
      <c r="E327" s="16"/>
      <c r="F327" s="16"/>
      <c r="G327" s="16"/>
      <c r="H327" s="16"/>
      <c r="I327" s="16"/>
      <c r="J327" s="16"/>
    </row>
    <row r="328" spans="1:10" ht="12.75" x14ac:dyDescent="0.2">
      <c r="A328" s="26"/>
      <c r="B328" s="26"/>
      <c r="C328" s="26"/>
      <c r="D328" s="16"/>
      <c r="E328" s="16"/>
      <c r="F328" s="16"/>
      <c r="G328" s="16"/>
      <c r="H328" s="16"/>
      <c r="I328" s="16"/>
      <c r="J328" s="16"/>
    </row>
    <row r="329" spans="1:10" ht="12.75" x14ac:dyDescent="0.2">
      <c r="A329" s="26"/>
      <c r="B329" s="26"/>
      <c r="C329" s="26"/>
      <c r="D329" s="16"/>
      <c r="E329" s="16"/>
      <c r="F329" s="16"/>
      <c r="G329" s="16"/>
      <c r="H329" s="16"/>
      <c r="I329" s="16"/>
      <c r="J329" s="16"/>
    </row>
    <row r="330" spans="1:10" ht="12.75" x14ac:dyDescent="0.2">
      <c r="A330" s="26"/>
      <c r="B330" s="26"/>
      <c r="C330" s="26"/>
      <c r="D330" s="16"/>
      <c r="E330" s="16"/>
      <c r="F330" s="16"/>
      <c r="G330" s="16"/>
      <c r="H330" s="16"/>
      <c r="I330" s="16"/>
      <c r="J330" s="16"/>
    </row>
    <row r="331" spans="1:10" ht="12.75" x14ac:dyDescent="0.2">
      <c r="A331" s="26"/>
      <c r="B331" s="26"/>
      <c r="C331" s="26"/>
      <c r="D331" s="16"/>
      <c r="E331" s="16"/>
      <c r="F331" s="16"/>
      <c r="G331" s="16"/>
      <c r="H331" s="16"/>
      <c r="I331" s="16"/>
      <c r="J331" s="16"/>
    </row>
    <row r="332" spans="1:10" ht="12.75" x14ac:dyDescent="0.2">
      <c r="A332" s="26"/>
      <c r="B332" s="26"/>
      <c r="C332" s="26"/>
      <c r="D332" s="16"/>
      <c r="E332" s="16"/>
      <c r="F332" s="16"/>
      <c r="G332" s="16"/>
      <c r="H332" s="16"/>
      <c r="I332" s="16"/>
      <c r="J332" s="16"/>
    </row>
    <row r="333" spans="1:10" ht="12.75" x14ac:dyDescent="0.2">
      <c r="A333" s="26"/>
      <c r="B333" s="26"/>
      <c r="C333" s="26"/>
      <c r="D333" s="16"/>
      <c r="E333" s="16"/>
      <c r="F333" s="16"/>
      <c r="G333" s="16"/>
      <c r="H333" s="16"/>
      <c r="I333" s="16"/>
      <c r="J333" s="16"/>
    </row>
    <row r="334" spans="1:10" ht="12.75" x14ac:dyDescent="0.2">
      <c r="A334" s="26"/>
      <c r="B334" s="26"/>
      <c r="C334" s="26"/>
      <c r="D334" s="16"/>
      <c r="E334" s="16"/>
      <c r="F334" s="16"/>
      <c r="G334" s="16"/>
      <c r="H334" s="16"/>
      <c r="I334" s="16"/>
      <c r="J334" s="16"/>
    </row>
    <row r="335" spans="1:10" ht="12.75" x14ac:dyDescent="0.2">
      <c r="A335" s="26"/>
      <c r="B335" s="26"/>
      <c r="C335" s="26"/>
      <c r="D335" s="16"/>
      <c r="E335" s="16"/>
      <c r="F335" s="16"/>
      <c r="G335" s="16"/>
      <c r="H335" s="16"/>
      <c r="I335" s="16"/>
      <c r="J335" s="16"/>
    </row>
    <row r="336" spans="1:10" ht="12.75" x14ac:dyDescent="0.2">
      <c r="A336" s="26"/>
      <c r="B336" s="26"/>
      <c r="C336" s="26"/>
      <c r="D336" s="16"/>
      <c r="E336" s="16"/>
      <c r="F336" s="16"/>
      <c r="G336" s="16"/>
      <c r="H336" s="16"/>
      <c r="I336" s="16"/>
      <c r="J336" s="16"/>
    </row>
    <row r="337" spans="1:10" ht="12.75" x14ac:dyDescent="0.2">
      <c r="A337" s="26"/>
      <c r="B337" s="26"/>
      <c r="C337" s="26"/>
      <c r="D337" s="16"/>
      <c r="E337" s="16"/>
      <c r="F337" s="16"/>
      <c r="G337" s="16"/>
      <c r="H337" s="16"/>
      <c r="I337" s="16"/>
      <c r="J337" s="16"/>
    </row>
    <row r="338" spans="1:10" ht="12.75" x14ac:dyDescent="0.2">
      <c r="A338" s="26"/>
      <c r="B338" s="26"/>
      <c r="C338" s="26"/>
      <c r="D338" s="16"/>
      <c r="E338" s="16"/>
      <c r="F338" s="16"/>
      <c r="G338" s="16"/>
      <c r="H338" s="16"/>
      <c r="I338" s="16"/>
      <c r="J338" s="16"/>
    </row>
    <row r="339" spans="1:10" ht="12.75" x14ac:dyDescent="0.2">
      <c r="A339" s="26"/>
      <c r="B339" s="26"/>
      <c r="C339" s="26"/>
      <c r="D339" s="16"/>
      <c r="E339" s="16"/>
      <c r="F339" s="16"/>
      <c r="G339" s="16"/>
      <c r="H339" s="16"/>
      <c r="I339" s="16"/>
      <c r="J339" s="16"/>
    </row>
    <row r="340" spans="1:10" ht="12.75" x14ac:dyDescent="0.2">
      <c r="A340" s="26"/>
      <c r="B340" s="26"/>
      <c r="C340" s="26"/>
      <c r="D340" s="16"/>
      <c r="E340" s="16"/>
      <c r="F340" s="16"/>
      <c r="G340" s="16"/>
      <c r="H340" s="16"/>
      <c r="I340" s="16"/>
      <c r="J340" s="16"/>
    </row>
    <row r="341" spans="1:10" ht="12.75" x14ac:dyDescent="0.2">
      <c r="A341" s="26"/>
      <c r="B341" s="26"/>
      <c r="C341" s="26"/>
      <c r="D341" s="16"/>
      <c r="E341" s="16"/>
      <c r="F341" s="16"/>
      <c r="G341" s="16"/>
      <c r="H341" s="16"/>
      <c r="I341" s="16"/>
      <c r="J341" s="16"/>
    </row>
    <row r="342" spans="1:10" ht="12.75" x14ac:dyDescent="0.2">
      <c r="A342" s="26"/>
      <c r="B342" s="26"/>
      <c r="C342" s="26"/>
      <c r="D342" s="16"/>
      <c r="E342" s="16"/>
      <c r="F342" s="16"/>
      <c r="G342" s="16"/>
      <c r="H342" s="16"/>
      <c r="I342" s="16"/>
      <c r="J342" s="16"/>
    </row>
    <row r="343" spans="1:10" ht="12.75" x14ac:dyDescent="0.2">
      <c r="A343" s="26"/>
      <c r="B343" s="26"/>
      <c r="C343" s="26"/>
      <c r="D343" s="16"/>
      <c r="E343" s="16"/>
      <c r="F343" s="16"/>
      <c r="G343" s="16"/>
      <c r="H343" s="16"/>
      <c r="I343" s="16"/>
      <c r="J343" s="16"/>
    </row>
    <row r="344" spans="1:10" ht="12.75" x14ac:dyDescent="0.2">
      <c r="A344" s="26"/>
      <c r="B344" s="26"/>
      <c r="C344" s="26"/>
      <c r="D344" s="16"/>
      <c r="E344" s="16"/>
      <c r="F344" s="16"/>
      <c r="G344" s="16"/>
      <c r="H344" s="16"/>
      <c r="I344" s="16"/>
      <c r="J344" s="16"/>
    </row>
    <row r="345" spans="1:10" ht="12.75" x14ac:dyDescent="0.2">
      <c r="A345" s="26"/>
      <c r="B345" s="26"/>
      <c r="C345" s="26"/>
      <c r="D345" s="16"/>
      <c r="E345" s="16"/>
      <c r="F345" s="16"/>
      <c r="G345" s="16"/>
      <c r="H345" s="16"/>
      <c r="I345" s="16"/>
      <c r="J345" s="16"/>
    </row>
    <row r="346" spans="1:10" ht="12.75" x14ac:dyDescent="0.2">
      <c r="A346" s="26"/>
      <c r="B346" s="26"/>
      <c r="C346" s="26"/>
      <c r="D346" s="16"/>
      <c r="E346" s="16"/>
      <c r="F346" s="16"/>
      <c r="G346" s="16"/>
      <c r="H346" s="16"/>
      <c r="I346" s="16"/>
      <c r="J346" s="16"/>
    </row>
    <row r="347" spans="1:10" ht="12.75" x14ac:dyDescent="0.2">
      <c r="A347" s="26"/>
      <c r="B347" s="26"/>
      <c r="C347" s="26"/>
      <c r="D347" s="16"/>
      <c r="E347" s="16"/>
      <c r="F347" s="16"/>
      <c r="G347" s="16"/>
      <c r="H347" s="16"/>
      <c r="I347" s="16"/>
      <c r="J347" s="16"/>
    </row>
    <row r="348" spans="1:10" ht="12.75" x14ac:dyDescent="0.2">
      <c r="A348" s="26"/>
      <c r="B348" s="26"/>
      <c r="C348" s="26"/>
      <c r="D348" s="16"/>
      <c r="E348" s="16"/>
      <c r="F348" s="16"/>
      <c r="G348" s="16"/>
      <c r="H348" s="16"/>
      <c r="I348" s="16"/>
      <c r="J348" s="16"/>
    </row>
    <row r="349" spans="1:10" ht="12.75" x14ac:dyDescent="0.2">
      <c r="A349" s="26"/>
      <c r="B349" s="26"/>
      <c r="C349" s="26"/>
      <c r="D349" s="16"/>
      <c r="E349" s="16"/>
      <c r="F349" s="16"/>
      <c r="G349" s="16"/>
      <c r="H349" s="16"/>
      <c r="I349" s="16"/>
      <c r="J349" s="16"/>
    </row>
    <row r="350" spans="1:10" ht="12.75" x14ac:dyDescent="0.2">
      <c r="A350" s="26"/>
      <c r="B350" s="26"/>
      <c r="C350" s="26"/>
      <c r="D350" s="16"/>
      <c r="E350" s="16"/>
      <c r="F350" s="16"/>
      <c r="G350" s="16"/>
      <c r="H350" s="16"/>
      <c r="I350" s="16"/>
      <c r="J350" s="16"/>
    </row>
    <row r="351" spans="1:10" ht="12.75" x14ac:dyDescent="0.2">
      <c r="A351" s="26"/>
      <c r="B351" s="26"/>
      <c r="C351" s="26"/>
      <c r="D351" s="16"/>
      <c r="E351" s="16"/>
      <c r="F351" s="16"/>
      <c r="G351" s="16"/>
      <c r="H351" s="16"/>
      <c r="I351" s="16"/>
      <c r="J351" s="16"/>
    </row>
    <row r="352" spans="1:10" ht="12.75" x14ac:dyDescent="0.2">
      <c r="A352" s="26"/>
      <c r="B352" s="26"/>
      <c r="C352" s="26"/>
      <c r="D352" s="16"/>
      <c r="E352" s="16"/>
      <c r="F352" s="16"/>
      <c r="G352" s="16"/>
      <c r="H352" s="16"/>
      <c r="I352" s="16"/>
      <c r="J352" s="16"/>
    </row>
    <row r="353" spans="1:10" ht="12.75" x14ac:dyDescent="0.2">
      <c r="A353" s="26"/>
      <c r="B353" s="26"/>
      <c r="C353" s="26"/>
      <c r="D353" s="16"/>
      <c r="E353" s="16"/>
      <c r="F353" s="16"/>
      <c r="G353" s="16"/>
      <c r="H353" s="16"/>
      <c r="I353" s="16"/>
      <c r="J353" s="16"/>
    </row>
    <row r="354" spans="1:10" ht="12.75" x14ac:dyDescent="0.2">
      <c r="A354" s="26"/>
      <c r="B354" s="26"/>
      <c r="C354" s="26"/>
      <c r="D354" s="16"/>
      <c r="E354" s="16"/>
      <c r="F354" s="16"/>
      <c r="G354" s="16"/>
      <c r="H354" s="16"/>
      <c r="I354" s="16"/>
      <c r="J354" s="16"/>
    </row>
    <row r="355" spans="1:10" ht="12.75" x14ac:dyDescent="0.2">
      <c r="A355" s="26"/>
      <c r="B355" s="26"/>
      <c r="C355" s="26"/>
      <c r="D355" s="16"/>
      <c r="E355" s="16"/>
      <c r="F355" s="16"/>
      <c r="G355" s="16"/>
      <c r="H355" s="16"/>
      <c r="I355" s="16"/>
      <c r="J355" s="16"/>
    </row>
    <row r="356" spans="1:10" ht="12.75" x14ac:dyDescent="0.2">
      <c r="A356" s="26"/>
      <c r="B356" s="26"/>
      <c r="C356" s="26"/>
      <c r="D356" s="16"/>
      <c r="E356" s="16"/>
      <c r="F356" s="16"/>
      <c r="G356" s="16"/>
      <c r="H356" s="16"/>
      <c r="I356" s="16"/>
      <c r="J356" s="16"/>
    </row>
    <row r="357" spans="1:10" ht="12.75" x14ac:dyDescent="0.2">
      <c r="A357" s="26"/>
      <c r="B357" s="26"/>
      <c r="C357" s="26"/>
      <c r="D357" s="16"/>
      <c r="E357" s="16"/>
      <c r="F357" s="16"/>
      <c r="G357" s="16"/>
      <c r="H357" s="16"/>
      <c r="I357" s="16"/>
      <c r="J357" s="16"/>
    </row>
    <row r="358" spans="1:10" ht="12.75" x14ac:dyDescent="0.2">
      <c r="A358" s="26"/>
      <c r="B358" s="26"/>
      <c r="C358" s="26"/>
      <c r="D358" s="16"/>
      <c r="E358" s="16"/>
      <c r="F358" s="16"/>
      <c r="G358" s="16"/>
      <c r="H358" s="16"/>
      <c r="I358" s="16"/>
      <c r="J358" s="16"/>
    </row>
    <row r="359" spans="1:10" ht="12.75" x14ac:dyDescent="0.2">
      <c r="A359" s="26"/>
      <c r="B359" s="26"/>
      <c r="C359" s="26"/>
      <c r="D359" s="16"/>
      <c r="E359" s="16"/>
      <c r="F359" s="16"/>
      <c r="G359" s="16"/>
      <c r="H359" s="16"/>
      <c r="I359" s="16"/>
      <c r="J359" s="16"/>
    </row>
    <row r="360" spans="1:10" ht="12.75" x14ac:dyDescent="0.2">
      <c r="A360" s="26"/>
      <c r="B360" s="26"/>
      <c r="C360" s="26"/>
      <c r="D360" s="16"/>
      <c r="E360" s="16"/>
      <c r="F360" s="16"/>
      <c r="G360" s="16"/>
      <c r="H360" s="16"/>
      <c r="I360" s="16"/>
      <c r="J360" s="16"/>
    </row>
    <row r="361" spans="1:10" ht="12.75" x14ac:dyDescent="0.2">
      <c r="A361" s="26"/>
      <c r="B361" s="26"/>
      <c r="C361" s="26"/>
      <c r="D361" s="16"/>
      <c r="E361" s="16"/>
      <c r="F361" s="16"/>
      <c r="G361" s="16"/>
      <c r="H361" s="16"/>
      <c r="I361" s="16"/>
      <c r="J361" s="16"/>
    </row>
    <row r="362" spans="1:10" ht="12.75" x14ac:dyDescent="0.2">
      <c r="A362" s="26"/>
      <c r="B362" s="26"/>
      <c r="C362" s="26"/>
      <c r="D362" s="16"/>
      <c r="E362" s="16"/>
      <c r="F362" s="16"/>
      <c r="G362" s="16"/>
      <c r="H362" s="16"/>
      <c r="I362" s="16"/>
      <c r="J362" s="16"/>
    </row>
    <row r="363" spans="1:10" ht="12.75" x14ac:dyDescent="0.2">
      <c r="A363" s="26"/>
      <c r="B363" s="26"/>
      <c r="C363" s="26"/>
      <c r="D363" s="16"/>
      <c r="E363" s="16"/>
      <c r="F363" s="16"/>
      <c r="G363" s="16"/>
      <c r="H363" s="16"/>
      <c r="I363" s="16"/>
      <c r="J363" s="16"/>
    </row>
    <row r="364" spans="1:10" ht="12.75" x14ac:dyDescent="0.2">
      <c r="A364" s="26"/>
      <c r="B364" s="26"/>
      <c r="C364" s="26"/>
      <c r="D364" s="16"/>
      <c r="E364" s="16"/>
      <c r="F364" s="16"/>
      <c r="G364" s="16"/>
      <c r="H364" s="16"/>
      <c r="I364" s="16"/>
      <c r="J364" s="16"/>
    </row>
    <row r="365" spans="1:10" ht="12.75" x14ac:dyDescent="0.2">
      <c r="A365" s="26"/>
      <c r="B365" s="26"/>
      <c r="C365" s="26"/>
      <c r="D365" s="16"/>
      <c r="E365" s="16"/>
      <c r="F365" s="16"/>
      <c r="G365" s="16"/>
      <c r="H365" s="16"/>
      <c r="I365" s="16"/>
      <c r="J365" s="16"/>
    </row>
    <row r="366" spans="1:10" ht="12.75" x14ac:dyDescent="0.2">
      <c r="A366" s="26"/>
      <c r="B366" s="26"/>
      <c r="C366" s="26"/>
      <c r="D366" s="16"/>
      <c r="E366" s="16"/>
      <c r="F366" s="16"/>
      <c r="G366" s="16"/>
      <c r="H366" s="16"/>
      <c r="I366" s="16"/>
      <c r="J366" s="16"/>
    </row>
    <row r="367" spans="1:10" ht="12.75" x14ac:dyDescent="0.2">
      <c r="A367" s="26"/>
      <c r="B367" s="26"/>
      <c r="C367" s="26"/>
      <c r="D367" s="16"/>
      <c r="E367" s="16"/>
      <c r="F367" s="16"/>
      <c r="G367" s="16"/>
      <c r="H367" s="16"/>
      <c r="I367" s="16"/>
      <c r="J367" s="16"/>
    </row>
    <row r="368" spans="1:10" ht="12.75" x14ac:dyDescent="0.2">
      <c r="A368" s="26"/>
      <c r="B368" s="26"/>
      <c r="C368" s="26"/>
      <c r="D368" s="16"/>
      <c r="E368" s="16"/>
      <c r="F368" s="16"/>
      <c r="G368" s="16"/>
      <c r="H368" s="16"/>
      <c r="I368" s="16"/>
      <c r="J368" s="16"/>
    </row>
    <row r="369" spans="1:10" ht="12.75" x14ac:dyDescent="0.2">
      <c r="A369" s="26"/>
      <c r="B369" s="26"/>
      <c r="C369" s="26"/>
      <c r="D369" s="16"/>
      <c r="E369" s="16"/>
      <c r="F369" s="16"/>
      <c r="G369" s="16"/>
      <c r="H369" s="16"/>
      <c r="I369" s="16"/>
      <c r="J369" s="16"/>
    </row>
    <row r="370" spans="1:10" ht="12.75" x14ac:dyDescent="0.2">
      <c r="A370" s="26"/>
      <c r="B370" s="26"/>
      <c r="C370" s="26"/>
      <c r="D370" s="16"/>
      <c r="E370" s="16"/>
      <c r="F370" s="16"/>
      <c r="G370" s="16"/>
      <c r="H370" s="16"/>
      <c r="I370" s="16"/>
      <c r="J370" s="16"/>
    </row>
    <row r="371" spans="1:10" ht="12.75" x14ac:dyDescent="0.2">
      <c r="A371" s="26"/>
      <c r="B371" s="26"/>
      <c r="C371" s="26"/>
      <c r="D371" s="16"/>
      <c r="E371" s="16"/>
      <c r="F371" s="16"/>
      <c r="G371" s="16"/>
      <c r="H371" s="16"/>
      <c r="I371" s="16"/>
      <c r="J371" s="16"/>
    </row>
    <row r="372" spans="1:10" ht="12.75" x14ac:dyDescent="0.2">
      <c r="A372" s="26"/>
      <c r="B372" s="26"/>
      <c r="C372" s="26"/>
      <c r="D372" s="16"/>
      <c r="E372" s="16"/>
      <c r="F372" s="16"/>
      <c r="G372" s="16"/>
      <c r="H372" s="16"/>
      <c r="I372" s="16"/>
      <c r="J372" s="16"/>
    </row>
    <row r="373" spans="1:10" ht="12.75" x14ac:dyDescent="0.2">
      <c r="A373" s="26"/>
      <c r="B373" s="26"/>
      <c r="C373" s="26"/>
      <c r="D373" s="16"/>
      <c r="E373" s="16"/>
      <c r="F373" s="16"/>
      <c r="G373" s="16"/>
      <c r="H373" s="16"/>
      <c r="I373" s="16"/>
      <c r="J373" s="16"/>
    </row>
    <row r="374" spans="1:10" ht="12.75" x14ac:dyDescent="0.2">
      <c r="A374" s="26"/>
      <c r="B374" s="26"/>
      <c r="C374" s="26"/>
      <c r="D374" s="16"/>
      <c r="E374" s="16"/>
      <c r="F374" s="16"/>
      <c r="G374" s="16"/>
      <c r="H374" s="16"/>
      <c r="I374" s="16"/>
      <c r="J374" s="16"/>
    </row>
    <row r="375" spans="1:10" ht="12.75" x14ac:dyDescent="0.2">
      <c r="A375" s="26"/>
      <c r="B375" s="26"/>
      <c r="C375" s="26"/>
      <c r="D375" s="16"/>
      <c r="E375" s="16"/>
      <c r="F375" s="16"/>
      <c r="G375" s="16"/>
      <c r="H375" s="16"/>
      <c r="I375" s="16"/>
      <c r="J375" s="16"/>
    </row>
    <row r="376" spans="1:10" ht="12.75" x14ac:dyDescent="0.2">
      <c r="A376" s="26"/>
      <c r="B376" s="26"/>
      <c r="C376" s="26"/>
      <c r="D376" s="16"/>
      <c r="E376" s="16"/>
      <c r="F376" s="16"/>
      <c r="G376" s="16"/>
      <c r="H376" s="16"/>
      <c r="I376" s="16"/>
      <c r="J376" s="16"/>
    </row>
    <row r="377" spans="1:10" ht="12.75" x14ac:dyDescent="0.2">
      <c r="A377" s="26"/>
      <c r="B377" s="26"/>
      <c r="C377" s="26"/>
      <c r="D377" s="16"/>
      <c r="E377" s="16"/>
      <c r="F377" s="16"/>
      <c r="G377" s="16"/>
      <c r="H377" s="16"/>
      <c r="I377" s="16"/>
      <c r="J377" s="16"/>
    </row>
    <row r="378" spans="1:10" ht="12.75" x14ac:dyDescent="0.2">
      <c r="A378" s="26"/>
      <c r="B378" s="26"/>
      <c r="C378" s="26"/>
      <c r="D378" s="16"/>
      <c r="E378" s="16"/>
      <c r="F378" s="16"/>
      <c r="G378" s="16"/>
      <c r="H378" s="16"/>
      <c r="I378" s="16"/>
      <c r="J378" s="16"/>
    </row>
    <row r="379" spans="1:10" ht="12.75" x14ac:dyDescent="0.2">
      <c r="A379" s="26"/>
      <c r="B379" s="26"/>
      <c r="C379" s="26"/>
      <c r="D379" s="16"/>
      <c r="E379" s="16"/>
      <c r="F379" s="16"/>
      <c r="G379" s="16"/>
      <c r="H379" s="16"/>
      <c r="I379" s="16"/>
      <c r="J379" s="16"/>
    </row>
    <row r="380" spans="1:10" ht="12.75" x14ac:dyDescent="0.2">
      <c r="A380" s="26"/>
      <c r="B380" s="26"/>
      <c r="C380" s="26"/>
      <c r="D380" s="16"/>
      <c r="E380" s="16"/>
      <c r="F380" s="16"/>
      <c r="G380" s="16"/>
      <c r="H380" s="16"/>
      <c r="I380" s="16"/>
      <c r="J380" s="16"/>
    </row>
    <row r="381" spans="1:10" ht="12.75" x14ac:dyDescent="0.2">
      <c r="A381" s="26"/>
      <c r="B381" s="26"/>
      <c r="C381" s="26"/>
      <c r="D381" s="16"/>
      <c r="E381" s="16"/>
      <c r="F381" s="16"/>
      <c r="G381" s="16"/>
      <c r="H381" s="16"/>
      <c r="I381" s="16"/>
      <c r="J381" s="16"/>
    </row>
    <row r="382" spans="1:10" ht="12.75" x14ac:dyDescent="0.2">
      <c r="A382" s="26"/>
      <c r="B382" s="26"/>
      <c r="C382" s="26"/>
      <c r="D382" s="16"/>
      <c r="E382" s="16"/>
      <c r="F382" s="16"/>
      <c r="G382" s="16"/>
      <c r="H382" s="16"/>
      <c r="I382" s="16"/>
      <c r="J382" s="16"/>
    </row>
    <row r="383" spans="1:10" ht="12.75" x14ac:dyDescent="0.2">
      <c r="A383" s="26"/>
      <c r="B383" s="26"/>
      <c r="C383" s="26"/>
      <c r="D383" s="16"/>
      <c r="E383" s="16"/>
      <c r="F383" s="16"/>
      <c r="G383" s="16"/>
      <c r="H383" s="16"/>
      <c r="I383" s="16"/>
      <c r="J383" s="16"/>
    </row>
    <row r="384" spans="1:10" ht="12.75" x14ac:dyDescent="0.2">
      <c r="A384" s="26"/>
      <c r="B384" s="26"/>
      <c r="C384" s="26"/>
      <c r="D384" s="16"/>
      <c r="E384" s="16"/>
      <c r="F384" s="16"/>
      <c r="G384" s="16"/>
      <c r="H384" s="16"/>
      <c r="I384" s="16"/>
      <c r="J384" s="16"/>
    </row>
    <row r="385" spans="1:10" ht="12.75" x14ac:dyDescent="0.2">
      <c r="A385" s="26"/>
      <c r="B385" s="26"/>
      <c r="C385" s="26"/>
      <c r="D385" s="16"/>
      <c r="E385" s="16"/>
      <c r="F385" s="16"/>
      <c r="G385" s="16"/>
      <c r="H385" s="16"/>
      <c r="I385" s="16"/>
      <c r="J385" s="16"/>
    </row>
    <row r="386" spans="1:10" ht="12.75" x14ac:dyDescent="0.2">
      <c r="A386" s="26"/>
      <c r="B386" s="26"/>
      <c r="C386" s="26"/>
      <c r="D386" s="16"/>
      <c r="E386" s="16"/>
      <c r="F386" s="16"/>
      <c r="G386" s="16"/>
      <c r="H386" s="16"/>
      <c r="I386" s="16"/>
      <c r="J386" s="16"/>
    </row>
    <row r="387" spans="1:10" ht="12.75" x14ac:dyDescent="0.2">
      <c r="A387" s="26"/>
      <c r="B387" s="26"/>
      <c r="C387" s="26"/>
      <c r="D387" s="16"/>
      <c r="E387" s="16"/>
      <c r="F387" s="16"/>
      <c r="G387" s="16"/>
      <c r="H387" s="16"/>
      <c r="I387" s="16"/>
      <c r="J387" s="16"/>
    </row>
    <row r="388" spans="1:10" ht="12.75" x14ac:dyDescent="0.2">
      <c r="A388" s="26"/>
      <c r="B388" s="26"/>
      <c r="C388" s="26"/>
      <c r="D388" s="16"/>
      <c r="E388" s="16"/>
      <c r="F388" s="16"/>
      <c r="G388" s="16"/>
      <c r="H388" s="16"/>
      <c r="I388" s="16"/>
      <c r="J388" s="16"/>
    </row>
    <row r="389" spans="1:10" ht="12.75" x14ac:dyDescent="0.2">
      <c r="A389" s="26"/>
      <c r="B389" s="26"/>
      <c r="C389" s="26"/>
      <c r="D389" s="16"/>
      <c r="E389" s="16"/>
      <c r="F389" s="16"/>
      <c r="G389" s="16"/>
      <c r="H389" s="16"/>
      <c r="I389" s="16"/>
      <c r="J389" s="16"/>
    </row>
    <row r="390" spans="1:10" ht="12.75" x14ac:dyDescent="0.2">
      <c r="A390" s="26"/>
      <c r="B390" s="26"/>
      <c r="C390" s="26"/>
      <c r="D390" s="16"/>
      <c r="E390" s="16"/>
      <c r="F390" s="16"/>
      <c r="G390" s="16"/>
      <c r="H390" s="16"/>
      <c r="I390" s="16"/>
      <c r="J390" s="16"/>
    </row>
    <row r="391" spans="1:10" ht="12.75" x14ac:dyDescent="0.2">
      <c r="A391" s="26"/>
      <c r="B391" s="26"/>
      <c r="C391" s="26"/>
      <c r="D391" s="16"/>
      <c r="E391" s="16"/>
      <c r="F391" s="16"/>
      <c r="G391" s="16"/>
      <c r="H391" s="16"/>
      <c r="I391" s="16"/>
      <c r="J391" s="16"/>
    </row>
    <row r="392" spans="1:10" ht="12.75" x14ac:dyDescent="0.2">
      <c r="A392" s="26"/>
      <c r="B392" s="26"/>
      <c r="C392" s="26"/>
      <c r="D392" s="16"/>
      <c r="E392" s="16"/>
      <c r="F392" s="16"/>
      <c r="G392" s="16"/>
      <c r="H392" s="16"/>
      <c r="I392" s="16"/>
      <c r="J392" s="16"/>
    </row>
    <row r="393" spans="1:10" ht="12.75" x14ac:dyDescent="0.2">
      <c r="A393" s="26"/>
      <c r="B393" s="26"/>
      <c r="C393" s="26"/>
      <c r="D393" s="16"/>
      <c r="E393" s="16"/>
      <c r="F393" s="16"/>
      <c r="G393" s="16"/>
      <c r="H393" s="16"/>
      <c r="I393" s="16"/>
      <c r="J393" s="16"/>
    </row>
    <row r="394" spans="1:10" ht="12.75" x14ac:dyDescent="0.2">
      <c r="A394" s="26"/>
      <c r="B394" s="26"/>
      <c r="C394" s="26"/>
      <c r="D394" s="16"/>
      <c r="E394" s="16"/>
      <c r="F394" s="16"/>
      <c r="G394" s="16"/>
      <c r="H394" s="16"/>
      <c r="I394" s="16"/>
      <c r="J394" s="16"/>
    </row>
    <row r="395" spans="1:10" ht="12.75" x14ac:dyDescent="0.2">
      <c r="A395" s="26"/>
      <c r="B395" s="26"/>
      <c r="C395" s="26"/>
      <c r="D395" s="16"/>
      <c r="E395" s="16"/>
      <c r="F395" s="16"/>
      <c r="G395" s="16"/>
      <c r="H395" s="16"/>
      <c r="I395" s="16"/>
      <c r="J395" s="16"/>
    </row>
    <row r="396" spans="1:10" ht="12.75" x14ac:dyDescent="0.2">
      <c r="A396" s="26"/>
      <c r="B396" s="26"/>
      <c r="C396" s="26"/>
      <c r="D396" s="16"/>
      <c r="E396" s="16"/>
      <c r="F396" s="16"/>
      <c r="G396" s="16"/>
      <c r="H396" s="16"/>
      <c r="I396" s="16"/>
      <c r="J396" s="16"/>
    </row>
    <row r="397" spans="1:10" ht="12.75" x14ac:dyDescent="0.2">
      <c r="A397" s="26"/>
      <c r="B397" s="26"/>
      <c r="C397" s="26"/>
      <c r="D397" s="16"/>
      <c r="E397" s="16"/>
      <c r="F397" s="16"/>
      <c r="G397" s="16"/>
      <c r="H397" s="16"/>
      <c r="I397" s="16"/>
      <c r="J397" s="16"/>
    </row>
    <row r="398" spans="1:10" ht="12.75" x14ac:dyDescent="0.2">
      <c r="A398" s="26"/>
      <c r="B398" s="26"/>
      <c r="C398" s="26"/>
      <c r="D398" s="16"/>
      <c r="E398" s="16"/>
      <c r="F398" s="16"/>
      <c r="G398" s="16"/>
      <c r="H398" s="16"/>
      <c r="I398" s="16"/>
      <c r="J398" s="16"/>
    </row>
    <row r="399" spans="1:10" ht="12.75" x14ac:dyDescent="0.2">
      <c r="A399" s="26"/>
      <c r="B399" s="26"/>
      <c r="C399" s="26"/>
      <c r="D399" s="16"/>
      <c r="E399" s="16"/>
      <c r="F399" s="16"/>
      <c r="G399" s="16"/>
      <c r="H399" s="16"/>
      <c r="I399" s="16"/>
      <c r="J399" s="16"/>
    </row>
    <row r="400" spans="1:10" ht="12.75" x14ac:dyDescent="0.2">
      <c r="A400" s="26"/>
      <c r="B400" s="26"/>
      <c r="C400" s="26"/>
      <c r="D400" s="16"/>
      <c r="E400" s="16"/>
      <c r="F400" s="16"/>
      <c r="G400" s="16"/>
      <c r="H400" s="16"/>
      <c r="I400" s="16"/>
      <c r="J400" s="16"/>
    </row>
    <row r="401" spans="1:10" ht="12.75" x14ac:dyDescent="0.2">
      <c r="A401" s="26"/>
      <c r="B401" s="26"/>
      <c r="C401" s="26"/>
      <c r="D401" s="16"/>
      <c r="E401" s="16"/>
      <c r="F401" s="16"/>
      <c r="G401" s="16"/>
      <c r="H401" s="16"/>
      <c r="I401" s="16"/>
      <c r="J401" s="16"/>
    </row>
    <row r="402" spans="1:10" ht="12.75" x14ac:dyDescent="0.2">
      <c r="A402" s="26"/>
      <c r="B402" s="26"/>
      <c r="C402" s="26"/>
      <c r="D402" s="16"/>
      <c r="E402" s="16"/>
      <c r="F402" s="16"/>
      <c r="G402" s="16"/>
      <c r="H402" s="16"/>
      <c r="I402" s="16"/>
      <c r="J402" s="16"/>
    </row>
    <row r="403" spans="1:10" ht="12.75" x14ac:dyDescent="0.2">
      <c r="A403" s="26"/>
      <c r="B403" s="26"/>
      <c r="C403" s="26"/>
      <c r="D403" s="16"/>
      <c r="E403" s="16"/>
      <c r="F403" s="16"/>
      <c r="G403" s="16"/>
      <c r="H403" s="16"/>
      <c r="I403" s="16"/>
      <c r="J403" s="16"/>
    </row>
    <row r="404" spans="1:10" ht="12.75" x14ac:dyDescent="0.2">
      <c r="A404" s="26"/>
      <c r="B404" s="26"/>
      <c r="C404" s="26"/>
      <c r="D404" s="16"/>
      <c r="E404" s="16"/>
      <c r="F404" s="16"/>
      <c r="G404" s="16"/>
      <c r="H404" s="16"/>
      <c r="I404" s="16"/>
      <c r="J404" s="16"/>
    </row>
    <row r="405" spans="1:10" ht="12.75" x14ac:dyDescent="0.2">
      <c r="A405" s="26"/>
      <c r="B405" s="26"/>
      <c r="C405" s="26"/>
      <c r="D405" s="16"/>
      <c r="E405" s="16"/>
      <c r="F405" s="16"/>
      <c r="G405" s="16"/>
      <c r="H405" s="16"/>
      <c r="I405" s="16"/>
      <c r="J405" s="16"/>
    </row>
    <row r="406" spans="1:10" ht="12.75" x14ac:dyDescent="0.2">
      <c r="A406" s="26"/>
      <c r="B406" s="26"/>
      <c r="C406" s="26"/>
      <c r="D406" s="16"/>
      <c r="E406" s="16"/>
      <c r="F406" s="16"/>
      <c r="G406" s="16"/>
      <c r="H406" s="16"/>
      <c r="I406" s="16"/>
      <c r="J406" s="16"/>
    </row>
    <row r="407" spans="1:10" ht="12.75" x14ac:dyDescent="0.2">
      <c r="A407" s="26"/>
      <c r="B407" s="26"/>
      <c r="C407" s="26"/>
      <c r="D407" s="16"/>
      <c r="E407" s="16"/>
      <c r="F407" s="16"/>
      <c r="G407" s="16"/>
      <c r="H407" s="16"/>
      <c r="I407" s="16"/>
      <c r="J407" s="16"/>
    </row>
    <row r="408" spans="1:10" ht="12.75" x14ac:dyDescent="0.2">
      <c r="A408" s="26"/>
      <c r="B408" s="26"/>
      <c r="C408" s="26"/>
      <c r="D408" s="16"/>
      <c r="E408" s="16"/>
      <c r="F408" s="16"/>
      <c r="G408" s="16"/>
      <c r="H408" s="16"/>
      <c r="I408" s="16"/>
      <c r="J408" s="16"/>
    </row>
    <row r="409" spans="1:10" ht="12.75" x14ac:dyDescent="0.2">
      <c r="A409" s="26"/>
      <c r="B409" s="26"/>
      <c r="C409" s="26"/>
      <c r="D409" s="16"/>
      <c r="E409" s="16"/>
      <c r="F409" s="16"/>
      <c r="G409" s="16"/>
      <c r="H409" s="16"/>
      <c r="I409" s="16"/>
      <c r="J409" s="16"/>
    </row>
    <row r="410" spans="1:10" ht="12.75" x14ac:dyDescent="0.2">
      <c r="A410" s="26"/>
      <c r="B410" s="26"/>
      <c r="C410" s="26"/>
      <c r="D410" s="16"/>
      <c r="E410" s="16"/>
      <c r="F410" s="16"/>
      <c r="G410" s="16"/>
      <c r="H410" s="16"/>
      <c r="I410" s="16"/>
      <c r="J410" s="16"/>
    </row>
    <row r="411" spans="1:10" ht="12.75" x14ac:dyDescent="0.2">
      <c r="A411" s="26"/>
      <c r="B411" s="26"/>
      <c r="C411" s="26"/>
      <c r="D411" s="16"/>
      <c r="E411" s="16"/>
      <c r="F411" s="16"/>
      <c r="G411" s="16"/>
      <c r="H411" s="16"/>
      <c r="I411" s="16"/>
      <c r="J411" s="16"/>
    </row>
    <row r="412" spans="1:10" ht="12.75" x14ac:dyDescent="0.2">
      <c r="A412" s="26"/>
      <c r="B412" s="26"/>
      <c r="C412" s="26"/>
      <c r="D412" s="16"/>
      <c r="E412" s="16"/>
      <c r="F412" s="16"/>
      <c r="G412" s="16"/>
      <c r="H412" s="16"/>
      <c r="I412" s="16"/>
      <c r="J412" s="16"/>
    </row>
    <row r="413" spans="1:10" ht="12.75" x14ac:dyDescent="0.2">
      <c r="A413" s="26"/>
      <c r="B413" s="26"/>
      <c r="C413" s="26"/>
      <c r="D413" s="16"/>
      <c r="E413" s="16"/>
      <c r="F413" s="16"/>
      <c r="G413" s="16"/>
      <c r="H413" s="16"/>
      <c r="I413" s="16"/>
      <c r="J413" s="16"/>
    </row>
    <row r="414" spans="1:10" ht="12.75" x14ac:dyDescent="0.2">
      <c r="A414" s="26"/>
      <c r="B414" s="26"/>
      <c r="C414" s="26"/>
      <c r="D414" s="16"/>
      <c r="E414" s="16"/>
      <c r="F414" s="16"/>
      <c r="G414" s="16"/>
      <c r="H414" s="16"/>
      <c r="I414" s="16"/>
      <c r="J414" s="16"/>
    </row>
    <row r="415" spans="1:10" ht="12.75" x14ac:dyDescent="0.2">
      <c r="A415" s="26"/>
      <c r="B415" s="26"/>
      <c r="C415" s="26"/>
      <c r="D415" s="16"/>
      <c r="E415" s="16"/>
      <c r="F415" s="16"/>
      <c r="G415" s="16"/>
      <c r="H415" s="16"/>
      <c r="I415" s="16"/>
      <c r="J415" s="16"/>
    </row>
    <row r="416" spans="1:10" ht="12.75" x14ac:dyDescent="0.2">
      <c r="A416" s="26"/>
      <c r="B416" s="26"/>
      <c r="C416" s="26"/>
      <c r="D416" s="16"/>
      <c r="E416" s="16"/>
      <c r="F416" s="16"/>
      <c r="G416" s="16"/>
      <c r="H416" s="16"/>
      <c r="I416" s="16"/>
      <c r="J416" s="16"/>
    </row>
    <row r="417" spans="1:10" ht="12.75" x14ac:dyDescent="0.2">
      <c r="A417" s="26"/>
      <c r="B417" s="26"/>
      <c r="C417" s="26"/>
      <c r="D417" s="16"/>
      <c r="E417" s="16"/>
      <c r="F417" s="16"/>
      <c r="G417" s="16"/>
      <c r="H417" s="16"/>
      <c r="I417" s="16"/>
      <c r="J417" s="16"/>
    </row>
    <row r="418" spans="1:10" ht="12.75" x14ac:dyDescent="0.2">
      <c r="A418" s="26"/>
      <c r="B418" s="26"/>
      <c r="C418" s="26"/>
      <c r="D418" s="16"/>
      <c r="E418" s="16"/>
      <c r="F418" s="16"/>
      <c r="G418" s="16"/>
      <c r="H418" s="16"/>
      <c r="I418" s="16"/>
      <c r="J418" s="16"/>
    </row>
    <row r="419" spans="1:10" ht="12.75" x14ac:dyDescent="0.2">
      <c r="A419" s="26"/>
      <c r="B419" s="26"/>
      <c r="C419" s="26"/>
      <c r="D419" s="16"/>
      <c r="E419" s="16"/>
      <c r="F419" s="16"/>
      <c r="G419" s="16"/>
      <c r="H419" s="16"/>
      <c r="I419" s="16"/>
      <c r="J419" s="16"/>
    </row>
    <row r="420" spans="1:10" ht="12.75" x14ac:dyDescent="0.2">
      <c r="A420" s="26"/>
      <c r="B420" s="26"/>
      <c r="C420" s="26"/>
      <c r="D420" s="16"/>
      <c r="E420" s="16"/>
      <c r="F420" s="16"/>
      <c r="G420" s="16"/>
      <c r="H420" s="16"/>
      <c r="I420" s="16"/>
      <c r="J420" s="16"/>
    </row>
    <row r="421" spans="1:10" ht="12.75" x14ac:dyDescent="0.2">
      <c r="A421" s="26"/>
      <c r="B421" s="26"/>
      <c r="C421" s="26"/>
      <c r="D421" s="16"/>
      <c r="E421" s="16"/>
      <c r="F421" s="16"/>
      <c r="G421" s="16"/>
      <c r="H421" s="16"/>
      <c r="I421" s="16"/>
      <c r="J421" s="16"/>
    </row>
    <row r="422" spans="1:10" ht="12.75" x14ac:dyDescent="0.2">
      <c r="A422" s="26"/>
      <c r="B422" s="26"/>
      <c r="C422" s="26"/>
      <c r="D422" s="16"/>
      <c r="E422" s="16"/>
      <c r="F422" s="16"/>
      <c r="G422" s="16"/>
      <c r="H422" s="16"/>
      <c r="I422" s="16"/>
      <c r="J422" s="16"/>
    </row>
    <row r="423" spans="1:10" ht="12.75" x14ac:dyDescent="0.2">
      <c r="A423" s="26"/>
      <c r="B423" s="26"/>
      <c r="C423" s="26"/>
      <c r="D423" s="16"/>
      <c r="E423" s="16"/>
      <c r="F423" s="16"/>
      <c r="G423" s="16"/>
      <c r="H423" s="16"/>
      <c r="I423" s="16"/>
      <c r="J423" s="16"/>
    </row>
    <row r="424" spans="1:10" ht="12.75" x14ac:dyDescent="0.2">
      <c r="A424" s="26"/>
      <c r="B424" s="26"/>
      <c r="C424" s="26"/>
      <c r="D424" s="16"/>
      <c r="E424" s="16"/>
      <c r="F424" s="16"/>
      <c r="G424" s="16"/>
      <c r="H424" s="16"/>
      <c r="I424" s="16"/>
      <c r="J424" s="16"/>
    </row>
    <row r="425" spans="1:10" ht="12.75" x14ac:dyDescent="0.2">
      <c r="A425" s="26"/>
      <c r="B425" s="26"/>
      <c r="C425" s="26"/>
      <c r="D425" s="16"/>
      <c r="E425" s="16"/>
      <c r="F425" s="16"/>
      <c r="G425" s="16"/>
      <c r="H425" s="16"/>
      <c r="I425" s="16"/>
      <c r="J425" s="16"/>
    </row>
    <row r="426" spans="1:10" ht="12.75" x14ac:dyDescent="0.2">
      <c r="A426" s="26"/>
      <c r="B426" s="26"/>
      <c r="C426" s="26"/>
      <c r="D426" s="16"/>
      <c r="E426" s="16"/>
      <c r="F426" s="16"/>
      <c r="G426" s="16"/>
      <c r="H426" s="16"/>
      <c r="I426" s="16"/>
      <c r="J426" s="16"/>
    </row>
    <row r="427" spans="1:10" ht="12.75" x14ac:dyDescent="0.2">
      <c r="A427" s="26"/>
      <c r="B427" s="26"/>
      <c r="C427" s="26"/>
      <c r="D427" s="16"/>
      <c r="E427" s="16"/>
      <c r="F427" s="16"/>
      <c r="G427" s="16"/>
      <c r="H427" s="16"/>
      <c r="I427" s="16"/>
      <c r="J427" s="16"/>
    </row>
    <row r="428" spans="1:10" ht="12.75" x14ac:dyDescent="0.2">
      <c r="A428" s="26"/>
      <c r="B428" s="26"/>
      <c r="C428" s="26"/>
      <c r="D428" s="16"/>
      <c r="E428" s="16"/>
      <c r="F428" s="16"/>
      <c r="G428" s="16"/>
      <c r="H428" s="16"/>
      <c r="I428" s="16"/>
      <c r="J428" s="16"/>
    </row>
    <row r="429" spans="1:10" ht="12.75" x14ac:dyDescent="0.2">
      <c r="A429" s="26"/>
      <c r="B429" s="26"/>
      <c r="C429" s="26"/>
      <c r="D429" s="16"/>
      <c r="E429" s="16"/>
      <c r="F429" s="16"/>
      <c r="G429" s="16"/>
      <c r="H429" s="16"/>
      <c r="I429" s="16"/>
      <c r="J429" s="16"/>
    </row>
    <row r="430" spans="1:10" ht="12.75" x14ac:dyDescent="0.2">
      <c r="A430" s="26"/>
      <c r="B430" s="26"/>
      <c r="C430" s="26"/>
      <c r="D430" s="16"/>
      <c r="E430" s="16"/>
      <c r="F430" s="16"/>
      <c r="G430" s="16"/>
      <c r="H430" s="16"/>
      <c r="I430" s="16"/>
      <c r="J430" s="16"/>
    </row>
    <row r="431" spans="1:10" ht="12.75" x14ac:dyDescent="0.2">
      <c r="A431" s="26"/>
      <c r="B431" s="26"/>
      <c r="C431" s="26"/>
      <c r="D431" s="16"/>
      <c r="E431" s="16"/>
      <c r="F431" s="16"/>
      <c r="G431" s="16"/>
      <c r="H431" s="16"/>
      <c r="I431" s="16"/>
      <c r="J431" s="16"/>
    </row>
    <row r="432" spans="1:10" ht="12.75" x14ac:dyDescent="0.2">
      <c r="A432" s="26"/>
      <c r="B432" s="26"/>
      <c r="C432" s="26"/>
      <c r="D432" s="16"/>
      <c r="E432" s="16"/>
      <c r="F432" s="16"/>
      <c r="G432" s="16"/>
      <c r="H432" s="16"/>
      <c r="I432" s="16"/>
      <c r="J432" s="16"/>
    </row>
    <row r="433" spans="1:10" ht="12.75" x14ac:dyDescent="0.2">
      <c r="A433" s="26"/>
      <c r="B433" s="26"/>
      <c r="C433" s="26"/>
      <c r="D433" s="16"/>
      <c r="E433" s="16"/>
      <c r="F433" s="16"/>
      <c r="G433" s="16"/>
      <c r="H433" s="16"/>
      <c r="I433" s="16"/>
      <c r="J433" s="16"/>
    </row>
    <row r="434" spans="1:10" ht="12.75" x14ac:dyDescent="0.2">
      <c r="A434" s="26"/>
      <c r="B434" s="26"/>
      <c r="C434" s="26"/>
      <c r="D434" s="16"/>
      <c r="E434" s="16"/>
      <c r="F434" s="16"/>
      <c r="G434" s="16"/>
      <c r="H434" s="16"/>
      <c r="I434" s="16"/>
      <c r="J434" s="16"/>
    </row>
    <row r="435" spans="1:10" ht="12.75" x14ac:dyDescent="0.2">
      <c r="A435" s="26"/>
      <c r="B435" s="26"/>
      <c r="C435" s="26"/>
      <c r="D435" s="16"/>
      <c r="E435" s="16"/>
      <c r="F435" s="16"/>
      <c r="G435" s="16"/>
      <c r="H435" s="16"/>
      <c r="I435" s="16"/>
      <c r="J435" s="16"/>
    </row>
    <row r="436" spans="1:10" ht="12.75" x14ac:dyDescent="0.2">
      <c r="A436" s="26"/>
      <c r="B436" s="26"/>
      <c r="C436" s="26"/>
      <c r="D436" s="16"/>
      <c r="E436" s="16"/>
      <c r="F436" s="16"/>
      <c r="G436" s="16"/>
      <c r="H436" s="16"/>
      <c r="I436" s="16"/>
      <c r="J436" s="16"/>
    </row>
    <row r="437" spans="1:10" ht="12.75" x14ac:dyDescent="0.2">
      <c r="A437" s="26"/>
      <c r="B437" s="26"/>
      <c r="C437" s="26"/>
      <c r="D437" s="16"/>
      <c r="E437" s="16"/>
      <c r="F437" s="16"/>
      <c r="G437" s="16"/>
      <c r="H437" s="16"/>
      <c r="I437" s="16"/>
      <c r="J437" s="16"/>
    </row>
    <row r="438" spans="1:10" ht="12.75" x14ac:dyDescent="0.2">
      <c r="A438" s="26"/>
      <c r="B438" s="26"/>
      <c r="C438" s="26"/>
      <c r="D438" s="16"/>
      <c r="E438" s="16"/>
      <c r="F438" s="16"/>
      <c r="G438" s="16"/>
      <c r="H438" s="16"/>
      <c r="I438" s="16"/>
      <c r="J438" s="16"/>
    </row>
    <row r="439" spans="1:10" ht="12.75" x14ac:dyDescent="0.2">
      <c r="A439" s="26"/>
      <c r="B439" s="26"/>
      <c r="C439" s="26"/>
      <c r="D439" s="16"/>
      <c r="E439" s="16"/>
      <c r="F439" s="16"/>
      <c r="G439" s="16"/>
      <c r="H439" s="16"/>
      <c r="I439" s="16"/>
      <c r="J439" s="16"/>
    </row>
    <row r="440" spans="1:10" ht="12.75" x14ac:dyDescent="0.2">
      <c r="A440" s="26"/>
      <c r="B440" s="26"/>
      <c r="C440" s="26"/>
      <c r="D440" s="16"/>
      <c r="E440" s="16"/>
      <c r="F440" s="16"/>
      <c r="G440" s="16"/>
      <c r="H440" s="16"/>
      <c r="I440" s="16"/>
      <c r="J440" s="16"/>
    </row>
    <row r="441" spans="1:10" ht="12.75" x14ac:dyDescent="0.2">
      <c r="A441" s="26"/>
      <c r="B441" s="26"/>
      <c r="C441" s="26"/>
      <c r="D441" s="16"/>
      <c r="E441" s="16"/>
      <c r="F441" s="16"/>
      <c r="G441" s="16"/>
      <c r="H441" s="16"/>
      <c r="I441" s="16"/>
      <c r="J441" s="16"/>
    </row>
    <row r="442" spans="1:10" ht="12.75" x14ac:dyDescent="0.2">
      <c r="A442" s="26"/>
      <c r="B442" s="26"/>
      <c r="C442" s="26"/>
      <c r="D442" s="16"/>
      <c r="E442" s="16"/>
      <c r="F442" s="16"/>
      <c r="G442" s="16"/>
      <c r="H442" s="16"/>
      <c r="I442" s="16"/>
      <c r="J442" s="16"/>
    </row>
    <row r="443" spans="1:10" ht="12.75" x14ac:dyDescent="0.2">
      <c r="A443" s="26"/>
      <c r="B443" s="26"/>
      <c r="C443" s="26"/>
      <c r="D443" s="16"/>
      <c r="E443" s="16"/>
      <c r="F443" s="16"/>
      <c r="G443" s="16"/>
      <c r="H443" s="16"/>
      <c r="I443" s="16"/>
      <c r="J443" s="16"/>
    </row>
    <row r="444" spans="1:10" ht="12.75" x14ac:dyDescent="0.2">
      <c r="A444" s="26"/>
      <c r="B444" s="26"/>
      <c r="C444" s="26"/>
      <c r="D444" s="16"/>
      <c r="E444" s="16"/>
      <c r="F444" s="16"/>
      <c r="G444" s="16"/>
      <c r="H444" s="16"/>
      <c r="I444" s="16"/>
      <c r="J444" s="16"/>
    </row>
    <row r="445" spans="1:10" ht="12.75" x14ac:dyDescent="0.2">
      <c r="A445" s="26"/>
      <c r="B445" s="26"/>
      <c r="C445" s="26"/>
      <c r="D445" s="16"/>
      <c r="E445" s="16"/>
      <c r="F445" s="16"/>
      <c r="G445" s="16"/>
      <c r="H445" s="16"/>
      <c r="I445" s="16"/>
      <c r="J445" s="16"/>
    </row>
    <row r="446" spans="1:10" ht="12.75" x14ac:dyDescent="0.2">
      <c r="A446" s="26"/>
      <c r="B446" s="26"/>
      <c r="C446" s="26"/>
      <c r="D446" s="16"/>
      <c r="E446" s="16"/>
      <c r="F446" s="16"/>
      <c r="G446" s="16"/>
      <c r="H446" s="16"/>
      <c r="I446" s="16"/>
      <c r="J446" s="16"/>
    </row>
    <row r="447" spans="1:10" ht="12.75" x14ac:dyDescent="0.2">
      <c r="A447" s="26"/>
      <c r="B447" s="26"/>
      <c r="C447" s="26"/>
      <c r="D447" s="16"/>
      <c r="E447" s="16"/>
      <c r="F447" s="16"/>
      <c r="G447" s="16"/>
      <c r="H447" s="16"/>
      <c r="I447" s="16"/>
      <c r="J447" s="16"/>
    </row>
    <row r="448" spans="1:10" ht="12.75" x14ac:dyDescent="0.2">
      <c r="A448" s="26"/>
      <c r="B448" s="26"/>
      <c r="C448" s="26"/>
      <c r="D448" s="16"/>
      <c r="E448" s="16"/>
      <c r="F448" s="16"/>
      <c r="G448" s="16"/>
      <c r="H448" s="16"/>
      <c r="I448" s="16"/>
      <c r="J448" s="16"/>
    </row>
    <row r="449" spans="1:10" ht="12.75" x14ac:dyDescent="0.2">
      <c r="A449" s="26"/>
      <c r="B449" s="26"/>
      <c r="C449" s="26"/>
      <c r="D449" s="16"/>
      <c r="E449" s="16"/>
      <c r="F449" s="16"/>
      <c r="G449" s="16"/>
      <c r="H449" s="16"/>
      <c r="I449" s="16"/>
      <c r="J449" s="16"/>
    </row>
    <row r="450" spans="1:10" ht="12.75" x14ac:dyDescent="0.2">
      <c r="A450" s="26"/>
      <c r="B450" s="26"/>
      <c r="C450" s="26"/>
      <c r="D450" s="16"/>
      <c r="E450" s="16"/>
      <c r="F450" s="16"/>
      <c r="G450" s="16"/>
      <c r="H450" s="16"/>
      <c r="I450" s="16"/>
      <c r="J450" s="16"/>
    </row>
    <row r="451" spans="1:10" ht="12.75" x14ac:dyDescent="0.2">
      <c r="A451" s="26"/>
      <c r="B451" s="26"/>
      <c r="C451" s="26"/>
      <c r="D451" s="16"/>
      <c r="E451" s="16"/>
      <c r="F451" s="16"/>
      <c r="G451" s="16"/>
      <c r="H451" s="16"/>
      <c r="I451" s="16"/>
      <c r="J451" s="16"/>
    </row>
    <row r="452" spans="1:10" ht="12.75" x14ac:dyDescent="0.2">
      <c r="A452" s="26"/>
      <c r="B452" s="26"/>
      <c r="C452" s="26"/>
      <c r="D452" s="16"/>
      <c r="E452" s="16"/>
      <c r="F452" s="16"/>
      <c r="G452" s="16"/>
      <c r="H452" s="16"/>
      <c r="I452" s="16"/>
      <c r="J452" s="16"/>
    </row>
    <row r="453" spans="1:10" ht="12.75" x14ac:dyDescent="0.2">
      <c r="A453" s="26"/>
      <c r="B453" s="26"/>
      <c r="C453" s="26"/>
      <c r="D453" s="16"/>
      <c r="E453" s="16"/>
      <c r="F453" s="16"/>
      <c r="G453" s="16"/>
      <c r="H453" s="16"/>
      <c r="I453" s="16"/>
      <c r="J453" s="16"/>
    </row>
    <row r="454" spans="1:10" ht="12.75" x14ac:dyDescent="0.2">
      <c r="A454" s="26"/>
      <c r="B454" s="26"/>
      <c r="C454" s="26"/>
      <c r="D454" s="16"/>
      <c r="E454" s="16"/>
      <c r="F454" s="16"/>
      <c r="G454" s="16"/>
      <c r="H454" s="16"/>
      <c r="I454" s="16"/>
      <c r="J454" s="16"/>
    </row>
    <row r="455" spans="1:10" ht="12.75" x14ac:dyDescent="0.2">
      <c r="A455" s="26"/>
      <c r="B455" s="26"/>
      <c r="C455" s="26"/>
      <c r="D455" s="16"/>
      <c r="E455" s="16"/>
      <c r="F455" s="16"/>
      <c r="G455" s="16"/>
      <c r="H455" s="16"/>
      <c r="I455" s="16"/>
      <c r="J455" s="16"/>
    </row>
    <row r="456" spans="1:10" ht="12.75" x14ac:dyDescent="0.2">
      <c r="A456" s="26"/>
      <c r="B456" s="26"/>
      <c r="C456" s="26"/>
      <c r="D456" s="16"/>
      <c r="E456" s="16"/>
      <c r="F456" s="16"/>
      <c r="G456" s="16"/>
      <c r="H456" s="16"/>
      <c r="I456" s="16"/>
      <c r="J456" s="16"/>
    </row>
    <row r="457" spans="1:10" ht="12.75" x14ac:dyDescent="0.2">
      <c r="A457" s="26"/>
      <c r="B457" s="26"/>
      <c r="C457" s="26"/>
      <c r="D457" s="16"/>
      <c r="E457" s="16"/>
      <c r="F457" s="16"/>
      <c r="G457" s="16"/>
      <c r="H457" s="16"/>
      <c r="I457" s="16"/>
      <c r="J457" s="16"/>
    </row>
    <row r="458" spans="1:10" ht="12.75" x14ac:dyDescent="0.2">
      <c r="A458" s="26"/>
      <c r="B458" s="26"/>
      <c r="C458" s="26"/>
      <c r="D458" s="16"/>
      <c r="E458" s="16"/>
      <c r="F458" s="16"/>
      <c r="G458" s="16"/>
      <c r="H458" s="16"/>
      <c r="I458" s="16"/>
      <c r="J458" s="16"/>
    </row>
    <row r="459" spans="1:10" ht="12.75" x14ac:dyDescent="0.2">
      <c r="A459" s="26"/>
      <c r="B459" s="26"/>
      <c r="C459" s="26"/>
      <c r="D459" s="16"/>
      <c r="E459" s="16"/>
      <c r="F459" s="16"/>
      <c r="G459" s="16"/>
      <c r="H459" s="16"/>
      <c r="I459" s="16"/>
      <c r="J459" s="16"/>
    </row>
    <row r="460" spans="1:10" ht="12.75" x14ac:dyDescent="0.2">
      <c r="A460" s="26"/>
      <c r="B460" s="26"/>
      <c r="C460" s="26"/>
      <c r="D460" s="16"/>
      <c r="E460" s="16"/>
      <c r="F460" s="16"/>
      <c r="G460" s="16"/>
      <c r="H460" s="16"/>
      <c r="I460" s="16"/>
      <c r="J460" s="16"/>
    </row>
    <row r="461" spans="1:10" ht="12.75" x14ac:dyDescent="0.2">
      <c r="A461" s="26"/>
      <c r="B461" s="26"/>
      <c r="C461" s="26"/>
      <c r="D461" s="16"/>
      <c r="E461" s="16"/>
      <c r="F461" s="16"/>
      <c r="G461" s="16"/>
      <c r="H461" s="16"/>
      <c r="I461" s="16"/>
      <c r="J461" s="16"/>
    </row>
    <row r="462" spans="1:10" ht="12.75" x14ac:dyDescent="0.2">
      <c r="A462" s="26"/>
      <c r="B462" s="26"/>
      <c r="C462" s="26"/>
      <c r="D462" s="16"/>
      <c r="E462" s="16"/>
      <c r="F462" s="16"/>
      <c r="G462" s="16"/>
      <c r="H462" s="16"/>
      <c r="I462" s="16"/>
      <c r="J462" s="16"/>
    </row>
    <row r="463" spans="1:10" ht="12.75" x14ac:dyDescent="0.2">
      <c r="A463" s="26"/>
      <c r="B463" s="26"/>
      <c r="C463" s="26"/>
      <c r="D463" s="16"/>
      <c r="E463" s="16"/>
      <c r="F463" s="16"/>
      <c r="G463" s="16"/>
      <c r="H463" s="16"/>
      <c r="I463" s="16"/>
      <c r="J463" s="16"/>
    </row>
    <row r="464" spans="1:10" ht="12.75" x14ac:dyDescent="0.2">
      <c r="A464" s="26"/>
      <c r="B464" s="26"/>
      <c r="C464" s="26"/>
      <c r="D464" s="16"/>
      <c r="E464" s="16"/>
      <c r="F464" s="16"/>
      <c r="G464" s="16"/>
      <c r="H464" s="16"/>
      <c r="I464" s="16"/>
      <c r="J464" s="16"/>
    </row>
    <row r="465" spans="1:10" ht="12.75" x14ac:dyDescent="0.2">
      <c r="A465" s="26"/>
      <c r="B465" s="26"/>
      <c r="C465" s="26"/>
      <c r="D465" s="16"/>
      <c r="E465" s="16"/>
      <c r="F465" s="16"/>
      <c r="G465" s="16"/>
      <c r="H465" s="16"/>
      <c r="I465" s="16"/>
      <c r="J465" s="16"/>
    </row>
    <row r="466" spans="1:10" ht="12.75" x14ac:dyDescent="0.2">
      <c r="A466" s="26"/>
      <c r="B466" s="26"/>
      <c r="C466" s="26"/>
      <c r="D466" s="16"/>
      <c r="E466" s="16"/>
      <c r="F466" s="16"/>
      <c r="G466" s="16"/>
      <c r="H466" s="16"/>
      <c r="I466" s="16"/>
      <c r="J466" s="16"/>
    </row>
    <row r="467" spans="1:10" ht="12.75" x14ac:dyDescent="0.2">
      <c r="A467" s="26"/>
      <c r="B467" s="26"/>
      <c r="C467" s="26"/>
      <c r="D467" s="16"/>
      <c r="E467" s="16"/>
      <c r="F467" s="16"/>
      <c r="G467" s="16"/>
      <c r="H467" s="16"/>
      <c r="I467" s="16"/>
      <c r="J467" s="16"/>
    </row>
    <row r="468" spans="1:10" ht="12.75" x14ac:dyDescent="0.2">
      <c r="A468" s="26"/>
      <c r="B468" s="26"/>
      <c r="C468" s="26"/>
      <c r="D468" s="16"/>
      <c r="E468" s="16"/>
      <c r="F468" s="16"/>
      <c r="G468" s="16"/>
      <c r="H468" s="16"/>
      <c r="I468" s="16"/>
      <c r="J468" s="16"/>
    </row>
    <row r="469" spans="1:10" ht="12.75" x14ac:dyDescent="0.2">
      <c r="A469" s="26"/>
      <c r="B469" s="26"/>
      <c r="C469" s="26"/>
      <c r="D469" s="16"/>
      <c r="E469" s="16"/>
      <c r="F469" s="16"/>
      <c r="G469" s="16"/>
      <c r="H469" s="16"/>
      <c r="I469" s="16"/>
      <c r="J469" s="16"/>
    </row>
    <row r="470" spans="1:10" ht="12.75" x14ac:dyDescent="0.2">
      <c r="A470" s="26"/>
      <c r="B470" s="26"/>
      <c r="C470" s="26"/>
      <c r="D470" s="16"/>
      <c r="E470" s="16"/>
      <c r="F470" s="16"/>
      <c r="G470" s="16"/>
      <c r="H470" s="16"/>
      <c r="I470" s="16"/>
      <c r="J470" s="16"/>
    </row>
    <row r="471" spans="1:10" ht="12.75" x14ac:dyDescent="0.2">
      <c r="A471" s="26"/>
      <c r="B471" s="26"/>
      <c r="C471" s="26"/>
      <c r="D471" s="16"/>
      <c r="E471" s="16"/>
      <c r="F471" s="16"/>
      <c r="G471" s="16"/>
      <c r="H471" s="16"/>
      <c r="I471" s="16"/>
      <c r="J471" s="16"/>
    </row>
    <row r="472" spans="1:10" ht="12.75" x14ac:dyDescent="0.2">
      <c r="A472" s="26"/>
      <c r="B472" s="26"/>
      <c r="C472" s="26"/>
      <c r="D472" s="16"/>
      <c r="E472" s="16"/>
      <c r="F472" s="16"/>
      <c r="G472" s="16"/>
      <c r="H472" s="16"/>
      <c r="I472" s="16"/>
      <c r="J472" s="16"/>
    </row>
    <row r="473" spans="1:10" ht="12.75" x14ac:dyDescent="0.2">
      <c r="A473" s="26"/>
      <c r="B473" s="26"/>
      <c r="C473" s="26"/>
      <c r="D473" s="16"/>
      <c r="E473" s="16"/>
      <c r="F473" s="16"/>
      <c r="G473" s="16"/>
      <c r="H473" s="16"/>
      <c r="I473" s="16"/>
      <c r="J473" s="16"/>
    </row>
    <row r="474" spans="1:10" ht="12.75" x14ac:dyDescent="0.2">
      <c r="A474" s="26"/>
      <c r="B474" s="26"/>
      <c r="C474" s="26"/>
      <c r="D474" s="16"/>
      <c r="E474" s="16"/>
      <c r="F474" s="16"/>
      <c r="G474" s="16"/>
      <c r="H474" s="16"/>
      <c r="I474" s="16"/>
      <c r="J474" s="16"/>
    </row>
    <row r="475" spans="1:10" ht="12.75" x14ac:dyDescent="0.2">
      <c r="A475" s="26"/>
      <c r="B475" s="26"/>
      <c r="C475" s="26"/>
      <c r="D475" s="16"/>
      <c r="E475" s="16"/>
      <c r="F475" s="16"/>
      <c r="G475" s="16"/>
      <c r="H475" s="16"/>
      <c r="I475" s="16"/>
      <c r="J475" s="16"/>
    </row>
    <row r="476" spans="1:10" ht="12.75" x14ac:dyDescent="0.2">
      <c r="A476" s="26"/>
      <c r="B476" s="26"/>
      <c r="C476" s="26"/>
      <c r="D476" s="16"/>
      <c r="E476" s="16"/>
      <c r="F476" s="16"/>
      <c r="G476" s="16"/>
      <c r="H476" s="16"/>
      <c r="I476" s="16"/>
      <c r="J476" s="16"/>
    </row>
    <row r="477" spans="1:10" ht="12.75" x14ac:dyDescent="0.2">
      <c r="A477" s="26"/>
      <c r="B477" s="26"/>
      <c r="C477" s="26"/>
      <c r="D477" s="16"/>
      <c r="E477" s="16"/>
      <c r="F477" s="16"/>
      <c r="G477" s="16"/>
      <c r="H477" s="16"/>
      <c r="I477" s="16"/>
      <c r="J477" s="16"/>
    </row>
    <row r="478" spans="1:10" ht="12.75" x14ac:dyDescent="0.2">
      <c r="A478" s="26"/>
      <c r="B478" s="26"/>
      <c r="C478" s="26"/>
      <c r="D478" s="16"/>
      <c r="E478" s="16"/>
      <c r="F478" s="16"/>
      <c r="G478" s="16"/>
      <c r="H478" s="16"/>
      <c r="I478" s="16"/>
      <c r="J478" s="16"/>
    </row>
    <row r="479" spans="1:10" ht="12.75" x14ac:dyDescent="0.2">
      <c r="A479" s="26"/>
      <c r="B479" s="26"/>
      <c r="C479" s="26"/>
      <c r="D479" s="16"/>
      <c r="E479" s="16"/>
      <c r="F479" s="16"/>
      <c r="G479" s="16"/>
      <c r="H479" s="16"/>
      <c r="I479" s="16"/>
      <c r="J479" s="16"/>
    </row>
    <row r="480" spans="1:10" ht="12.75" x14ac:dyDescent="0.2">
      <c r="A480" s="26"/>
      <c r="B480" s="26"/>
      <c r="C480" s="26"/>
      <c r="D480" s="16"/>
      <c r="E480" s="16"/>
      <c r="F480" s="16"/>
      <c r="G480" s="16"/>
      <c r="H480" s="16"/>
      <c r="I480" s="16"/>
      <c r="J480" s="16"/>
    </row>
    <row r="481" spans="1:10" ht="12.75" x14ac:dyDescent="0.2">
      <c r="A481" s="26"/>
      <c r="B481" s="26"/>
      <c r="C481" s="26"/>
      <c r="D481" s="16"/>
      <c r="E481" s="16"/>
      <c r="F481" s="16"/>
      <c r="G481" s="16"/>
      <c r="H481" s="16"/>
      <c r="I481" s="16"/>
      <c r="J481" s="16"/>
    </row>
    <row r="482" spans="1:10" ht="12.75" x14ac:dyDescent="0.2">
      <c r="A482" s="26"/>
      <c r="B482" s="26"/>
      <c r="C482" s="26"/>
      <c r="D482" s="16"/>
      <c r="E482" s="16"/>
      <c r="F482" s="16"/>
      <c r="G482" s="16"/>
      <c r="H482" s="16"/>
      <c r="I482" s="16"/>
      <c r="J482" s="16"/>
    </row>
    <row r="483" spans="1:10" ht="12.75" x14ac:dyDescent="0.2">
      <c r="A483" s="26"/>
      <c r="B483" s="26"/>
      <c r="C483" s="26"/>
      <c r="D483" s="16"/>
      <c r="E483" s="16"/>
      <c r="F483" s="16"/>
      <c r="G483" s="16"/>
      <c r="H483" s="16"/>
      <c r="I483" s="16"/>
      <c r="J483" s="16"/>
    </row>
    <row r="484" spans="1:10" ht="12.75" x14ac:dyDescent="0.2">
      <c r="A484" s="26"/>
      <c r="B484" s="26"/>
      <c r="C484" s="26"/>
      <c r="D484" s="16"/>
      <c r="E484" s="16"/>
      <c r="F484" s="16"/>
      <c r="G484" s="16"/>
      <c r="H484" s="16"/>
      <c r="I484" s="16"/>
      <c r="J484" s="16"/>
    </row>
    <row r="485" spans="1:10" ht="12.75" x14ac:dyDescent="0.2">
      <c r="A485" s="26"/>
      <c r="B485" s="26"/>
      <c r="C485" s="26"/>
      <c r="D485" s="16"/>
      <c r="E485" s="16"/>
      <c r="F485" s="16"/>
      <c r="G485" s="16"/>
      <c r="H485" s="16"/>
      <c r="I485" s="16"/>
      <c r="J485" s="16"/>
    </row>
    <row r="486" spans="1:10" ht="12.75" x14ac:dyDescent="0.2">
      <c r="A486" s="26"/>
      <c r="B486" s="26"/>
      <c r="C486" s="26"/>
      <c r="D486" s="16"/>
      <c r="E486" s="16"/>
      <c r="F486" s="16"/>
      <c r="G486" s="16"/>
      <c r="H486" s="16"/>
      <c r="I486" s="16"/>
      <c r="J486" s="16"/>
    </row>
    <row r="487" spans="1:10" ht="12.75" x14ac:dyDescent="0.2">
      <c r="A487" s="26"/>
      <c r="B487" s="26"/>
      <c r="C487" s="26"/>
      <c r="D487" s="16"/>
      <c r="E487" s="16"/>
      <c r="F487" s="16"/>
      <c r="G487" s="16"/>
      <c r="H487" s="16"/>
      <c r="I487" s="16"/>
      <c r="J487" s="16"/>
    </row>
    <row r="488" spans="1:10" ht="12.75" x14ac:dyDescent="0.2">
      <c r="A488" s="26"/>
      <c r="B488" s="26"/>
      <c r="C488" s="26"/>
      <c r="D488" s="16"/>
      <c r="E488" s="16"/>
      <c r="F488" s="16"/>
      <c r="G488" s="16"/>
      <c r="H488" s="16"/>
      <c r="I488" s="16"/>
      <c r="J488" s="16"/>
    </row>
    <row r="489" spans="1:10" ht="12.75" x14ac:dyDescent="0.2">
      <c r="A489" s="26"/>
      <c r="B489" s="26"/>
      <c r="C489" s="26"/>
      <c r="D489" s="16"/>
      <c r="E489" s="16"/>
      <c r="F489" s="16"/>
      <c r="G489" s="16"/>
      <c r="H489" s="16"/>
      <c r="I489" s="16"/>
      <c r="J489" s="16"/>
    </row>
    <row r="490" spans="1:10" ht="12.75" x14ac:dyDescent="0.2">
      <c r="A490" s="26"/>
      <c r="B490" s="26"/>
      <c r="C490" s="26"/>
      <c r="D490" s="16"/>
      <c r="E490" s="16"/>
      <c r="F490" s="16"/>
      <c r="G490" s="16"/>
      <c r="H490" s="16"/>
      <c r="I490" s="16"/>
      <c r="J490" s="16"/>
    </row>
    <row r="491" spans="1:10" ht="12.75" x14ac:dyDescent="0.2">
      <c r="A491" s="26"/>
      <c r="B491" s="26"/>
      <c r="C491" s="26"/>
      <c r="D491" s="16"/>
      <c r="E491" s="16"/>
      <c r="F491" s="16"/>
      <c r="G491" s="16"/>
      <c r="H491" s="16"/>
      <c r="I491" s="16"/>
      <c r="J491" s="16"/>
    </row>
    <row r="492" spans="1:10" ht="12.75" x14ac:dyDescent="0.2">
      <c r="A492" s="26"/>
      <c r="B492" s="26"/>
      <c r="C492" s="26"/>
      <c r="D492" s="16"/>
      <c r="E492" s="16"/>
      <c r="F492" s="16"/>
      <c r="G492" s="16"/>
      <c r="H492" s="16"/>
      <c r="I492" s="16"/>
      <c r="J492" s="16"/>
    </row>
    <row r="493" spans="1:10" ht="12.75" x14ac:dyDescent="0.2">
      <c r="A493" s="26"/>
      <c r="B493" s="26"/>
      <c r="C493" s="26"/>
      <c r="D493" s="16"/>
      <c r="E493" s="16"/>
      <c r="F493" s="16"/>
      <c r="G493" s="16"/>
      <c r="H493" s="16"/>
      <c r="I493" s="16"/>
      <c r="J493" s="16"/>
    </row>
    <row r="494" spans="1:10" ht="12.75" x14ac:dyDescent="0.2">
      <c r="A494" s="26"/>
      <c r="B494" s="26"/>
      <c r="C494" s="26"/>
      <c r="D494" s="16"/>
      <c r="E494" s="16"/>
      <c r="F494" s="16"/>
      <c r="G494" s="16"/>
      <c r="H494" s="16"/>
      <c r="I494" s="16"/>
      <c r="J494" s="16"/>
    </row>
    <row r="495" spans="1:10" ht="12.75" x14ac:dyDescent="0.2">
      <c r="A495" s="26"/>
      <c r="B495" s="26"/>
      <c r="C495" s="26"/>
      <c r="D495" s="16"/>
      <c r="E495" s="16"/>
      <c r="F495" s="16"/>
      <c r="G495" s="16"/>
      <c r="H495" s="16"/>
      <c r="I495" s="16"/>
      <c r="J495" s="16"/>
    </row>
    <row r="496" spans="1:10" ht="12.75" x14ac:dyDescent="0.2">
      <c r="A496" s="26"/>
      <c r="B496" s="26"/>
      <c r="C496" s="26"/>
      <c r="D496" s="16"/>
      <c r="E496" s="16"/>
      <c r="F496" s="16"/>
      <c r="G496" s="16"/>
      <c r="H496" s="16"/>
      <c r="I496" s="16"/>
      <c r="J496" s="16"/>
    </row>
    <row r="497" spans="1:10" ht="12.75" x14ac:dyDescent="0.2">
      <c r="A497" s="26"/>
      <c r="B497" s="26"/>
      <c r="C497" s="26"/>
      <c r="D497" s="16"/>
      <c r="E497" s="16"/>
      <c r="F497" s="16"/>
      <c r="G497" s="16"/>
      <c r="H497" s="16"/>
      <c r="I497" s="16"/>
      <c r="J497" s="16"/>
    </row>
    <row r="498" spans="1:10" ht="12.75" x14ac:dyDescent="0.2">
      <c r="A498" s="26"/>
      <c r="B498" s="26"/>
      <c r="C498" s="26"/>
      <c r="D498" s="16"/>
      <c r="E498" s="16"/>
      <c r="F498" s="16"/>
      <c r="G498" s="16"/>
      <c r="H498" s="16"/>
      <c r="I498" s="16"/>
      <c r="J498" s="16"/>
    </row>
    <row r="499" spans="1:10" ht="12.75" x14ac:dyDescent="0.2">
      <c r="A499" s="26"/>
      <c r="B499" s="26"/>
      <c r="C499" s="26"/>
      <c r="D499" s="16"/>
      <c r="E499" s="16"/>
      <c r="F499" s="16"/>
      <c r="G499" s="16"/>
      <c r="H499" s="16"/>
      <c r="I499" s="16"/>
      <c r="J499" s="16"/>
    </row>
    <row r="500" spans="1:10" ht="12.75" x14ac:dyDescent="0.2">
      <c r="A500" s="26"/>
      <c r="B500" s="26"/>
      <c r="C500" s="26"/>
      <c r="D500" s="16"/>
      <c r="E500" s="16"/>
      <c r="F500" s="16"/>
      <c r="G500" s="16"/>
      <c r="H500" s="16"/>
      <c r="I500" s="16"/>
      <c r="J500" s="16"/>
    </row>
    <row r="501" spans="1:10" ht="12.75" x14ac:dyDescent="0.2">
      <c r="A501" s="26"/>
      <c r="B501" s="26"/>
      <c r="C501" s="26"/>
      <c r="D501" s="16"/>
      <c r="E501" s="16"/>
      <c r="F501" s="16"/>
      <c r="G501" s="16"/>
      <c r="H501" s="16"/>
      <c r="I501" s="16"/>
      <c r="J501" s="16"/>
    </row>
    <row r="502" spans="1:10" ht="12.75" x14ac:dyDescent="0.2">
      <c r="A502" s="26"/>
      <c r="B502" s="26"/>
      <c r="C502" s="26"/>
      <c r="D502" s="16"/>
      <c r="E502" s="16"/>
      <c r="F502" s="16"/>
      <c r="G502" s="16"/>
      <c r="H502" s="16"/>
      <c r="I502" s="16"/>
      <c r="J502" s="16"/>
    </row>
    <row r="503" spans="1:10" ht="12.75" x14ac:dyDescent="0.2">
      <c r="A503" s="26"/>
      <c r="B503" s="26"/>
      <c r="C503" s="26"/>
      <c r="D503" s="16"/>
      <c r="E503" s="16"/>
      <c r="F503" s="16"/>
      <c r="G503" s="16"/>
      <c r="H503" s="16"/>
      <c r="I503" s="16"/>
      <c r="J503" s="16"/>
    </row>
    <row r="504" spans="1:10" ht="12.75" x14ac:dyDescent="0.2">
      <c r="A504" s="26"/>
      <c r="B504" s="26"/>
      <c r="C504" s="26"/>
      <c r="D504" s="16"/>
      <c r="E504" s="16"/>
      <c r="F504" s="16"/>
      <c r="G504" s="16"/>
      <c r="H504" s="16"/>
      <c r="I504" s="16"/>
      <c r="J504" s="16"/>
    </row>
    <row r="505" spans="1:10" ht="12.75" x14ac:dyDescent="0.2">
      <c r="A505" s="26"/>
      <c r="B505" s="26"/>
      <c r="C505" s="26"/>
      <c r="D505" s="16"/>
      <c r="E505" s="16"/>
      <c r="F505" s="16"/>
      <c r="G505" s="16"/>
      <c r="H505" s="16"/>
      <c r="I505" s="16"/>
      <c r="J505" s="16"/>
    </row>
    <row r="506" spans="1:10" ht="12.75" x14ac:dyDescent="0.2">
      <c r="A506" s="26"/>
      <c r="B506" s="26"/>
      <c r="C506" s="26"/>
      <c r="D506" s="16"/>
      <c r="E506" s="16"/>
      <c r="F506" s="16"/>
      <c r="G506" s="16"/>
      <c r="H506" s="16"/>
      <c r="I506" s="16"/>
      <c r="J506" s="16"/>
    </row>
    <row r="507" spans="1:10" ht="12.75" x14ac:dyDescent="0.2">
      <c r="A507" s="26"/>
      <c r="B507" s="26"/>
      <c r="C507" s="26"/>
      <c r="D507" s="16"/>
      <c r="E507" s="16"/>
      <c r="F507" s="16"/>
      <c r="G507" s="16"/>
      <c r="H507" s="16"/>
      <c r="I507" s="16"/>
      <c r="J507" s="16"/>
    </row>
    <row r="508" spans="1:10" ht="12.75" x14ac:dyDescent="0.2">
      <c r="A508" s="26"/>
      <c r="B508" s="26"/>
      <c r="C508" s="26"/>
      <c r="D508" s="16"/>
      <c r="E508" s="16"/>
      <c r="F508" s="16"/>
      <c r="G508" s="16"/>
      <c r="H508" s="16"/>
      <c r="I508" s="16"/>
      <c r="J508" s="16"/>
    </row>
    <row r="509" spans="1:10" ht="12.75" x14ac:dyDescent="0.2">
      <c r="A509" s="26"/>
      <c r="B509" s="26"/>
      <c r="C509" s="26"/>
      <c r="D509" s="16"/>
      <c r="E509" s="16"/>
      <c r="F509" s="16"/>
      <c r="G509" s="16"/>
      <c r="H509" s="16"/>
      <c r="I509" s="16"/>
      <c r="J509" s="16"/>
    </row>
    <row r="510" spans="1:10" ht="12.75" x14ac:dyDescent="0.2">
      <c r="A510" s="26"/>
      <c r="B510" s="26"/>
      <c r="C510" s="26"/>
      <c r="D510" s="16"/>
      <c r="E510" s="16"/>
      <c r="F510" s="16"/>
      <c r="G510" s="16"/>
      <c r="H510" s="16"/>
      <c r="I510" s="16"/>
      <c r="J510" s="16"/>
    </row>
    <row r="511" spans="1:10" ht="12.75" x14ac:dyDescent="0.2">
      <c r="A511" s="26"/>
      <c r="B511" s="26"/>
      <c r="C511" s="26"/>
      <c r="D511" s="16"/>
      <c r="E511" s="16"/>
      <c r="F511" s="16"/>
      <c r="G511" s="16"/>
      <c r="H511" s="16"/>
      <c r="I511" s="16"/>
      <c r="J511" s="16"/>
    </row>
    <row r="512" spans="1:10" ht="12.75" x14ac:dyDescent="0.2">
      <c r="A512" s="26"/>
      <c r="B512" s="26"/>
      <c r="C512" s="26"/>
      <c r="D512" s="16"/>
      <c r="E512" s="16"/>
      <c r="F512" s="16"/>
      <c r="G512" s="16"/>
      <c r="H512" s="16"/>
      <c r="I512" s="16"/>
      <c r="J512" s="16"/>
    </row>
    <row r="513" spans="1:10" ht="12.75" x14ac:dyDescent="0.2">
      <c r="A513" s="26"/>
      <c r="B513" s="26"/>
      <c r="C513" s="26"/>
      <c r="D513" s="16"/>
      <c r="E513" s="16"/>
      <c r="F513" s="16"/>
      <c r="G513" s="16"/>
      <c r="H513" s="16"/>
      <c r="I513" s="16"/>
      <c r="J513" s="16"/>
    </row>
    <row r="514" spans="1:10" ht="12.75" x14ac:dyDescent="0.2">
      <c r="A514" s="26"/>
      <c r="B514" s="26"/>
      <c r="C514" s="26"/>
      <c r="D514" s="16"/>
      <c r="E514" s="16"/>
      <c r="F514" s="16"/>
      <c r="G514" s="16"/>
      <c r="H514" s="16"/>
      <c r="I514" s="16"/>
      <c r="J514" s="16"/>
    </row>
    <row r="515" spans="1:10" ht="12.75" x14ac:dyDescent="0.2">
      <c r="A515" s="26"/>
      <c r="B515" s="26"/>
      <c r="C515" s="26"/>
      <c r="D515" s="16"/>
      <c r="E515" s="16"/>
      <c r="F515" s="16"/>
      <c r="G515" s="16"/>
      <c r="H515" s="16"/>
      <c r="I515" s="16"/>
      <c r="J515" s="16"/>
    </row>
    <row r="516" spans="1:10" ht="12.75" x14ac:dyDescent="0.2">
      <c r="A516" s="26"/>
      <c r="B516" s="26"/>
      <c r="C516" s="26"/>
      <c r="D516" s="16"/>
      <c r="E516" s="16"/>
      <c r="F516" s="16"/>
      <c r="G516" s="16"/>
      <c r="H516" s="16"/>
      <c r="I516" s="16"/>
      <c r="J516" s="16"/>
    </row>
    <row r="517" spans="1:10" ht="12.75" x14ac:dyDescent="0.2">
      <c r="A517" s="26"/>
      <c r="B517" s="26"/>
      <c r="C517" s="26"/>
      <c r="D517" s="16"/>
      <c r="E517" s="16"/>
      <c r="F517" s="16"/>
      <c r="G517" s="16"/>
      <c r="H517" s="16"/>
      <c r="I517" s="16"/>
      <c r="J517" s="16"/>
    </row>
    <row r="518" spans="1:10" ht="12.75" x14ac:dyDescent="0.2">
      <c r="A518" s="26"/>
      <c r="B518" s="26"/>
      <c r="C518" s="26"/>
      <c r="D518" s="16"/>
      <c r="E518" s="16"/>
      <c r="F518" s="16"/>
      <c r="G518" s="16"/>
      <c r="H518" s="16"/>
      <c r="I518" s="16"/>
      <c r="J518" s="16"/>
    </row>
    <row r="519" spans="1:10" ht="12.75" x14ac:dyDescent="0.2">
      <c r="A519" s="26"/>
      <c r="B519" s="26"/>
      <c r="C519" s="26"/>
      <c r="D519" s="16"/>
      <c r="E519" s="16"/>
      <c r="F519" s="16"/>
      <c r="G519" s="16"/>
      <c r="H519" s="16"/>
      <c r="I519" s="16"/>
      <c r="J519" s="16"/>
    </row>
    <row r="520" spans="1:10" ht="12.75" x14ac:dyDescent="0.2">
      <c r="A520" s="26"/>
      <c r="B520" s="26"/>
      <c r="C520" s="26"/>
      <c r="D520" s="16"/>
      <c r="E520" s="16"/>
      <c r="F520" s="16"/>
      <c r="G520" s="16"/>
      <c r="H520" s="16"/>
      <c r="I520" s="16"/>
      <c r="J520" s="16"/>
    </row>
    <row r="521" spans="1:10" ht="12.75" x14ac:dyDescent="0.2">
      <c r="A521" s="26"/>
      <c r="B521" s="26"/>
      <c r="C521" s="26"/>
      <c r="D521" s="16"/>
      <c r="E521" s="16"/>
      <c r="F521" s="16"/>
      <c r="G521" s="16"/>
      <c r="H521" s="16"/>
      <c r="I521" s="16"/>
      <c r="J521" s="16"/>
    </row>
    <row r="522" spans="1:10" ht="12.75" x14ac:dyDescent="0.2">
      <c r="A522" s="26"/>
      <c r="B522" s="26"/>
      <c r="C522" s="26"/>
      <c r="D522" s="16"/>
      <c r="E522" s="16"/>
      <c r="F522" s="16"/>
      <c r="G522" s="16"/>
      <c r="H522" s="16"/>
      <c r="I522" s="16"/>
      <c r="J522" s="16"/>
    </row>
    <row r="523" spans="1:10" ht="12.75" x14ac:dyDescent="0.2">
      <c r="A523" s="26"/>
      <c r="B523" s="26"/>
      <c r="C523" s="26"/>
      <c r="D523" s="16"/>
      <c r="E523" s="16"/>
      <c r="F523" s="16"/>
      <c r="G523" s="16"/>
      <c r="H523" s="16"/>
      <c r="I523" s="16"/>
      <c r="J523" s="16"/>
    </row>
    <row r="524" spans="1:10" ht="12.75" x14ac:dyDescent="0.2">
      <c r="A524" s="26"/>
      <c r="B524" s="26"/>
      <c r="C524" s="26"/>
      <c r="D524" s="16"/>
      <c r="E524" s="16"/>
      <c r="F524" s="16"/>
      <c r="G524" s="16"/>
      <c r="H524" s="16"/>
      <c r="I524" s="16"/>
      <c r="J524" s="16"/>
    </row>
    <row r="525" spans="1:10" ht="12.75" x14ac:dyDescent="0.2">
      <c r="A525" s="26"/>
      <c r="B525" s="26"/>
      <c r="C525" s="26"/>
      <c r="D525" s="16"/>
      <c r="E525" s="16"/>
      <c r="F525" s="16"/>
      <c r="G525" s="16"/>
      <c r="H525" s="16"/>
      <c r="I525" s="16"/>
      <c r="J525" s="16"/>
    </row>
    <row r="526" spans="1:10" ht="12.75" x14ac:dyDescent="0.2">
      <c r="A526" s="26"/>
      <c r="B526" s="26"/>
      <c r="C526" s="26"/>
      <c r="D526" s="16"/>
      <c r="E526" s="16"/>
      <c r="F526" s="16"/>
      <c r="G526" s="16"/>
      <c r="H526" s="16"/>
      <c r="I526" s="16"/>
      <c r="J526" s="16"/>
    </row>
    <row r="527" spans="1:10" ht="12.75" x14ac:dyDescent="0.2">
      <c r="A527" s="26"/>
      <c r="B527" s="26"/>
      <c r="C527" s="26"/>
      <c r="D527" s="16"/>
      <c r="E527" s="16"/>
      <c r="F527" s="16"/>
      <c r="G527" s="16"/>
      <c r="H527" s="16"/>
      <c r="I527" s="16"/>
      <c r="J527" s="16"/>
    </row>
    <row r="528" spans="1:10" ht="12.75" x14ac:dyDescent="0.2">
      <c r="A528" s="26"/>
      <c r="B528" s="26"/>
      <c r="C528" s="26"/>
      <c r="D528" s="16"/>
      <c r="E528" s="16"/>
      <c r="F528" s="16"/>
      <c r="G528" s="16"/>
      <c r="H528" s="16"/>
      <c r="I528" s="16"/>
      <c r="J528" s="16"/>
    </row>
    <row r="529" spans="1:10" ht="12.75" x14ac:dyDescent="0.2">
      <c r="A529" s="26"/>
      <c r="B529" s="26"/>
      <c r="C529" s="26"/>
      <c r="D529" s="16"/>
      <c r="E529" s="16"/>
      <c r="F529" s="16"/>
      <c r="G529" s="16"/>
      <c r="H529" s="16"/>
      <c r="I529" s="16"/>
      <c r="J529" s="16"/>
    </row>
    <row r="530" spans="1:10" ht="12.75" x14ac:dyDescent="0.2">
      <c r="A530" s="26"/>
      <c r="B530" s="26"/>
      <c r="C530" s="26"/>
      <c r="D530" s="16"/>
      <c r="E530" s="16"/>
      <c r="F530" s="16"/>
      <c r="G530" s="16"/>
      <c r="H530" s="16"/>
      <c r="I530" s="16"/>
      <c r="J530" s="16"/>
    </row>
    <row r="531" spans="1:10" ht="12.75" x14ac:dyDescent="0.2">
      <c r="A531" s="26"/>
      <c r="B531" s="26"/>
      <c r="C531" s="26"/>
      <c r="D531" s="16"/>
      <c r="E531" s="16"/>
      <c r="F531" s="16"/>
      <c r="G531" s="16"/>
      <c r="H531" s="16"/>
      <c r="I531" s="16"/>
      <c r="J531" s="16"/>
    </row>
    <row r="532" spans="1:10" ht="12.75" x14ac:dyDescent="0.2">
      <c r="A532" s="26"/>
      <c r="B532" s="26"/>
      <c r="C532" s="26"/>
      <c r="D532" s="16"/>
      <c r="E532" s="16"/>
      <c r="F532" s="16"/>
      <c r="G532" s="16"/>
      <c r="H532" s="16"/>
      <c r="I532" s="16"/>
      <c r="J532" s="16"/>
    </row>
    <row r="533" spans="1:10" ht="12.75" x14ac:dyDescent="0.2">
      <c r="A533" s="26"/>
      <c r="B533" s="26"/>
      <c r="C533" s="26"/>
      <c r="D533" s="16"/>
      <c r="E533" s="16"/>
      <c r="F533" s="16"/>
      <c r="G533" s="16"/>
      <c r="H533" s="16"/>
      <c r="I533" s="16"/>
      <c r="J533" s="16"/>
    </row>
    <row r="534" spans="1:10" ht="12.75" x14ac:dyDescent="0.2">
      <c r="A534" s="26"/>
      <c r="B534" s="26"/>
      <c r="C534" s="26"/>
      <c r="D534" s="16"/>
      <c r="E534" s="16"/>
      <c r="F534" s="16"/>
      <c r="G534" s="16"/>
      <c r="H534" s="16"/>
      <c r="I534" s="16"/>
      <c r="J534" s="16"/>
    </row>
    <row r="535" spans="1:10" ht="12.75" x14ac:dyDescent="0.2">
      <c r="A535" s="26"/>
      <c r="B535" s="26"/>
      <c r="C535" s="26"/>
      <c r="D535" s="16"/>
      <c r="E535" s="16"/>
      <c r="F535" s="16"/>
      <c r="G535" s="16"/>
      <c r="H535" s="16"/>
      <c r="I535" s="16"/>
      <c r="J535" s="16"/>
    </row>
    <row r="536" spans="1:10" ht="12.75" x14ac:dyDescent="0.2">
      <c r="A536" s="26"/>
      <c r="B536" s="26"/>
      <c r="C536" s="26"/>
      <c r="D536" s="16"/>
      <c r="E536" s="16"/>
      <c r="F536" s="16"/>
      <c r="G536" s="16"/>
      <c r="H536" s="16"/>
      <c r="I536" s="16"/>
      <c r="J536" s="16"/>
    </row>
    <row r="537" spans="1:10" ht="12.75" x14ac:dyDescent="0.2">
      <c r="A537" s="26"/>
      <c r="B537" s="26"/>
      <c r="C537" s="26"/>
      <c r="D537" s="16"/>
      <c r="E537" s="16"/>
      <c r="F537" s="16"/>
      <c r="G537" s="16"/>
      <c r="H537" s="16"/>
      <c r="I537" s="16"/>
      <c r="J537" s="16"/>
    </row>
    <row r="538" spans="1:10" ht="12.75" x14ac:dyDescent="0.2">
      <c r="A538" s="26"/>
      <c r="B538" s="26"/>
      <c r="C538" s="26"/>
      <c r="D538" s="16"/>
      <c r="E538" s="16"/>
      <c r="F538" s="16"/>
      <c r="G538" s="16"/>
      <c r="H538" s="16"/>
      <c r="I538" s="16"/>
      <c r="J538" s="16"/>
    </row>
    <row r="539" spans="1:10" ht="12.75" x14ac:dyDescent="0.2">
      <c r="A539" s="26"/>
      <c r="B539" s="26"/>
      <c r="C539" s="26"/>
      <c r="D539" s="16"/>
      <c r="E539" s="16"/>
      <c r="F539" s="16"/>
      <c r="G539" s="16"/>
      <c r="H539" s="16"/>
      <c r="I539" s="16"/>
      <c r="J539" s="16"/>
    </row>
    <row r="540" spans="1:10" ht="12.75" x14ac:dyDescent="0.2">
      <c r="A540" s="26"/>
      <c r="B540" s="26"/>
      <c r="C540" s="26"/>
      <c r="D540" s="16"/>
      <c r="E540" s="16"/>
      <c r="F540" s="16"/>
      <c r="G540" s="16"/>
      <c r="H540" s="16"/>
      <c r="I540" s="16"/>
      <c r="J540" s="16"/>
    </row>
    <row r="541" spans="1:10" ht="12.75" x14ac:dyDescent="0.2">
      <c r="A541" s="26"/>
      <c r="B541" s="26"/>
      <c r="C541" s="26"/>
      <c r="D541" s="16"/>
      <c r="E541" s="16"/>
      <c r="F541" s="16"/>
      <c r="G541" s="16"/>
      <c r="H541" s="16"/>
      <c r="I541" s="16"/>
      <c r="J541" s="16"/>
    </row>
    <row r="542" spans="1:10" ht="12.75" x14ac:dyDescent="0.2">
      <c r="A542" s="26"/>
      <c r="B542" s="26"/>
      <c r="C542" s="26"/>
      <c r="D542" s="16"/>
      <c r="E542" s="16"/>
      <c r="F542" s="16"/>
      <c r="G542" s="16"/>
      <c r="H542" s="16"/>
      <c r="I542" s="16"/>
      <c r="J542" s="16"/>
    </row>
    <row r="543" spans="1:10" ht="12.75" x14ac:dyDescent="0.2">
      <c r="A543" s="26"/>
      <c r="B543" s="26"/>
      <c r="C543" s="26"/>
      <c r="D543" s="16"/>
      <c r="E543" s="16"/>
      <c r="F543" s="16"/>
      <c r="G543" s="16"/>
      <c r="H543" s="16"/>
      <c r="I543" s="16"/>
      <c r="J543" s="16"/>
    </row>
    <row r="544" spans="1:10" ht="12.75" x14ac:dyDescent="0.2">
      <c r="A544" s="26"/>
      <c r="B544" s="26"/>
      <c r="C544" s="26"/>
      <c r="D544" s="16"/>
      <c r="E544" s="16"/>
      <c r="F544" s="16"/>
      <c r="G544" s="16"/>
      <c r="H544" s="16"/>
      <c r="I544" s="16"/>
      <c r="J544" s="16"/>
    </row>
    <row r="545" spans="1:10" ht="12.75" x14ac:dyDescent="0.2">
      <c r="A545" s="26"/>
      <c r="B545" s="26"/>
      <c r="C545" s="26"/>
      <c r="D545" s="16"/>
      <c r="E545" s="16"/>
      <c r="F545" s="16"/>
      <c r="G545" s="16"/>
      <c r="H545" s="16"/>
      <c r="I545" s="16"/>
      <c r="J545" s="16"/>
    </row>
    <row r="546" spans="1:10" ht="12.75" x14ac:dyDescent="0.2">
      <c r="A546" s="26"/>
      <c r="B546" s="26"/>
      <c r="C546" s="26"/>
      <c r="D546" s="16"/>
      <c r="E546" s="16"/>
      <c r="F546" s="16"/>
      <c r="G546" s="16"/>
      <c r="H546" s="16"/>
      <c r="I546" s="16"/>
      <c r="J546" s="16"/>
    </row>
    <row r="547" spans="1:10" ht="12.75" x14ac:dyDescent="0.2">
      <c r="A547" s="26"/>
      <c r="B547" s="26"/>
      <c r="C547" s="26"/>
      <c r="D547" s="16"/>
      <c r="E547" s="16"/>
      <c r="F547" s="16"/>
      <c r="G547" s="16"/>
      <c r="H547" s="16"/>
      <c r="I547" s="16"/>
      <c r="J547" s="16"/>
    </row>
    <row r="548" spans="1:10" ht="12.75" x14ac:dyDescent="0.2">
      <c r="A548" s="26"/>
      <c r="B548" s="26"/>
      <c r="C548" s="26"/>
      <c r="D548" s="16"/>
      <c r="E548" s="16"/>
      <c r="F548" s="16"/>
      <c r="G548" s="16"/>
      <c r="H548" s="16"/>
      <c r="I548" s="16"/>
      <c r="J548" s="16"/>
    </row>
    <row r="549" spans="1:10" ht="12.75" x14ac:dyDescent="0.2">
      <c r="A549" s="26"/>
      <c r="B549" s="26"/>
      <c r="C549" s="26"/>
      <c r="D549" s="16"/>
      <c r="E549" s="16"/>
      <c r="F549" s="16"/>
      <c r="G549" s="16"/>
      <c r="H549" s="16"/>
      <c r="I549" s="16"/>
      <c r="J549" s="16"/>
    </row>
    <row r="550" spans="1:10" ht="12.75" x14ac:dyDescent="0.2">
      <c r="A550" s="26"/>
      <c r="B550" s="26"/>
      <c r="C550" s="26"/>
      <c r="D550" s="16"/>
      <c r="E550" s="16"/>
      <c r="F550" s="16"/>
      <c r="G550" s="16"/>
      <c r="H550" s="16"/>
      <c r="I550" s="16"/>
      <c r="J550" s="16"/>
    </row>
    <row r="551" spans="1:10" ht="12.75" x14ac:dyDescent="0.2">
      <c r="A551" s="26"/>
      <c r="B551" s="26"/>
      <c r="C551" s="26"/>
      <c r="D551" s="16"/>
      <c r="E551" s="16"/>
      <c r="F551" s="16"/>
      <c r="G551" s="16"/>
      <c r="H551" s="16"/>
      <c r="I551" s="16"/>
      <c r="J551" s="16"/>
    </row>
    <row r="552" spans="1:10" ht="12.75" x14ac:dyDescent="0.2">
      <c r="A552" s="26"/>
      <c r="B552" s="26"/>
      <c r="C552" s="26"/>
      <c r="D552" s="16"/>
      <c r="E552" s="16"/>
      <c r="F552" s="16"/>
      <c r="G552" s="16"/>
      <c r="H552" s="16"/>
      <c r="I552" s="16"/>
      <c r="J552" s="16"/>
    </row>
    <row r="553" spans="1:10" ht="12.75" x14ac:dyDescent="0.2">
      <c r="A553" s="26"/>
      <c r="B553" s="26"/>
      <c r="C553" s="26"/>
      <c r="D553" s="16"/>
      <c r="E553" s="16"/>
      <c r="F553" s="16"/>
      <c r="G553" s="16"/>
      <c r="H553" s="16"/>
      <c r="I553" s="16"/>
      <c r="J553" s="16"/>
    </row>
    <row r="554" spans="1:10" ht="12.75" x14ac:dyDescent="0.2">
      <c r="A554" s="26"/>
      <c r="B554" s="26"/>
      <c r="C554" s="26"/>
      <c r="D554" s="16"/>
      <c r="E554" s="16"/>
      <c r="F554" s="16"/>
      <c r="G554" s="16"/>
      <c r="H554" s="16"/>
      <c r="I554" s="16"/>
      <c r="J554" s="16"/>
    </row>
    <row r="555" spans="1:10" ht="12.75" x14ac:dyDescent="0.2">
      <c r="A555" s="26"/>
      <c r="B555" s="26"/>
      <c r="C555" s="26"/>
      <c r="D555" s="16"/>
      <c r="E555" s="16"/>
      <c r="F555" s="16"/>
      <c r="G555" s="16"/>
      <c r="H555" s="16"/>
      <c r="I555" s="16"/>
      <c r="J555" s="16"/>
    </row>
    <row r="556" spans="1:10" ht="12.75" x14ac:dyDescent="0.2">
      <c r="A556" s="26"/>
      <c r="B556" s="26"/>
      <c r="C556" s="26"/>
      <c r="D556" s="16"/>
      <c r="E556" s="16"/>
      <c r="F556" s="16"/>
      <c r="G556" s="16"/>
      <c r="H556" s="16"/>
      <c r="I556" s="16"/>
      <c r="J556" s="16"/>
    </row>
    <row r="557" spans="1:10" ht="12.75" x14ac:dyDescent="0.2">
      <c r="A557" s="26"/>
      <c r="B557" s="26"/>
      <c r="C557" s="26"/>
      <c r="D557" s="16"/>
      <c r="E557" s="16"/>
      <c r="F557" s="16"/>
      <c r="G557" s="16"/>
      <c r="H557" s="16"/>
      <c r="I557" s="16"/>
      <c r="J557" s="16"/>
    </row>
    <row r="558" spans="1:10" ht="12.75" x14ac:dyDescent="0.2">
      <c r="A558" s="26"/>
      <c r="B558" s="26"/>
      <c r="C558" s="26"/>
      <c r="D558" s="16"/>
      <c r="E558" s="16"/>
      <c r="F558" s="16"/>
      <c r="G558" s="16"/>
      <c r="H558" s="16"/>
      <c r="I558" s="16"/>
      <c r="J558" s="16"/>
    </row>
    <row r="559" spans="1:10" ht="12.75" x14ac:dyDescent="0.2">
      <c r="A559" s="26"/>
      <c r="B559" s="26"/>
      <c r="C559" s="26"/>
      <c r="D559" s="16"/>
      <c r="E559" s="16"/>
      <c r="F559" s="16"/>
      <c r="G559" s="16"/>
      <c r="H559" s="16"/>
      <c r="I559" s="16"/>
      <c r="J559" s="16"/>
    </row>
    <row r="560" spans="1:10" ht="12.75" x14ac:dyDescent="0.2">
      <c r="A560" s="26"/>
      <c r="B560" s="26"/>
      <c r="C560" s="26"/>
      <c r="D560" s="16"/>
      <c r="E560" s="16"/>
      <c r="F560" s="16"/>
      <c r="G560" s="16"/>
      <c r="H560" s="16"/>
      <c r="I560" s="16"/>
      <c r="J560" s="16"/>
    </row>
    <row r="561" spans="1:10" ht="12.75" x14ac:dyDescent="0.2">
      <c r="A561" s="26"/>
      <c r="B561" s="26"/>
      <c r="C561" s="26"/>
      <c r="D561" s="16"/>
      <c r="E561" s="16"/>
      <c r="F561" s="16"/>
      <c r="G561" s="16"/>
      <c r="H561" s="16"/>
      <c r="I561" s="16"/>
      <c r="J561" s="16"/>
    </row>
    <row r="562" spans="1:10" ht="12.75" x14ac:dyDescent="0.2">
      <c r="A562" s="26"/>
      <c r="B562" s="26"/>
      <c r="C562" s="26"/>
      <c r="D562" s="16"/>
      <c r="E562" s="16"/>
      <c r="F562" s="16"/>
      <c r="G562" s="16"/>
      <c r="H562" s="16"/>
      <c r="I562" s="16"/>
      <c r="J562" s="16"/>
    </row>
    <row r="563" spans="1:10" ht="12.75" x14ac:dyDescent="0.2">
      <c r="A563" s="26"/>
      <c r="B563" s="26"/>
      <c r="C563" s="26"/>
      <c r="D563" s="16"/>
      <c r="E563" s="16"/>
      <c r="F563" s="16"/>
      <c r="G563" s="16"/>
      <c r="H563" s="16"/>
      <c r="I563" s="16"/>
      <c r="J563" s="16"/>
    </row>
    <row r="564" spans="1:10" ht="12.75" x14ac:dyDescent="0.2">
      <c r="A564" s="26"/>
      <c r="B564" s="26"/>
      <c r="C564" s="26"/>
      <c r="D564" s="16"/>
      <c r="E564" s="16"/>
      <c r="F564" s="16"/>
      <c r="G564" s="16"/>
      <c r="H564" s="16"/>
      <c r="I564" s="16"/>
      <c r="J564" s="16"/>
    </row>
    <row r="565" spans="1:10" ht="12.75" x14ac:dyDescent="0.2">
      <c r="A565" s="26"/>
      <c r="B565" s="26"/>
      <c r="C565" s="26"/>
      <c r="D565" s="16"/>
      <c r="E565" s="16"/>
      <c r="F565" s="16"/>
      <c r="G565" s="16"/>
      <c r="H565" s="16"/>
      <c r="I565" s="16"/>
      <c r="J565" s="16"/>
    </row>
    <row r="566" spans="1:10" ht="12.75" x14ac:dyDescent="0.2">
      <c r="A566" s="26"/>
      <c r="B566" s="26"/>
      <c r="C566" s="26"/>
      <c r="D566" s="16"/>
      <c r="E566" s="16"/>
      <c r="F566" s="16"/>
      <c r="G566" s="16"/>
      <c r="H566" s="16"/>
      <c r="I566" s="16"/>
      <c r="J566" s="16"/>
    </row>
    <row r="567" spans="1:10" ht="12.75" x14ac:dyDescent="0.2">
      <c r="A567" s="26"/>
      <c r="B567" s="26"/>
      <c r="C567" s="26"/>
      <c r="D567" s="16"/>
      <c r="E567" s="16"/>
      <c r="F567" s="16"/>
      <c r="G567" s="16"/>
      <c r="H567" s="16"/>
      <c r="I567" s="16"/>
      <c r="J567" s="16"/>
    </row>
    <row r="568" spans="1:10" ht="12.75" x14ac:dyDescent="0.2">
      <c r="A568" s="26"/>
      <c r="B568" s="26"/>
      <c r="C568" s="26"/>
      <c r="D568" s="16"/>
      <c r="E568" s="16"/>
      <c r="F568" s="16"/>
      <c r="G568" s="16"/>
      <c r="H568" s="16"/>
      <c r="I568" s="16"/>
      <c r="J568" s="16"/>
    </row>
    <row r="569" spans="1:10" ht="12.75" x14ac:dyDescent="0.2">
      <c r="A569" s="26"/>
      <c r="B569" s="26"/>
      <c r="C569" s="26"/>
      <c r="D569" s="16"/>
      <c r="E569" s="16"/>
      <c r="F569" s="16"/>
      <c r="G569" s="16"/>
      <c r="H569" s="16"/>
      <c r="I569" s="16"/>
      <c r="J569" s="16"/>
    </row>
    <row r="570" spans="1:10" ht="12.75" x14ac:dyDescent="0.2">
      <c r="A570" s="26"/>
      <c r="B570" s="26"/>
      <c r="C570" s="26"/>
      <c r="D570" s="16"/>
      <c r="E570" s="16"/>
      <c r="F570" s="16"/>
      <c r="G570" s="16"/>
      <c r="H570" s="16"/>
      <c r="I570" s="16"/>
      <c r="J570" s="16"/>
    </row>
    <row r="571" spans="1:10" ht="12.75" x14ac:dyDescent="0.2">
      <c r="A571" s="26"/>
      <c r="B571" s="26"/>
      <c r="C571" s="26"/>
      <c r="D571" s="16"/>
      <c r="E571" s="16"/>
      <c r="F571" s="16"/>
      <c r="G571" s="16"/>
      <c r="H571" s="16"/>
      <c r="I571" s="16"/>
      <c r="J571" s="16"/>
    </row>
    <row r="572" spans="1:10" ht="12.75" x14ac:dyDescent="0.2">
      <c r="A572" s="26"/>
      <c r="B572" s="26"/>
      <c r="C572" s="26"/>
      <c r="D572" s="16"/>
      <c r="E572" s="16"/>
      <c r="F572" s="16"/>
      <c r="G572" s="16"/>
      <c r="H572" s="16"/>
      <c r="I572" s="16"/>
      <c r="J572" s="16"/>
    </row>
    <row r="573" spans="1:10" ht="12.75" x14ac:dyDescent="0.2">
      <c r="A573" s="26"/>
      <c r="B573" s="26"/>
      <c r="C573" s="26"/>
      <c r="D573" s="16"/>
      <c r="E573" s="16"/>
      <c r="F573" s="16"/>
      <c r="G573" s="16"/>
      <c r="H573" s="16"/>
      <c r="I573" s="16"/>
      <c r="J573" s="16"/>
    </row>
    <row r="574" spans="1:10" ht="12.75" x14ac:dyDescent="0.2">
      <c r="A574" s="26"/>
      <c r="B574" s="26"/>
      <c r="C574" s="26"/>
      <c r="D574" s="16"/>
      <c r="E574" s="16"/>
      <c r="F574" s="16"/>
      <c r="G574" s="16"/>
      <c r="H574" s="16"/>
      <c r="I574" s="16"/>
      <c r="J574" s="16"/>
    </row>
    <row r="575" spans="1:10" ht="12.75" x14ac:dyDescent="0.2">
      <c r="A575" s="26"/>
      <c r="B575" s="26"/>
      <c r="C575" s="26"/>
      <c r="D575" s="16"/>
      <c r="E575" s="16"/>
      <c r="F575" s="16"/>
      <c r="G575" s="16"/>
      <c r="H575" s="16"/>
      <c r="I575" s="16"/>
      <c r="J575" s="16"/>
    </row>
    <row r="576" spans="1:10" ht="12.75" x14ac:dyDescent="0.2">
      <c r="A576" s="26"/>
      <c r="B576" s="26"/>
      <c r="C576" s="26"/>
      <c r="D576" s="16"/>
      <c r="E576" s="16"/>
      <c r="F576" s="16"/>
      <c r="G576" s="16"/>
      <c r="H576" s="16"/>
      <c r="I576" s="16"/>
      <c r="J576" s="16"/>
    </row>
    <row r="577" spans="1:10" ht="12.75" x14ac:dyDescent="0.2">
      <c r="A577" s="26"/>
      <c r="B577" s="26"/>
      <c r="C577" s="26"/>
      <c r="D577" s="16"/>
      <c r="E577" s="16"/>
      <c r="F577" s="16"/>
      <c r="G577" s="16"/>
      <c r="H577" s="16"/>
      <c r="I577" s="16"/>
      <c r="J577" s="16"/>
    </row>
    <row r="578" spans="1:10" ht="12.75" x14ac:dyDescent="0.2">
      <c r="A578" s="26"/>
      <c r="B578" s="26"/>
      <c r="C578" s="26"/>
      <c r="D578" s="16"/>
      <c r="E578" s="16"/>
      <c r="F578" s="16"/>
      <c r="G578" s="16"/>
      <c r="H578" s="16"/>
      <c r="I578" s="16"/>
      <c r="J578" s="16"/>
    </row>
    <row r="579" spans="1:10" ht="12.75" x14ac:dyDescent="0.2">
      <c r="A579" s="26"/>
      <c r="B579" s="26"/>
      <c r="C579" s="26"/>
      <c r="D579" s="16"/>
      <c r="E579" s="16"/>
      <c r="F579" s="16"/>
      <c r="G579" s="16"/>
      <c r="H579" s="16"/>
      <c r="I579" s="16"/>
      <c r="J579" s="16"/>
    </row>
    <row r="580" spans="1:10" ht="12.75" x14ac:dyDescent="0.2">
      <c r="A580" s="26"/>
      <c r="B580" s="26"/>
      <c r="C580" s="26"/>
      <c r="D580" s="16"/>
      <c r="E580" s="16"/>
      <c r="F580" s="16"/>
      <c r="G580" s="16"/>
      <c r="H580" s="16"/>
      <c r="I580" s="16"/>
      <c r="J580" s="16"/>
    </row>
    <row r="581" spans="1:10" ht="12.75" x14ac:dyDescent="0.2">
      <c r="A581" s="26"/>
      <c r="B581" s="26"/>
      <c r="C581" s="26"/>
      <c r="D581" s="16"/>
      <c r="E581" s="16"/>
      <c r="F581" s="16"/>
      <c r="G581" s="16"/>
      <c r="H581" s="16"/>
      <c r="I581" s="16"/>
      <c r="J581" s="16"/>
    </row>
    <row r="582" spans="1:10" ht="12.75" x14ac:dyDescent="0.2">
      <c r="A582" s="26"/>
      <c r="B582" s="26"/>
      <c r="C582" s="26"/>
      <c r="D582" s="16"/>
      <c r="E582" s="16"/>
      <c r="F582" s="16"/>
      <c r="G582" s="16"/>
      <c r="H582" s="16"/>
      <c r="I582" s="16"/>
      <c r="J582" s="16"/>
    </row>
    <row r="583" spans="1:10" ht="12.75" x14ac:dyDescent="0.2">
      <c r="A583" s="26"/>
      <c r="B583" s="26"/>
      <c r="C583" s="26"/>
      <c r="D583" s="16"/>
      <c r="E583" s="16"/>
      <c r="F583" s="16"/>
      <c r="G583" s="16"/>
      <c r="H583" s="16"/>
      <c r="I583" s="16"/>
      <c r="J583" s="16"/>
    </row>
    <row r="584" spans="1:10" ht="12.75" x14ac:dyDescent="0.2">
      <c r="A584" s="26"/>
      <c r="B584" s="26"/>
      <c r="C584" s="26"/>
      <c r="D584" s="16"/>
      <c r="E584" s="16"/>
      <c r="F584" s="16"/>
      <c r="G584" s="16"/>
      <c r="H584" s="16"/>
      <c r="I584" s="16"/>
      <c r="J584" s="16"/>
    </row>
    <row r="585" spans="1:10" ht="12.75" x14ac:dyDescent="0.2">
      <c r="A585" s="26"/>
      <c r="B585" s="26"/>
      <c r="C585" s="26"/>
      <c r="D585" s="16"/>
      <c r="E585" s="16"/>
      <c r="F585" s="16"/>
      <c r="G585" s="16"/>
      <c r="H585" s="16"/>
      <c r="I585" s="16"/>
      <c r="J585" s="16"/>
    </row>
    <row r="586" spans="1:10" ht="12.75" x14ac:dyDescent="0.2">
      <c r="A586" s="26"/>
      <c r="B586" s="26"/>
      <c r="C586" s="26"/>
      <c r="D586" s="16"/>
      <c r="E586" s="16"/>
      <c r="F586" s="16"/>
      <c r="G586" s="16"/>
      <c r="H586" s="16"/>
      <c r="I586" s="16"/>
      <c r="J586" s="16"/>
    </row>
    <row r="587" spans="1:10" ht="12.75" x14ac:dyDescent="0.2">
      <c r="A587" s="26"/>
      <c r="B587" s="26"/>
      <c r="C587" s="26"/>
      <c r="D587" s="16"/>
      <c r="E587" s="16"/>
      <c r="F587" s="16"/>
      <c r="G587" s="16"/>
      <c r="H587" s="16"/>
      <c r="I587" s="16"/>
      <c r="J587" s="16"/>
    </row>
    <row r="588" spans="1:10" ht="12.75" x14ac:dyDescent="0.2">
      <c r="A588" s="26"/>
      <c r="B588" s="26"/>
      <c r="C588" s="26"/>
      <c r="D588" s="16"/>
      <c r="E588" s="16"/>
      <c r="F588" s="16"/>
      <c r="G588" s="16"/>
      <c r="H588" s="16"/>
      <c r="I588" s="16"/>
      <c r="J588" s="16"/>
    </row>
    <row r="589" spans="1:10" ht="12.75" x14ac:dyDescent="0.2">
      <c r="A589" s="26"/>
      <c r="B589" s="26"/>
      <c r="C589" s="26"/>
      <c r="D589" s="16"/>
      <c r="E589" s="16"/>
      <c r="F589" s="16"/>
      <c r="G589" s="16"/>
      <c r="H589" s="16"/>
      <c r="I589" s="16"/>
      <c r="J589" s="16"/>
    </row>
    <row r="590" spans="1:10" ht="12.75" x14ac:dyDescent="0.2">
      <c r="A590" s="26"/>
      <c r="B590" s="26"/>
      <c r="C590" s="26"/>
      <c r="D590" s="16"/>
      <c r="E590" s="16"/>
      <c r="F590" s="16"/>
      <c r="G590" s="16"/>
      <c r="H590" s="16"/>
      <c r="I590" s="16"/>
      <c r="J590" s="16"/>
    </row>
    <row r="591" spans="1:10" ht="12.75" x14ac:dyDescent="0.2">
      <c r="A591" s="26"/>
      <c r="B591" s="26"/>
      <c r="C591" s="26"/>
      <c r="D591" s="16"/>
      <c r="E591" s="16"/>
      <c r="F591" s="16"/>
      <c r="G591" s="16"/>
      <c r="H591" s="16"/>
      <c r="I591" s="16"/>
      <c r="J591" s="16"/>
    </row>
    <row r="592" spans="1:10" ht="12.75" x14ac:dyDescent="0.2">
      <c r="A592" s="26"/>
      <c r="B592" s="26"/>
      <c r="C592" s="26"/>
      <c r="D592" s="16"/>
      <c r="E592" s="16"/>
      <c r="F592" s="16"/>
      <c r="G592" s="16"/>
      <c r="H592" s="16"/>
      <c r="I592" s="16"/>
      <c r="J592" s="16"/>
    </row>
    <row r="593" spans="1:10" ht="12.75" x14ac:dyDescent="0.2">
      <c r="A593" s="26"/>
      <c r="B593" s="26"/>
      <c r="C593" s="26"/>
      <c r="D593" s="16"/>
      <c r="E593" s="16"/>
      <c r="F593" s="16"/>
      <c r="G593" s="16"/>
      <c r="H593" s="16"/>
      <c r="I593" s="16"/>
      <c r="J593" s="16"/>
    </row>
    <row r="594" spans="1:10" ht="12.75" x14ac:dyDescent="0.2">
      <c r="A594" s="26"/>
      <c r="B594" s="26"/>
      <c r="C594" s="26"/>
      <c r="D594" s="16"/>
      <c r="E594" s="16"/>
      <c r="F594" s="16"/>
      <c r="G594" s="16"/>
      <c r="H594" s="16"/>
      <c r="I594" s="16"/>
      <c r="J594" s="16"/>
    </row>
    <row r="595" spans="1:10" ht="12.75" x14ac:dyDescent="0.2">
      <c r="A595" s="26"/>
      <c r="B595" s="26"/>
      <c r="C595" s="26"/>
      <c r="D595" s="16"/>
      <c r="E595" s="16"/>
      <c r="F595" s="16"/>
      <c r="G595" s="16"/>
      <c r="H595" s="16"/>
      <c r="I595" s="16"/>
      <c r="J595" s="16"/>
    </row>
    <row r="596" spans="1:10" ht="12.75" x14ac:dyDescent="0.2">
      <c r="A596" s="26"/>
      <c r="B596" s="26"/>
      <c r="C596" s="26"/>
      <c r="D596" s="16"/>
      <c r="E596" s="16"/>
      <c r="F596" s="16"/>
      <c r="G596" s="16"/>
      <c r="H596" s="16"/>
      <c r="I596" s="16"/>
      <c r="J596" s="16"/>
    </row>
    <row r="597" spans="1:10" ht="12.75" x14ac:dyDescent="0.2">
      <c r="A597" s="26"/>
      <c r="B597" s="26"/>
      <c r="C597" s="26"/>
      <c r="D597" s="16"/>
      <c r="E597" s="16"/>
      <c r="F597" s="16"/>
      <c r="G597" s="16"/>
      <c r="H597" s="16"/>
      <c r="I597" s="16"/>
      <c r="J597" s="16"/>
    </row>
    <row r="598" spans="1:10" ht="12.75" x14ac:dyDescent="0.2">
      <c r="A598" s="26"/>
      <c r="B598" s="26"/>
      <c r="C598" s="26"/>
      <c r="D598" s="16"/>
      <c r="E598" s="16"/>
      <c r="F598" s="16"/>
      <c r="G598" s="16"/>
      <c r="H598" s="16"/>
      <c r="I598" s="16"/>
      <c r="J598" s="16"/>
    </row>
    <row r="599" spans="1:10" ht="12.75" x14ac:dyDescent="0.2">
      <c r="A599" s="26"/>
      <c r="B599" s="26"/>
      <c r="C599" s="26"/>
      <c r="D599" s="16"/>
      <c r="E599" s="16"/>
      <c r="F599" s="16"/>
      <c r="G599" s="16"/>
      <c r="H599" s="16"/>
      <c r="I599" s="16"/>
      <c r="J599" s="16"/>
    </row>
    <row r="600" spans="1:10" ht="12.75" x14ac:dyDescent="0.2">
      <c r="A600" s="26"/>
      <c r="B600" s="26"/>
      <c r="C600" s="26"/>
      <c r="D600" s="16"/>
      <c r="E600" s="16"/>
      <c r="F600" s="16"/>
      <c r="G600" s="16"/>
      <c r="H600" s="16"/>
      <c r="I600" s="16"/>
      <c r="J600" s="16"/>
    </row>
    <row r="601" spans="1:10" ht="12.75" x14ac:dyDescent="0.2">
      <c r="A601" s="26"/>
      <c r="B601" s="26"/>
      <c r="C601" s="26"/>
      <c r="D601" s="16"/>
      <c r="E601" s="16"/>
      <c r="F601" s="16"/>
      <c r="G601" s="16"/>
      <c r="H601" s="16"/>
      <c r="I601" s="16"/>
      <c r="J601" s="16"/>
    </row>
    <row r="602" spans="1:10" ht="12.75" x14ac:dyDescent="0.2">
      <c r="A602" s="26"/>
      <c r="B602" s="26"/>
      <c r="C602" s="26"/>
      <c r="D602" s="16"/>
      <c r="E602" s="16"/>
      <c r="F602" s="16"/>
      <c r="G602" s="16"/>
      <c r="H602" s="16"/>
      <c r="I602" s="16"/>
      <c r="J602" s="16"/>
    </row>
    <row r="603" spans="1:10" ht="12.75" x14ac:dyDescent="0.2">
      <c r="A603" s="26"/>
      <c r="B603" s="26"/>
      <c r="C603" s="26"/>
      <c r="D603" s="16"/>
      <c r="E603" s="16"/>
      <c r="F603" s="16"/>
      <c r="G603" s="16"/>
      <c r="H603" s="16"/>
      <c r="I603" s="16"/>
      <c r="J603" s="16"/>
    </row>
    <row r="604" spans="1:10" ht="12.75" x14ac:dyDescent="0.2">
      <c r="A604" s="26"/>
      <c r="B604" s="26"/>
      <c r="C604" s="26"/>
      <c r="D604" s="16"/>
      <c r="E604" s="16"/>
      <c r="F604" s="16"/>
      <c r="G604" s="16"/>
      <c r="H604" s="16"/>
      <c r="I604" s="16"/>
      <c r="J604" s="16"/>
    </row>
    <row r="605" spans="1:10" ht="12.75" x14ac:dyDescent="0.2">
      <c r="A605" s="26"/>
      <c r="B605" s="26"/>
      <c r="C605" s="26"/>
      <c r="D605" s="16"/>
      <c r="E605" s="16"/>
      <c r="F605" s="16"/>
      <c r="G605" s="16"/>
      <c r="H605" s="16"/>
      <c r="I605" s="16"/>
      <c r="J605" s="16"/>
    </row>
    <row r="606" spans="1:10" ht="12.75" x14ac:dyDescent="0.2">
      <c r="A606" s="26"/>
      <c r="B606" s="26"/>
      <c r="C606" s="26"/>
      <c r="D606" s="16"/>
      <c r="E606" s="16"/>
      <c r="F606" s="16"/>
      <c r="G606" s="16"/>
      <c r="H606" s="16"/>
      <c r="I606" s="16"/>
      <c r="J606" s="16"/>
    </row>
    <row r="607" spans="1:10" ht="12.75" x14ac:dyDescent="0.2">
      <c r="A607" s="26"/>
      <c r="B607" s="26"/>
      <c r="C607" s="26"/>
      <c r="D607" s="16"/>
      <c r="E607" s="16"/>
      <c r="F607" s="16"/>
      <c r="G607" s="16"/>
      <c r="H607" s="16"/>
      <c r="I607" s="16"/>
      <c r="J607" s="16"/>
    </row>
    <row r="608" spans="1:10" ht="12.75" x14ac:dyDescent="0.2">
      <c r="A608" s="26"/>
      <c r="B608" s="26"/>
      <c r="C608" s="26"/>
      <c r="D608" s="16"/>
      <c r="E608" s="16"/>
      <c r="F608" s="16"/>
      <c r="G608" s="16"/>
      <c r="H608" s="16"/>
      <c r="I608" s="16"/>
      <c r="J608" s="16"/>
    </row>
    <row r="609" spans="1:10" ht="12.75" x14ac:dyDescent="0.2">
      <c r="A609" s="26"/>
      <c r="B609" s="26"/>
      <c r="C609" s="26"/>
      <c r="D609" s="16"/>
      <c r="E609" s="16"/>
      <c r="F609" s="16"/>
      <c r="G609" s="16"/>
      <c r="H609" s="16"/>
      <c r="I609" s="16"/>
      <c r="J609" s="16"/>
    </row>
    <row r="610" spans="1:10" ht="12.75" x14ac:dyDescent="0.2">
      <c r="A610" s="26"/>
      <c r="B610" s="26"/>
      <c r="C610" s="26"/>
      <c r="D610" s="16"/>
      <c r="E610" s="16"/>
      <c r="F610" s="16"/>
      <c r="G610" s="16"/>
      <c r="H610" s="16"/>
      <c r="I610" s="16"/>
      <c r="J610" s="16"/>
    </row>
    <row r="611" spans="1:10" ht="12.75" x14ac:dyDescent="0.2">
      <c r="A611" s="26"/>
      <c r="B611" s="26"/>
      <c r="C611" s="26"/>
      <c r="D611" s="16"/>
      <c r="E611" s="16"/>
      <c r="F611" s="16"/>
      <c r="G611" s="16"/>
      <c r="H611" s="16"/>
      <c r="I611" s="16"/>
      <c r="J611" s="16"/>
    </row>
    <row r="612" spans="1:10" ht="12.75" x14ac:dyDescent="0.2">
      <c r="A612" s="26"/>
      <c r="B612" s="26"/>
      <c r="C612" s="26"/>
      <c r="D612" s="16"/>
      <c r="E612" s="16"/>
      <c r="F612" s="16"/>
      <c r="G612" s="16"/>
      <c r="H612" s="16"/>
      <c r="I612" s="16"/>
      <c r="J612" s="16"/>
    </row>
    <row r="613" spans="1:10" ht="12.75" x14ac:dyDescent="0.2">
      <c r="A613" s="26"/>
      <c r="B613" s="26"/>
      <c r="C613" s="26"/>
      <c r="D613" s="16"/>
      <c r="E613" s="16"/>
      <c r="F613" s="16"/>
      <c r="G613" s="16"/>
      <c r="H613" s="16"/>
      <c r="I613" s="16"/>
      <c r="J613" s="16"/>
    </row>
    <row r="614" spans="1:10" ht="12.75" x14ac:dyDescent="0.2">
      <c r="A614" s="26"/>
      <c r="B614" s="26"/>
      <c r="C614" s="26"/>
      <c r="D614" s="16"/>
      <c r="E614" s="16"/>
      <c r="F614" s="16"/>
      <c r="G614" s="16"/>
      <c r="H614" s="16"/>
      <c r="I614" s="16"/>
      <c r="J614" s="16"/>
    </row>
    <row r="615" spans="1:10" ht="12.75" x14ac:dyDescent="0.2">
      <c r="A615" s="26"/>
      <c r="B615" s="26"/>
      <c r="C615" s="26"/>
      <c r="D615" s="16"/>
      <c r="E615" s="16"/>
      <c r="F615" s="16"/>
      <c r="G615" s="16"/>
      <c r="H615" s="16"/>
      <c r="I615" s="16"/>
      <c r="J615" s="16"/>
    </row>
    <row r="616" spans="1:10" ht="12.75" x14ac:dyDescent="0.2">
      <c r="A616" s="26"/>
      <c r="B616" s="26"/>
      <c r="C616" s="26"/>
      <c r="D616" s="16"/>
      <c r="E616" s="16"/>
      <c r="F616" s="16"/>
      <c r="G616" s="16"/>
      <c r="H616" s="16"/>
      <c r="I616" s="16"/>
      <c r="J616" s="16"/>
    </row>
    <row r="617" spans="1:10" ht="12.75" x14ac:dyDescent="0.2">
      <c r="A617" s="26"/>
      <c r="B617" s="26"/>
      <c r="C617" s="26"/>
      <c r="D617" s="16"/>
      <c r="E617" s="16"/>
      <c r="F617" s="16"/>
      <c r="G617" s="16"/>
      <c r="H617" s="16"/>
      <c r="I617" s="16"/>
      <c r="J617" s="16"/>
    </row>
    <row r="618" spans="1:10" ht="12.75" x14ac:dyDescent="0.2">
      <c r="A618" s="26"/>
      <c r="B618" s="26"/>
      <c r="C618" s="26"/>
      <c r="D618" s="16"/>
      <c r="E618" s="16"/>
      <c r="F618" s="16"/>
      <c r="G618" s="16"/>
      <c r="H618" s="16"/>
      <c r="I618" s="16"/>
      <c r="J618" s="16"/>
    </row>
    <row r="619" spans="1:10" ht="12.75" x14ac:dyDescent="0.2">
      <c r="A619" s="26"/>
      <c r="B619" s="26"/>
      <c r="C619" s="26"/>
      <c r="D619" s="16"/>
      <c r="E619" s="16"/>
      <c r="F619" s="16"/>
      <c r="G619" s="16"/>
      <c r="H619" s="16"/>
      <c r="I619" s="16"/>
      <c r="J619" s="16"/>
    </row>
    <row r="620" spans="1:10" ht="12.75" x14ac:dyDescent="0.2">
      <c r="A620" s="26"/>
      <c r="B620" s="26"/>
      <c r="C620" s="26"/>
      <c r="D620" s="16"/>
      <c r="E620" s="16"/>
      <c r="F620" s="16"/>
      <c r="G620" s="16"/>
      <c r="H620" s="16"/>
      <c r="I620" s="16"/>
      <c r="J620" s="16"/>
    </row>
    <row r="621" spans="1:10" ht="12.75" x14ac:dyDescent="0.2">
      <c r="A621" s="26"/>
      <c r="B621" s="26"/>
      <c r="C621" s="26"/>
      <c r="D621" s="16"/>
      <c r="E621" s="16"/>
      <c r="F621" s="16"/>
      <c r="G621" s="16"/>
      <c r="H621" s="16"/>
      <c r="I621" s="16"/>
      <c r="J621" s="16"/>
    </row>
    <row r="622" spans="1:10" ht="12.75" x14ac:dyDescent="0.2">
      <c r="A622" s="26"/>
      <c r="B622" s="26"/>
      <c r="C622" s="26"/>
      <c r="D622" s="16"/>
      <c r="E622" s="16"/>
      <c r="F622" s="16"/>
      <c r="G622" s="16"/>
      <c r="H622" s="16"/>
      <c r="I622" s="16"/>
      <c r="J622" s="16"/>
    </row>
    <row r="623" spans="1:10" ht="12.75" x14ac:dyDescent="0.2">
      <c r="A623" s="26"/>
      <c r="B623" s="26"/>
      <c r="C623" s="26"/>
      <c r="D623" s="16"/>
      <c r="E623" s="16"/>
      <c r="F623" s="16"/>
      <c r="G623" s="16"/>
      <c r="H623" s="16"/>
      <c r="I623" s="16"/>
      <c r="J623" s="16"/>
    </row>
    <row r="624" spans="1:10" ht="12.75" x14ac:dyDescent="0.2">
      <c r="A624" s="26"/>
      <c r="B624" s="26"/>
      <c r="C624" s="26"/>
      <c r="D624" s="16"/>
      <c r="E624" s="16"/>
      <c r="F624" s="16"/>
      <c r="G624" s="16"/>
      <c r="H624" s="16"/>
      <c r="I624" s="16"/>
      <c r="J624" s="16"/>
    </row>
    <row r="625" spans="1:10" ht="12.75" x14ac:dyDescent="0.2">
      <c r="A625" s="26"/>
      <c r="B625" s="26"/>
      <c r="C625" s="26"/>
      <c r="D625" s="16"/>
      <c r="E625" s="16"/>
      <c r="F625" s="16"/>
      <c r="G625" s="16"/>
      <c r="H625" s="16"/>
      <c r="I625" s="16"/>
      <c r="J625" s="16"/>
    </row>
    <row r="626" spans="1:10" ht="12.75" x14ac:dyDescent="0.2">
      <c r="A626" s="26"/>
      <c r="B626" s="26"/>
      <c r="C626" s="26"/>
      <c r="D626" s="16"/>
      <c r="E626" s="16"/>
      <c r="F626" s="16"/>
      <c r="G626" s="16"/>
      <c r="H626" s="16"/>
      <c r="I626" s="16"/>
      <c r="J626" s="16"/>
    </row>
    <row r="627" spans="1:10" ht="12.75" x14ac:dyDescent="0.2">
      <c r="A627" s="26"/>
      <c r="B627" s="26"/>
      <c r="C627" s="26"/>
      <c r="D627" s="16"/>
      <c r="E627" s="16"/>
      <c r="F627" s="16"/>
      <c r="G627" s="16"/>
      <c r="H627" s="16"/>
      <c r="I627" s="16"/>
      <c r="J627" s="16"/>
    </row>
    <row r="628" spans="1:10" ht="12.75" x14ac:dyDescent="0.2">
      <c r="A628" s="26"/>
      <c r="B628" s="26"/>
      <c r="C628" s="26"/>
      <c r="D628" s="16"/>
      <c r="E628" s="16"/>
      <c r="F628" s="16"/>
      <c r="G628" s="16"/>
      <c r="H628" s="16"/>
      <c r="I628" s="16"/>
      <c r="J628" s="16"/>
    </row>
    <row r="629" spans="1:10" ht="12.75" x14ac:dyDescent="0.2">
      <c r="A629" s="26"/>
      <c r="B629" s="26"/>
      <c r="C629" s="26"/>
      <c r="D629" s="16"/>
      <c r="E629" s="16"/>
      <c r="F629" s="16"/>
      <c r="G629" s="16"/>
      <c r="H629" s="16"/>
      <c r="I629" s="16"/>
      <c r="J629" s="16"/>
    </row>
    <row r="630" spans="1:10" ht="12.75" x14ac:dyDescent="0.2">
      <c r="A630" s="26"/>
      <c r="B630" s="26"/>
      <c r="C630" s="26"/>
      <c r="D630" s="16"/>
      <c r="E630" s="16"/>
      <c r="F630" s="16"/>
      <c r="G630" s="16"/>
      <c r="H630" s="16"/>
      <c r="I630" s="16"/>
      <c r="J630" s="16"/>
    </row>
    <row r="631" spans="1:10" ht="12.75" x14ac:dyDescent="0.2">
      <c r="A631" s="26"/>
      <c r="B631" s="26"/>
      <c r="C631" s="26"/>
      <c r="D631" s="16"/>
      <c r="E631" s="16"/>
      <c r="F631" s="16"/>
      <c r="G631" s="16"/>
      <c r="H631" s="16"/>
      <c r="I631" s="16"/>
      <c r="J631" s="16"/>
    </row>
    <row r="632" spans="1:10" ht="12.75" x14ac:dyDescent="0.2">
      <c r="A632" s="26"/>
      <c r="B632" s="26"/>
      <c r="C632" s="26"/>
      <c r="D632" s="16"/>
      <c r="E632" s="16"/>
      <c r="F632" s="16"/>
      <c r="G632" s="16"/>
      <c r="H632" s="16"/>
      <c r="I632" s="16"/>
      <c r="J632" s="16"/>
    </row>
    <row r="633" spans="1:10" ht="12.75" x14ac:dyDescent="0.2">
      <c r="A633" s="26"/>
      <c r="B633" s="26"/>
      <c r="C633" s="26"/>
      <c r="D633" s="16"/>
      <c r="E633" s="16"/>
      <c r="F633" s="16"/>
      <c r="G633" s="16"/>
      <c r="H633" s="16"/>
      <c r="I633" s="16"/>
      <c r="J633" s="16"/>
    </row>
    <row r="634" spans="1:10" ht="12.75" x14ac:dyDescent="0.2">
      <c r="A634" s="26"/>
      <c r="B634" s="26"/>
      <c r="C634" s="26"/>
      <c r="D634" s="16"/>
      <c r="E634" s="16"/>
      <c r="F634" s="16"/>
      <c r="G634" s="16"/>
      <c r="H634" s="16"/>
      <c r="I634" s="16"/>
      <c r="J634" s="16"/>
    </row>
    <row r="635" spans="1:10" ht="12.75" x14ac:dyDescent="0.2">
      <c r="A635" s="26"/>
      <c r="B635" s="26"/>
      <c r="C635" s="26"/>
      <c r="D635" s="16"/>
      <c r="E635" s="16"/>
      <c r="F635" s="16"/>
      <c r="G635" s="16"/>
      <c r="H635" s="16"/>
      <c r="I635" s="16"/>
      <c r="J635" s="16"/>
    </row>
    <row r="636" spans="1:10" ht="12.75" x14ac:dyDescent="0.2">
      <c r="A636" s="26"/>
      <c r="B636" s="26"/>
      <c r="C636" s="26"/>
      <c r="D636" s="16"/>
      <c r="E636" s="16"/>
      <c r="F636" s="16"/>
      <c r="G636" s="16"/>
      <c r="H636" s="16"/>
      <c r="I636" s="16"/>
      <c r="J636" s="16"/>
    </row>
    <row r="637" spans="1:10" ht="12.75" x14ac:dyDescent="0.2">
      <c r="A637" s="26"/>
      <c r="B637" s="26"/>
      <c r="C637" s="26"/>
      <c r="D637" s="16"/>
      <c r="E637" s="16"/>
      <c r="F637" s="16"/>
      <c r="G637" s="16"/>
      <c r="H637" s="16"/>
      <c r="I637" s="16"/>
      <c r="J637" s="16"/>
    </row>
    <row r="638" spans="1:10" ht="12.75" x14ac:dyDescent="0.2">
      <c r="A638" s="26"/>
      <c r="B638" s="26"/>
      <c r="C638" s="26"/>
      <c r="D638" s="16"/>
      <c r="E638" s="16"/>
      <c r="F638" s="16"/>
      <c r="G638" s="16"/>
      <c r="H638" s="16"/>
      <c r="I638" s="16"/>
      <c r="J638" s="16"/>
    </row>
    <row r="639" spans="1:10" ht="12.75" x14ac:dyDescent="0.2">
      <c r="A639" s="26"/>
      <c r="B639" s="26"/>
      <c r="C639" s="26"/>
      <c r="D639" s="16"/>
      <c r="E639" s="16"/>
      <c r="F639" s="16"/>
      <c r="G639" s="16"/>
      <c r="H639" s="16"/>
      <c r="I639" s="16"/>
      <c r="J639" s="16"/>
    </row>
    <row r="640" spans="1:10" ht="12.75" x14ac:dyDescent="0.2">
      <c r="A640" s="26"/>
      <c r="B640" s="26"/>
      <c r="C640" s="26"/>
      <c r="D640" s="16"/>
      <c r="E640" s="16"/>
      <c r="F640" s="16"/>
      <c r="G640" s="16"/>
      <c r="H640" s="16"/>
      <c r="I640" s="16"/>
      <c r="J640" s="16"/>
    </row>
    <row r="641" spans="1:10" ht="12.75" x14ac:dyDescent="0.2">
      <c r="A641" s="26"/>
      <c r="B641" s="26"/>
      <c r="C641" s="26"/>
      <c r="D641" s="16"/>
      <c r="E641" s="16"/>
      <c r="F641" s="16"/>
      <c r="G641" s="16"/>
      <c r="H641" s="16"/>
      <c r="I641" s="16"/>
      <c r="J641" s="16"/>
    </row>
    <row r="642" spans="1:10" ht="12.75" x14ac:dyDescent="0.2">
      <c r="A642" s="26"/>
      <c r="B642" s="26"/>
      <c r="C642" s="26"/>
      <c r="D642" s="16"/>
      <c r="E642" s="16"/>
      <c r="F642" s="16"/>
      <c r="G642" s="16"/>
      <c r="H642" s="16"/>
      <c r="I642" s="16"/>
      <c r="J642" s="16"/>
    </row>
    <row r="643" spans="1:10" ht="12.75" x14ac:dyDescent="0.2">
      <c r="A643" s="26"/>
      <c r="B643" s="26"/>
      <c r="C643" s="26"/>
      <c r="D643" s="16"/>
      <c r="E643" s="16"/>
      <c r="F643" s="16"/>
      <c r="G643" s="16"/>
      <c r="H643" s="16"/>
      <c r="I643" s="16"/>
      <c r="J643" s="16"/>
    </row>
    <row r="644" spans="1:10" ht="12.75" x14ac:dyDescent="0.2">
      <c r="A644" s="26"/>
      <c r="B644" s="26"/>
      <c r="C644" s="26"/>
      <c r="D644" s="16"/>
      <c r="E644" s="16"/>
      <c r="F644" s="16"/>
      <c r="G644" s="16"/>
      <c r="H644" s="16"/>
      <c r="I644" s="16"/>
      <c r="J644" s="16"/>
    </row>
    <row r="645" spans="1:10" ht="12.75" x14ac:dyDescent="0.2">
      <c r="A645" s="26"/>
      <c r="B645" s="26"/>
      <c r="C645" s="26"/>
      <c r="D645" s="16"/>
      <c r="E645" s="16"/>
      <c r="F645" s="16"/>
      <c r="G645" s="16"/>
      <c r="H645" s="16"/>
      <c r="I645" s="16"/>
      <c r="J645" s="16"/>
    </row>
    <row r="646" spans="1:10" ht="12.75" x14ac:dyDescent="0.2">
      <c r="A646" s="26"/>
      <c r="B646" s="26"/>
      <c r="C646" s="26"/>
      <c r="D646" s="16"/>
      <c r="E646" s="16"/>
      <c r="F646" s="16"/>
      <c r="G646" s="16"/>
      <c r="H646" s="16"/>
      <c r="I646" s="16"/>
      <c r="J646" s="16"/>
    </row>
    <row r="647" spans="1:10" ht="12.75" x14ac:dyDescent="0.2">
      <c r="A647" s="26"/>
      <c r="B647" s="26"/>
      <c r="C647" s="26"/>
      <c r="D647" s="16"/>
      <c r="E647" s="16"/>
      <c r="F647" s="16"/>
      <c r="G647" s="16"/>
      <c r="H647" s="16"/>
      <c r="I647" s="16"/>
      <c r="J647" s="16"/>
    </row>
    <row r="648" spans="1:10" ht="12.75" x14ac:dyDescent="0.2">
      <c r="A648" s="26"/>
      <c r="B648" s="26"/>
      <c r="C648" s="26"/>
      <c r="D648" s="16"/>
      <c r="E648" s="16"/>
      <c r="F648" s="16"/>
      <c r="G648" s="16"/>
      <c r="H648" s="16"/>
      <c r="I648" s="16"/>
      <c r="J648" s="16"/>
    </row>
    <row r="649" spans="1:10" ht="12.75" x14ac:dyDescent="0.2">
      <c r="A649" s="26"/>
      <c r="B649" s="26"/>
      <c r="C649" s="26"/>
      <c r="D649" s="16"/>
      <c r="E649" s="16"/>
      <c r="F649" s="16"/>
      <c r="G649" s="16"/>
      <c r="H649" s="16"/>
      <c r="I649" s="16"/>
      <c r="J649" s="16"/>
    </row>
    <row r="650" spans="1:10" ht="12.75" x14ac:dyDescent="0.2">
      <c r="A650" s="26"/>
      <c r="B650" s="26"/>
      <c r="C650" s="26"/>
      <c r="D650" s="16"/>
      <c r="E650" s="16"/>
      <c r="F650" s="16"/>
      <c r="G650" s="16"/>
      <c r="H650" s="16"/>
      <c r="I650" s="16"/>
      <c r="J650" s="16"/>
    </row>
    <row r="651" spans="1:10" ht="12.75" x14ac:dyDescent="0.2">
      <c r="A651" s="26"/>
      <c r="B651" s="26"/>
      <c r="C651" s="26"/>
      <c r="D651" s="16"/>
      <c r="E651" s="16"/>
      <c r="F651" s="16"/>
      <c r="G651" s="16"/>
      <c r="H651" s="16"/>
      <c r="I651" s="16"/>
      <c r="J651" s="16"/>
    </row>
    <row r="652" spans="1:10" ht="12.75" x14ac:dyDescent="0.2">
      <c r="A652" s="26"/>
      <c r="B652" s="26"/>
      <c r="C652" s="26"/>
      <c r="D652" s="16"/>
      <c r="E652" s="16"/>
      <c r="F652" s="16"/>
      <c r="G652" s="16"/>
      <c r="H652" s="16"/>
      <c r="I652" s="16"/>
      <c r="J652" s="16"/>
    </row>
    <row r="653" spans="1:10" ht="12.75" x14ac:dyDescent="0.2">
      <c r="A653" s="26"/>
      <c r="B653" s="26"/>
      <c r="C653" s="26"/>
      <c r="D653" s="16"/>
      <c r="E653" s="16"/>
      <c r="F653" s="16"/>
      <c r="G653" s="16"/>
      <c r="H653" s="16"/>
      <c r="I653" s="16"/>
      <c r="J653" s="16"/>
    </row>
    <row r="654" spans="1:10" ht="12.75" x14ac:dyDescent="0.2">
      <c r="A654" s="26"/>
      <c r="B654" s="26"/>
      <c r="C654" s="26"/>
      <c r="D654" s="16"/>
      <c r="E654" s="16"/>
      <c r="F654" s="16"/>
      <c r="G654" s="16"/>
      <c r="H654" s="16"/>
      <c r="I654" s="16"/>
      <c r="J654" s="16"/>
    </row>
    <row r="655" spans="1:10" ht="12.75" x14ac:dyDescent="0.2">
      <c r="A655" s="26"/>
      <c r="B655" s="26"/>
      <c r="C655" s="26"/>
      <c r="D655" s="16"/>
      <c r="E655" s="16"/>
      <c r="F655" s="16"/>
      <c r="G655" s="16"/>
      <c r="H655" s="16"/>
      <c r="I655" s="16"/>
      <c r="J655" s="16"/>
    </row>
    <row r="656" spans="1:10" ht="12.75" x14ac:dyDescent="0.2">
      <c r="A656" s="26"/>
      <c r="B656" s="26"/>
      <c r="C656" s="26"/>
      <c r="D656" s="16"/>
      <c r="E656" s="16"/>
      <c r="F656" s="16"/>
      <c r="G656" s="16"/>
      <c r="H656" s="16"/>
      <c r="I656" s="16"/>
      <c r="J656" s="16"/>
    </row>
    <row r="657" spans="1:10" ht="12.75" x14ac:dyDescent="0.2">
      <c r="A657" s="26"/>
      <c r="B657" s="26"/>
      <c r="C657" s="26"/>
      <c r="D657" s="16"/>
      <c r="E657" s="16"/>
      <c r="F657" s="16"/>
      <c r="G657" s="16"/>
      <c r="H657" s="16"/>
      <c r="I657" s="16"/>
      <c r="J657" s="16"/>
    </row>
    <row r="658" spans="1:10" ht="12.75" x14ac:dyDescent="0.2">
      <c r="A658" s="26"/>
      <c r="B658" s="26"/>
      <c r="C658" s="26"/>
      <c r="D658" s="16"/>
      <c r="E658" s="16"/>
      <c r="F658" s="16"/>
      <c r="G658" s="16"/>
      <c r="H658" s="16"/>
      <c r="I658" s="16"/>
      <c r="J658" s="16"/>
    </row>
    <row r="659" spans="1:10" ht="12.75" x14ac:dyDescent="0.2">
      <c r="A659" s="26"/>
      <c r="B659" s="26"/>
      <c r="C659" s="26"/>
      <c r="D659" s="16"/>
      <c r="E659" s="16"/>
      <c r="F659" s="16"/>
      <c r="G659" s="16"/>
      <c r="H659" s="16"/>
      <c r="I659" s="16"/>
      <c r="J659" s="16"/>
    </row>
    <row r="660" spans="1:10" ht="12.75" x14ac:dyDescent="0.2">
      <c r="A660" s="26"/>
      <c r="B660" s="26"/>
      <c r="C660" s="26"/>
      <c r="D660" s="16"/>
      <c r="E660" s="16"/>
      <c r="F660" s="16"/>
      <c r="G660" s="16"/>
      <c r="H660" s="16"/>
      <c r="I660" s="16"/>
      <c r="J660" s="16"/>
    </row>
    <row r="661" spans="1:10" ht="12.75" x14ac:dyDescent="0.2">
      <c r="A661" s="26"/>
      <c r="B661" s="26"/>
      <c r="C661" s="26"/>
      <c r="D661" s="16"/>
      <c r="E661" s="16"/>
      <c r="F661" s="16"/>
      <c r="G661" s="16"/>
      <c r="H661" s="16"/>
      <c r="I661" s="16"/>
      <c r="J661" s="16"/>
    </row>
    <row r="662" spans="1:10" ht="12.75" x14ac:dyDescent="0.2">
      <c r="A662" s="26"/>
      <c r="B662" s="26"/>
      <c r="C662" s="26"/>
      <c r="D662" s="16"/>
      <c r="E662" s="16"/>
      <c r="F662" s="16"/>
      <c r="G662" s="16"/>
      <c r="H662" s="16"/>
      <c r="I662" s="16"/>
      <c r="J662" s="16"/>
    </row>
    <row r="663" spans="1:10" ht="12.75" x14ac:dyDescent="0.2">
      <c r="A663" s="26"/>
      <c r="B663" s="26"/>
      <c r="C663" s="26"/>
      <c r="D663" s="16"/>
      <c r="E663" s="16"/>
      <c r="F663" s="16"/>
      <c r="G663" s="16"/>
      <c r="H663" s="16"/>
      <c r="I663" s="16"/>
      <c r="J663" s="16"/>
    </row>
    <row r="664" spans="1:10" ht="12.75" x14ac:dyDescent="0.2">
      <c r="A664" s="26"/>
      <c r="B664" s="26"/>
      <c r="C664" s="26"/>
      <c r="D664" s="16"/>
      <c r="E664" s="16"/>
      <c r="F664" s="16"/>
      <c r="G664" s="16"/>
      <c r="H664" s="16"/>
      <c r="I664" s="16"/>
      <c r="J664" s="16"/>
    </row>
    <row r="665" spans="1:10" ht="12.75" x14ac:dyDescent="0.2">
      <c r="A665" s="26"/>
      <c r="B665" s="26"/>
      <c r="C665" s="26"/>
      <c r="D665" s="16"/>
      <c r="E665" s="16"/>
      <c r="F665" s="16"/>
      <c r="G665" s="16"/>
      <c r="H665" s="16"/>
      <c r="I665" s="16"/>
      <c r="J665" s="16"/>
    </row>
    <row r="666" spans="1:10" ht="12.75" x14ac:dyDescent="0.2">
      <c r="A666" s="26"/>
      <c r="B666" s="26"/>
      <c r="C666" s="26"/>
      <c r="D666" s="16"/>
      <c r="E666" s="16"/>
      <c r="F666" s="16"/>
      <c r="G666" s="16"/>
      <c r="H666" s="16"/>
      <c r="I666" s="16"/>
      <c r="J666" s="16"/>
    </row>
    <row r="667" spans="1:10" ht="12.75" x14ac:dyDescent="0.2">
      <c r="A667" s="26"/>
      <c r="B667" s="26"/>
      <c r="C667" s="26"/>
      <c r="D667" s="16"/>
      <c r="E667" s="16"/>
      <c r="F667" s="16"/>
      <c r="G667" s="16"/>
      <c r="H667" s="16"/>
      <c r="I667" s="16"/>
      <c r="J667" s="16"/>
    </row>
    <row r="668" spans="1:10" ht="12.75" x14ac:dyDescent="0.2">
      <c r="A668" s="26"/>
      <c r="B668" s="26"/>
      <c r="C668" s="26"/>
      <c r="D668" s="16"/>
      <c r="E668" s="16"/>
      <c r="F668" s="16"/>
      <c r="G668" s="16"/>
      <c r="H668" s="16"/>
      <c r="I668" s="16"/>
      <c r="J668" s="16"/>
    </row>
    <row r="669" spans="1:10" ht="12.75" x14ac:dyDescent="0.2">
      <c r="A669" s="26"/>
      <c r="B669" s="26"/>
      <c r="C669" s="26"/>
      <c r="D669" s="16"/>
      <c r="E669" s="16"/>
      <c r="F669" s="16"/>
      <c r="G669" s="16"/>
      <c r="H669" s="16"/>
      <c r="I669" s="16"/>
      <c r="J669" s="16"/>
    </row>
    <row r="670" spans="1:10" ht="12.75" x14ac:dyDescent="0.2">
      <c r="A670" s="26"/>
      <c r="B670" s="26"/>
      <c r="C670" s="26"/>
      <c r="D670" s="16"/>
      <c r="E670" s="16"/>
      <c r="F670" s="16"/>
      <c r="G670" s="16"/>
      <c r="H670" s="16"/>
      <c r="I670" s="16"/>
      <c r="J670" s="16"/>
    </row>
    <row r="671" spans="1:10" ht="12.75" x14ac:dyDescent="0.2">
      <c r="A671" s="26"/>
      <c r="B671" s="26"/>
      <c r="C671" s="26"/>
      <c r="D671" s="16"/>
      <c r="E671" s="16"/>
      <c r="F671" s="16"/>
      <c r="G671" s="16"/>
      <c r="H671" s="16"/>
      <c r="I671" s="16"/>
      <c r="J671" s="16"/>
    </row>
    <row r="672" spans="1:10" ht="12.75" x14ac:dyDescent="0.2">
      <c r="A672" s="26"/>
      <c r="B672" s="26"/>
      <c r="C672" s="26"/>
      <c r="D672" s="16"/>
      <c r="E672" s="16"/>
      <c r="F672" s="16"/>
      <c r="G672" s="16"/>
      <c r="H672" s="16"/>
      <c r="I672" s="16"/>
      <c r="J672" s="16"/>
    </row>
    <row r="673" spans="1:10" ht="12.75" x14ac:dyDescent="0.2">
      <c r="A673" s="26"/>
      <c r="B673" s="26"/>
      <c r="C673" s="26"/>
      <c r="D673" s="16"/>
      <c r="E673" s="16"/>
      <c r="F673" s="16"/>
      <c r="G673" s="16"/>
      <c r="H673" s="16"/>
      <c r="I673" s="16"/>
      <c r="J673" s="16"/>
    </row>
    <row r="674" spans="1:10" ht="12.75" x14ac:dyDescent="0.2">
      <c r="A674" s="26"/>
      <c r="B674" s="26"/>
      <c r="C674" s="26"/>
      <c r="D674" s="16"/>
      <c r="E674" s="16"/>
      <c r="F674" s="16"/>
      <c r="G674" s="16"/>
      <c r="H674" s="16"/>
      <c r="I674" s="16"/>
      <c r="J674" s="16"/>
    </row>
    <row r="675" spans="1:10" ht="12.75" x14ac:dyDescent="0.2">
      <c r="A675" s="26"/>
      <c r="B675" s="26"/>
      <c r="C675" s="26"/>
      <c r="D675" s="16"/>
      <c r="E675" s="16"/>
      <c r="F675" s="16"/>
      <c r="G675" s="16"/>
      <c r="H675" s="16"/>
      <c r="I675" s="16"/>
      <c r="J675" s="16"/>
    </row>
    <row r="676" spans="1:10" ht="12.75" x14ac:dyDescent="0.2">
      <c r="A676" s="26"/>
      <c r="B676" s="26"/>
      <c r="C676" s="26"/>
      <c r="D676" s="16"/>
      <c r="E676" s="16"/>
      <c r="F676" s="16"/>
      <c r="G676" s="16"/>
      <c r="H676" s="16"/>
      <c r="I676" s="16"/>
      <c r="J676" s="16"/>
    </row>
    <row r="677" spans="1:10" ht="12.75" x14ac:dyDescent="0.2">
      <c r="A677" s="26"/>
      <c r="B677" s="26"/>
      <c r="C677" s="26"/>
      <c r="D677" s="16"/>
      <c r="E677" s="16"/>
      <c r="F677" s="16"/>
      <c r="G677" s="16"/>
      <c r="H677" s="16"/>
      <c r="I677" s="16"/>
      <c r="J677" s="16"/>
    </row>
    <row r="678" spans="1:10" ht="12.75" x14ac:dyDescent="0.2">
      <c r="A678" s="26"/>
      <c r="B678" s="26"/>
      <c r="C678" s="26"/>
      <c r="D678" s="16"/>
      <c r="E678" s="16"/>
      <c r="F678" s="16"/>
      <c r="G678" s="16"/>
      <c r="H678" s="16"/>
      <c r="I678" s="16"/>
      <c r="J678" s="16"/>
    </row>
    <row r="679" spans="1:10" ht="12.75" x14ac:dyDescent="0.2">
      <c r="A679" s="26"/>
      <c r="B679" s="26"/>
      <c r="C679" s="26"/>
      <c r="D679" s="16"/>
      <c r="E679" s="16"/>
      <c r="F679" s="16"/>
      <c r="G679" s="16"/>
      <c r="H679" s="16"/>
      <c r="I679" s="16"/>
      <c r="J679" s="16"/>
    </row>
    <row r="680" spans="1:10" ht="12.75" x14ac:dyDescent="0.2">
      <c r="A680" s="26"/>
      <c r="B680" s="26"/>
      <c r="C680" s="26"/>
      <c r="D680" s="16"/>
      <c r="E680" s="16"/>
      <c r="F680" s="16"/>
      <c r="G680" s="16"/>
      <c r="H680" s="16"/>
      <c r="I680" s="16"/>
      <c r="J680" s="16"/>
    </row>
    <row r="681" spans="1:10" ht="12.75" x14ac:dyDescent="0.2">
      <c r="A681" s="26"/>
      <c r="B681" s="26"/>
      <c r="C681" s="26"/>
      <c r="D681" s="16"/>
      <c r="E681" s="16"/>
      <c r="F681" s="16"/>
      <c r="G681" s="16"/>
      <c r="H681" s="16"/>
      <c r="I681" s="16"/>
      <c r="J681" s="16"/>
    </row>
    <row r="682" spans="1:10" ht="12.75" x14ac:dyDescent="0.2">
      <c r="A682" s="26"/>
      <c r="B682" s="26"/>
      <c r="C682" s="26"/>
      <c r="D682" s="16"/>
      <c r="E682" s="16"/>
      <c r="F682" s="16"/>
      <c r="G682" s="16"/>
      <c r="H682" s="16"/>
      <c r="I682" s="16"/>
      <c r="J682" s="16"/>
    </row>
    <row r="683" spans="1:10" ht="12.75" x14ac:dyDescent="0.2">
      <c r="A683" s="26"/>
      <c r="B683" s="26"/>
      <c r="C683" s="26"/>
      <c r="D683" s="16"/>
      <c r="E683" s="16"/>
      <c r="F683" s="16"/>
      <c r="G683" s="16"/>
      <c r="H683" s="16"/>
      <c r="I683" s="16"/>
      <c r="J683" s="16"/>
    </row>
    <row r="684" spans="1:10" ht="12.75" x14ac:dyDescent="0.2">
      <c r="A684" s="26"/>
      <c r="B684" s="26"/>
      <c r="C684" s="26"/>
      <c r="D684" s="16"/>
      <c r="E684" s="16"/>
      <c r="F684" s="16"/>
      <c r="G684" s="16"/>
      <c r="H684" s="16"/>
      <c r="I684" s="16"/>
      <c r="J684" s="16"/>
    </row>
    <row r="685" spans="1:10" ht="12.75" x14ac:dyDescent="0.2">
      <c r="A685" s="26"/>
      <c r="B685" s="26"/>
      <c r="C685" s="26"/>
      <c r="D685" s="16"/>
      <c r="E685" s="16"/>
      <c r="F685" s="16"/>
      <c r="G685" s="16"/>
      <c r="H685" s="16"/>
      <c r="I685" s="16"/>
      <c r="J685" s="16"/>
    </row>
    <row r="686" spans="1:10" ht="12.75" x14ac:dyDescent="0.2">
      <c r="A686" s="26"/>
      <c r="B686" s="26"/>
      <c r="C686" s="26"/>
      <c r="D686" s="16"/>
      <c r="E686" s="16"/>
      <c r="F686" s="16"/>
      <c r="G686" s="16"/>
      <c r="H686" s="16"/>
      <c r="I686" s="16"/>
      <c r="J686" s="16"/>
    </row>
    <row r="687" spans="1:10" ht="12.75" x14ac:dyDescent="0.2">
      <c r="A687" s="26"/>
      <c r="B687" s="26"/>
      <c r="C687" s="26"/>
      <c r="D687" s="16"/>
      <c r="E687" s="16"/>
      <c r="F687" s="16"/>
      <c r="G687" s="16"/>
      <c r="H687" s="16"/>
      <c r="I687" s="16"/>
      <c r="J687" s="16"/>
    </row>
    <row r="688" spans="1:10" ht="12.75" x14ac:dyDescent="0.2">
      <c r="A688" s="26"/>
      <c r="B688" s="26"/>
      <c r="C688" s="26"/>
      <c r="D688" s="16"/>
      <c r="E688" s="16"/>
      <c r="F688" s="16"/>
      <c r="G688" s="16"/>
      <c r="H688" s="16"/>
      <c r="I688" s="16"/>
      <c r="J688" s="16"/>
    </row>
    <row r="689" spans="1:10" ht="12.75" x14ac:dyDescent="0.2">
      <c r="A689" s="26"/>
      <c r="B689" s="26"/>
      <c r="C689" s="26"/>
      <c r="D689" s="16"/>
      <c r="E689" s="16"/>
      <c r="F689" s="16"/>
      <c r="G689" s="16"/>
      <c r="H689" s="16"/>
      <c r="I689" s="16"/>
      <c r="J689" s="16"/>
    </row>
    <row r="690" spans="1:10" ht="12.75" x14ac:dyDescent="0.2">
      <c r="A690" s="26"/>
      <c r="B690" s="26"/>
      <c r="C690" s="26"/>
      <c r="D690" s="16"/>
      <c r="E690" s="16"/>
      <c r="F690" s="16"/>
      <c r="G690" s="16"/>
      <c r="H690" s="16"/>
      <c r="I690" s="16"/>
      <c r="J690" s="16"/>
    </row>
    <row r="691" spans="1:10" ht="12.75" x14ac:dyDescent="0.2">
      <c r="A691" s="26"/>
      <c r="B691" s="26"/>
      <c r="C691" s="26"/>
      <c r="D691" s="16"/>
      <c r="E691" s="16"/>
      <c r="F691" s="16"/>
      <c r="G691" s="16"/>
      <c r="H691" s="16"/>
      <c r="I691" s="16"/>
      <c r="J691" s="16"/>
    </row>
    <row r="692" spans="1:10" ht="12.75" x14ac:dyDescent="0.2">
      <c r="A692" s="26"/>
      <c r="B692" s="26"/>
      <c r="C692" s="26"/>
      <c r="D692" s="16"/>
      <c r="E692" s="16"/>
      <c r="F692" s="16"/>
      <c r="G692" s="16"/>
      <c r="H692" s="16"/>
      <c r="I692" s="16"/>
      <c r="J692" s="16"/>
    </row>
    <row r="693" spans="1:10" ht="12.75" x14ac:dyDescent="0.2">
      <c r="A693" s="26"/>
      <c r="B693" s="26"/>
      <c r="C693" s="26"/>
      <c r="D693" s="16"/>
      <c r="E693" s="16"/>
      <c r="F693" s="16"/>
      <c r="G693" s="16"/>
      <c r="H693" s="16"/>
      <c r="I693" s="16"/>
      <c r="J693" s="16"/>
    </row>
    <row r="694" spans="1:10" ht="12.75" x14ac:dyDescent="0.2">
      <c r="A694" s="26"/>
      <c r="B694" s="26"/>
      <c r="C694" s="26"/>
      <c r="D694" s="16"/>
      <c r="E694" s="16"/>
      <c r="F694" s="16"/>
      <c r="G694" s="16"/>
      <c r="H694" s="16"/>
      <c r="I694" s="16"/>
      <c r="J694" s="16"/>
    </row>
    <row r="695" spans="1:10" ht="12.75" x14ac:dyDescent="0.2">
      <c r="A695" s="26"/>
      <c r="B695" s="26"/>
      <c r="C695" s="26"/>
      <c r="D695" s="16"/>
      <c r="E695" s="16"/>
      <c r="F695" s="16"/>
      <c r="G695" s="16"/>
      <c r="H695" s="16"/>
      <c r="I695" s="16"/>
      <c r="J695" s="16"/>
    </row>
    <row r="696" spans="1:10" ht="12.75" x14ac:dyDescent="0.2">
      <c r="A696" s="26"/>
      <c r="B696" s="26"/>
      <c r="C696" s="26"/>
      <c r="D696" s="16"/>
      <c r="E696" s="16"/>
      <c r="F696" s="16"/>
      <c r="G696" s="16"/>
      <c r="H696" s="16"/>
      <c r="I696" s="16"/>
      <c r="J696" s="16"/>
    </row>
    <row r="697" spans="1:10" ht="12.75" x14ac:dyDescent="0.2">
      <c r="A697" s="26"/>
      <c r="B697" s="26"/>
      <c r="C697" s="26"/>
      <c r="D697" s="16"/>
      <c r="E697" s="16"/>
      <c r="F697" s="16"/>
      <c r="G697" s="16"/>
      <c r="H697" s="16"/>
      <c r="I697" s="16"/>
      <c r="J697" s="16"/>
    </row>
    <row r="698" spans="1:10" ht="12.75" x14ac:dyDescent="0.2">
      <c r="A698" s="26"/>
      <c r="B698" s="26"/>
      <c r="C698" s="26"/>
      <c r="D698" s="16"/>
      <c r="E698" s="16"/>
      <c r="F698" s="16"/>
      <c r="G698" s="16"/>
      <c r="H698" s="16"/>
      <c r="I698" s="16"/>
      <c r="J698" s="16"/>
    </row>
    <row r="699" spans="1:10" ht="12.75" x14ac:dyDescent="0.2">
      <c r="A699" s="26"/>
      <c r="B699" s="26"/>
      <c r="C699" s="26"/>
      <c r="D699" s="16"/>
      <c r="E699" s="16"/>
      <c r="F699" s="16"/>
      <c r="G699" s="16"/>
      <c r="H699" s="16"/>
      <c r="I699" s="16"/>
      <c r="J699" s="16"/>
    </row>
    <row r="700" spans="1:10" ht="12.75" x14ac:dyDescent="0.2">
      <c r="A700" s="26"/>
      <c r="B700" s="26"/>
      <c r="C700" s="26"/>
      <c r="D700" s="16"/>
      <c r="E700" s="16"/>
      <c r="F700" s="16"/>
      <c r="G700" s="16"/>
      <c r="H700" s="16"/>
      <c r="I700" s="16"/>
      <c r="J700" s="16"/>
    </row>
    <row r="701" spans="1:10" ht="12.75" x14ac:dyDescent="0.2">
      <c r="A701" s="26"/>
      <c r="B701" s="26"/>
      <c r="C701" s="26"/>
      <c r="D701" s="16"/>
      <c r="E701" s="16"/>
      <c r="F701" s="16"/>
      <c r="G701" s="16"/>
      <c r="H701" s="16"/>
      <c r="I701" s="16"/>
      <c r="J701" s="16"/>
    </row>
    <row r="702" spans="1:10" ht="12.75" x14ac:dyDescent="0.2">
      <c r="A702" s="26"/>
      <c r="B702" s="26"/>
      <c r="C702" s="26"/>
      <c r="D702" s="16"/>
      <c r="E702" s="16"/>
      <c r="F702" s="16"/>
      <c r="G702" s="16"/>
      <c r="H702" s="16"/>
      <c r="I702" s="16"/>
      <c r="J702" s="16"/>
    </row>
    <row r="703" spans="1:10" ht="12.75" x14ac:dyDescent="0.2">
      <c r="A703" s="26"/>
      <c r="B703" s="26"/>
      <c r="C703" s="26"/>
      <c r="D703" s="16"/>
      <c r="E703" s="16"/>
      <c r="F703" s="16"/>
      <c r="G703" s="16"/>
      <c r="H703" s="16"/>
      <c r="I703" s="16"/>
      <c r="J703" s="16"/>
    </row>
    <row r="704" spans="1:10" ht="12.75" x14ac:dyDescent="0.2">
      <c r="A704" s="26"/>
      <c r="B704" s="26"/>
      <c r="C704" s="26"/>
      <c r="D704" s="16"/>
      <c r="E704" s="16"/>
      <c r="F704" s="16"/>
      <c r="G704" s="16"/>
      <c r="H704" s="16"/>
      <c r="I704" s="16"/>
      <c r="J704" s="16"/>
    </row>
    <row r="705" spans="1:10" ht="12.75" x14ac:dyDescent="0.2">
      <c r="A705" s="26"/>
      <c r="B705" s="26"/>
      <c r="C705" s="26"/>
      <c r="D705" s="16"/>
      <c r="E705" s="16"/>
      <c r="F705" s="16"/>
      <c r="G705" s="16"/>
      <c r="H705" s="16"/>
      <c r="I705" s="16"/>
      <c r="J705" s="16"/>
    </row>
    <row r="706" spans="1:10" ht="12.75" x14ac:dyDescent="0.2">
      <c r="A706" s="26"/>
      <c r="B706" s="26"/>
      <c r="C706" s="26"/>
      <c r="D706" s="16"/>
      <c r="E706" s="16"/>
      <c r="F706" s="16"/>
      <c r="G706" s="16"/>
      <c r="H706" s="16"/>
      <c r="I706" s="16"/>
      <c r="J706" s="16"/>
    </row>
    <row r="707" spans="1:10" ht="12.75" x14ac:dyDescent="0.2">
      <c r="A707" s="26"/>
      <c r="B707" s="26"/>
      <c r="C707" s="26"/>
      <c r="D707" s="16"/>
      <c r="E707" s="16"/>
      <c r="F707" s="16"/>
      <c r="G707" s="16"/>
      <c r="H707" s="16"/>
      <c r="I707" s="16"/>
      <c r="J707" s="16"/>
    </row>
    <row r="708" spans="1:10" ht="12.75" x14ac:dyDescent="0.2">
      <c r="A708" s="26"/>
      <c r="B708" s="26"/>
      <c r="C708" s="26"/>
      <c r="D708" s="16"/>
      <c r="E708" s="16"/>
      <c r="F708" s="16"/>
      <c r="G708" s="16"/>
      <c r="H708" s="16"/>
      <c r="I708" s="16"/>
      <c r="J708" s="16"/>
    </row>
    <row r="709" spans="1:10" ht="12.75" x14ac:dyDescent="0.2">
      <c r="A709" s="26"/>
      <c r="B709" s="26"/>
      <c r="C709" s="26"/>
      <c r="D709" s="16"/>
      <c r="E709" s="16"/>
      <c r="F709" s="16"/>
      <c r="G709" s="16"/>
      <c r="H709" s="16"/>
      <c r="I709" s="16"/>
      <c r="J709" s="16"/>
    </row>
    <row r="710" spans="1:10" ht="12.75" x14ac:dyDescent="0.2">
      <c r="A710" s="26"/>
      <c r="B710" s="26"/>
      <c r="C710" s="26"/>
      <c r="D710" s="16"/>
      <c r="E710" s="16"/>
      <c r="F710" s="16"/>
      <c r="G710" s="16"/>
      <c r="H710" s="16"/>
      <c r="I710" s="16"/>
      <c r="J710" s="16"/>
    </row>
    <row r="711" spans="1:10" ht="12.75" x14ac:dyDescent="0.2">
      <c r="A711" s="26"/>
      <c r="B711" s="26"/>
      <c r="C711" s="26"/>
      <c r="D711" s="16"/>
      <c r="E711" s="16"/>
      <c r="F711" s="16"/>
      <c r="G711" s="16"/>
      <c r="H711" s="16"/>
      <c r="I711" s="16"/>
      <c r="J711" s="16"/>
    </row>
    <row r="712" spans="1:10" ht="12.75" x14ac:dyDescent="0.2">
      <c r="A712" s="26"/>
      <c r="B712" s="26"/>
      <c r="C712" s="26"/>
      <c r="D712" s="16"/>
      <c r="E712" s="16"/>
      <c r="F712" s="16"/>
      <c r="G712" s="16"/>
      <c r="H712" s="16"/>
      <c r="I712" s="16"/>
      <c r="J712" s="16"/>
    </row>
    <row r="713" spans="1:10" ht="12.75" x14ac:dyDescent="0.2">
      <c r="A713" s="26"/>
      <c r="B713" s="26"/>
      <c r="C713" s="26"/>
      <c r="D713" s="16"/>
      <c r="E713" s="16"/>
      <c r="F713" s="16"/>
      <c r="G713" s="16"/>
      <c r="H713" s="16"/>
      <c r="I713" s="16"/>
      <c r="J713" s="16"/>
    </row>
    <row r="714" spans="1:10" ht="12.75" x14ac:dyDescent="0.2">
      <c r="A714" s="26"/>
      <c r="B714" s="26"/>
      <c r="C714" s="26"/>
      <c r="D714" s="16"/>
      <c r="E714" s="16"/>
      <c r="F714" s="16"/>
      <c r="G714" s="16"/>
      <c r="H714" s="16"/>
      <c r="I714" s="16"/>
      <c r="J714" s="16"/>
    </row>
    <row r="715" spans="1:10" ht="12.75" x14ac:dyDescent="0.2">
      <c r="A715" s="26"/>
      <c r="B715" s="26"/>
      <c r="C715" s="26"/>
      <c r="D715" s="16"/>
      <c r="E715" s="16"/>
      <c r="F715" s="16"/>
      <c r="G715" s="16"/>
      <c r="H715" s="16"/>
      <c r="I715" s="16"/>
      <c r="J715" s="16"/>
    </row>
    <row r="716" spans="1:10" ht="12.75" x14ac:dyDescent="0.2">
      <c r="A716" s="26"/>
      <c r="B716" s="26"/>
      <c r="C716" s="26"/>
      <c r="D716" s="16"/>
      <c r="E716" s="16"/>
      <c r="F716" s="16"/>
      <c r="G716" s="16"/>
      <c r="H716" s="16"/>
      <c r="I716" s="16"/>
      <c r="J716" s="16"/>
    </row>
    <row r="717" spans="1:10" ht="12.75" x14ac:dyDescent="0.2">
      <c r="A717" s="26"/>
      <c r="B717" s="26"/>
      <c r="C717" s="26"/>
      <c r="D717" s="16"/>
      <c r="E717" s="16"/>
      <c r="F717" s="16"/>
      <c r="G717" s="16"/>
      <c r="H717" s="16"/>
      <c r="I717" s="16"/>
      <c r="J717" s="16"/>
    </row>
    <row r="718" spans="1:10" ht="12.75" x14ac:dyDescent="0.2">
      <c r="A718" s="26"/>
      <c r="B718" s="26"/>
      <c r="C718" s="26"/>
      <c r="D718" s="16"/>
      <c r="E718" s="16"/>
      <c r="F718" s="16"/>
      <c r="G718" s="16"/>
      <c r="H718" s="16"/>
      <c r="I718" s="16"/>
      <c r="J718" s="16"/>
    </row>
    <row r="719" spans="1:10" ht="12.75" x14ac:dyDescent="0.2">
      <c r="A719" s="26"/>
      <c r="B719" s="26"/>
      <c r="C719" s="26"/>
      <c r="D719" s="16"/>
      <c r="E719" s="16"/>
      <c r="F719" s="16"/>
      <c r="G719" s="16"/>
      <c r="H719" s="16"/>
      <c r="I719" s="16"/>
      <c r="J719" s="16"/>
    </row>
    <row r="720" spans="1:10" ht="12.75" x14ac:dyDescent="0.2">
      <c r="A720" s="26"/>
      <c r="B720" s="26"/>
      <c r="C720" s="26"/>
      <c r="D720" s="16"/>
      <c r="E720" s="16"/>
      <c r="F720" s="16"/>
      <c r="G720" s="16"/>
      <c r="H720" s="16"/>
      <c r="I720" s="16"/>
      <c r="J720" s="16"/>
    </row>
    <row r="721" spans="1:10" ht="12.75" x14ac:dyDescent="0.2">
      <c r="A721" s="26"/>
      <c r="B721" s="26"/>
      <c r="C721" s="26"/>
      <c r="D721" s="16"/>
      <c r="E721" s="16"/>
      <c r="F721" s="16"/>
      <c r="G721" s="16"/>
      <c r="H721" s="16"/>
      <c r="I721" s="16"/>
      <c r="J721" s="16"/>
    </row>
    <row r="722" spans="1:10" ht="12.75" x14ac:dyDescent="0.2">
      <c r="A722" s="26"/>
      <c r="B722" s="26"/>
      <c r="C722" s="26"/>
      <c r="D722" s="16"/>
      <c r="E722" s="16"/>
      <c r="F722" s="16"/>
      <c r="G722" s="16"/>
      <c r="H722" s="16"/>
      <c r="I722" s="16"/>
      <c r="J722" s="16"/>
    </row>
    <row r="723" spans="1:10" ht="12.75" x14ac:dyDescent="0.2">
      <c r="A723" s="26"/>
      <c r="B723" s="26"/>
      <c r="C723" s="26"/>
      <c r="D723" s="16"/>
      <c r="E723" s="16"/>
      <c r="F723" s="16"/>
      <c r="G723" s="16"/>
      <c r="H723" s="16"/>
      <c r="I723" s="16"/>
      <c r="J723" s="16"/>
    </row>
    <row r="724" spans="1:10" ht="12.75" x14ac:dyDescent="0.2">
      <c r="A724" s="26"/>
      <c r="B724" s="26"/>
      <c r="C724" s="26"/>
      <c r="D724" s="16"/>
      <c r="E724" s="16"/>
      <c r="F724" s="16"/>
      <c r="G724" s="16"/>
      <c r="H724" s="16"/>
      <c r="I724" s="16"/>
      <c r="J724" s="16"/>
    </row>
    <row r="725" spans="1:10" ht="12.75" x14ac:dyDescent="0.2">
      <c r="A725" s="26"/>
      <c r="B725" s="26"/>
      <c r="C725" s="26"/>
      <c r="D725" s="16"/>
      <c r="E725" s="16"/>
      <c r="F725" s="16"/>
      <c r="G725" s="16"/>
      <c r="H725" s="16"/>
      <c r="I725" s="16"/>
      <c r="J725" s="16"/>
    </row>
    <row r="726" spans="1:10" ht="12.75" x14ac:dyDescent="0.2">
      <c r="A726" s="26"/>
      <c r="B726" s="26"/>
      <c r="C726" s="26"/>
      <c r="D726" s="16"/>
      <c r="E726" s="16"/>
      <c r="F726" s="16"/>
      <c r="G726" s="16"/>
      <c r="H726" s="16"/>
      <c r="I726" s="16"/>
      <c r="J726" s="16"/>
    </row>
    <row r="727" spans="1:10" ht="12.75" x14ac:dyDescent="0.2">
      <c r="A727" s="26"/>
      <c r="B727" s="26"/>
      <c r="C727" s="26"/>
      <c r="D727" s="16"/>
      <c r="E727" s="16"/>
      <c r="F727" s="16"/>
      <c r="G727" s="16"/>
      <c r="H727" s="16"/>
      <c r="I727" s="16"/>
      <c r="J727" s="16"/>
    </row>
    <row r="728" spans="1:10" ht="12.75" x14ac:dyDescent="0.2">
      <c r="A728" s="26"/>
      <c r="B728" s="26"/>
      <c r="C728" s="26"/>
      <c r="D728" s="16"/>
      <c r="E728" s="16"/>
      <c r="F728" s="16"/>
      <c r="G728" s="16"/>
      <c r="H728" s="16"/>
      <c r="I728" s="16"/>
      <c r="J728" s="16"/>
    </row>
    <row r="729" spans="1:10" ht="12.75" x14ac:dyDescent="0.2">
      <c r="A729" s="26"/>
      <c r="B729" s="26"/>
      <c r="C729" s="26"/>
      <c r="D729" s="16"/>
      <c r="E729" s="16"/>
      <c r="F729" s="16"/>
      <c r="G729" s="16"/>
      <c r="H729" s="16"/>
      <c r="I729" s="16"/>
      <c r="J729" s="16"/>
    </row>
    <row r="730" spans="1:10" ht="12.75" x14ac:dyDescent="0.2">
      <c r="A730" s="26"/>
      <c r="B730" s="26"/>
      <c r="C730" s="26"/>
      <c r="D730" s="16"/>
      <c r="E730" s="16"/>
      <c r="F730" s="16"/>
      <c r="G730" s="16"/>
      <c r="H730" s="16"/>
      <c r="I730" s="16"/>
      <c r="J730" s="16"/>
    </row>
    <row r="731" spans="1:10" ht="12.75" x14ac:dyDescent="0.2">
      <c r="A731" s="26"/>
      <c r="B731" s="26"/>
      <c r="C731" s="26"/>
      <c r="D731" s="16"/>
      <c r="E731" s="16"/>
      <c r="F731" s="16"/>
      <c r="G731" s="16"/>
      <c r="H731" s="16"/>
      <c r="I731" s="16"/>
      <c r="J731" s="16"/>
    </row>
    <row r="732" spans="1:10" ht="12.75" x14ac:dyDescent="0.2">
      <c r="A732" s="26"/>
      <c r="B732" s="26"/>
      <c r="C732" s="26"/>
      <c r="D732" s="16"/>
      <c r="E732" s="16"/>
      <c r="F732" s="16"/>
      <c r="G732" s="16"/>
      <c r="H732" s="16"/>
      <c r="I732" s="16"/>
      <c r="J732" s="16"/>
    </row>
    <row r="733" spans="1:10" ht="12.75" x14ac:dyDescent="0.2">
      <c r="A733" s="26"/>
      <c r="B733" s="26"/>
      <c r="C733" s="26"/>
      <c r="D733" s="16"/>
      <c r="E733" s="16"/>
      <c r="F733" s="16"/>
      <c r="G733" s="16"/>
      <c r="H733" s="16"/>
      <c r="I733" s="16"/>
      <c r="J733" s="16"/>
    </row>
    <row r="734" spans="1:10" ht="12.75" x14ac:dyDescent="0.2">
      <c r="A734" s="26"/>
      <c r="B734" s="26"/>
      <c r="C734" s="26"/>
      <c r="D734" s="16"/>
      <c r="E734" s="16"/>
      <c r="F734" s="16"/>
      <c r="G734" s="16"/>
      <c r="H734" s="16"/>
      <c r="I734" s="16"/>
      <c r="J734" s="16"/>
    </row>
    <row r="735" spans="1:10" ht="12.75" x14ac:dyDescent="0.2">
      <c r="A735" s="26"/>
      <c r="B735" s="26"/>
      <c r="C735" s="26"/>
      <c r="D735" s="16"/>
      <c r="E735" s="16"/>
      <c r="F735" s="16"/>
      <c r="G735" s="16"/>
      <c r="H735" s="16"/>
      <c r="I735" s="16"/>
      <c r="J735" s="16"/>
    </row>
    <row r="736" spans="1:10" ht="12.75" x14ac:dyDescent="0.2">
      <c r="A736" s="26"/>
      <c r="B736" s="26"/>
      <c r="C736" s="26"/>
      <c r="D736" s="16"/>
      <c r="E736" s="16"/>
      <c r="F736" s="16"/>
      <c r="G736" s="16"/>
      <c r="H736" s="16"/>
      <c r="I736" s="16"/>
      <c r="J736" s="16"/>
    </row>
    <row r="737" spans="1:10" ht="12.75" x14ac:dyDescent="0.2">
      <c r="A737" s="26"/>
      <c r="B737" s="26"/>
      <c r="C737" s="26"/>
      <c r="D737" s="16"/>
      <c r="E737" s="16"/>
      <c r="F737" s="16"/>
      <c r="G737" s="16"/>
      <c r="H737" s="16"/>
      <c r="I737" s="16"/>
      <c r="J737" s="16"/>
    </row>
    <row r="738" spans="1:10" ht="12.75" x14ac:dyDescent="0.2">
      <c r="A738" s="26"/>
      <c r="B738" s="26"/>
      <c r="C738" s="26"/>
      <c r="D738" s="16"/>
      <c r="E738" s="16"/>
      <c r="F738" s="16"/>
      <c r="G738" s="16"/>
      <c r="H738" s="16"/>
      <c r="I738" s="16"/>
      <c r="J738" s="16"/>
    </row>
    <row r="739" spans="1:10" ht="12.75" x14ac:dyDescent="0.2">
      <c r="A739" s="26"/>
      <c r="B739" s="26"/>
      <c r="C739" s="26"/>
      <c r="D739" s="16"/>
      <c r="E739" s="16"/>
      <c r="F739" s="16"/>
      <c r="G739" s="16"/>
      <c r="H739" s="16"/>
      <c r="I739" s="16"/>
      <c r="J739" s="16"/>
    </row>
    <row r="740" spans="1:10" ht="12.75" x14ac:dyDescent="0.2">
      <c r="A740" s="26"/>
      <c r="B740" s="26"/>
      <c r="C740" s="26"/>
      <c r="D740" s="16"/>
      <c r="E740" s="16"/>
      <c r="F740" s="16"/>
      <c r="G740" s="16"/>
      <c r="H740" s="16"/>
      <c r="I740" s="16"/>
      <c r="J740" s="16"/>
    </row>
    <row r="741" spans="1:10" ht="12.75" x14ac:dyDescent="0.2">
      <c r="A741" s="26"/>
      <c r="B741" s="26"/>
      <c r="C741" s="26"/>
      <c r="D741" s="16"/>
      <c r="E741" s="16"/>
      <c r="F741" s="16"/>
      <c r="G741" s="16"/>
      <c r="H741" s="16"/>
      <c r="I741" s="16"/>
      <c r="J741" s="16"/>
    </row>
    <row r="742" spans="1:10" ht="12.75" x14ac:dyDescent="0.2">
      <c r="A742" s="26"/>
      <c r="B742" s="26"/>
      <c r="C742" s="26"/>
      <c r="D742" s="16"/>
      <c r="E742" s="16"/>
      <c r="F742" s="16"/>
      <c r="G742" s="16"/>
      <c r="H742" s="16"/>
      <c r="I742" s="16"/>
      <c r="J742" s="16"/>
    </row>
    <row r="743" spans="1:10" ht="12.75" x14ac:dyDescent="0.2">
      <c r="A743" s="26"/>
      <c r="B743" s="26"/>
      <c r="C743" s="26"/>
      <c r="D743" s="16"/>
      <c r="E743" s="16"/>
      <c r="F743" s="16"/>
      <c r="G743" s="16"/>
      <c r="H743" s="16"/>
      <c r="I743" s="16"/>
      <c r="J743" s="16"/>
    </row>
    <row r="744" spans="1:10" ht="12.75" x14ac:dyDescent="0.2">
      <c r="A744" s="26"/>
      <c r="B744" s="26"/>
      <c r="C744" s="26"/>
      <c r="D744" s="16"/>
      <c r="E744" s="16"/>
      <c r="F744" s="16"/>
      <c r="G744" s="16"/>
      <c r="H744" s="16"/>
      <c r="I744" s="16"/>
      <c r="J744" s="16"/>
    </row>
    <row r="745" spans="1:10" ht="12.75" x14ac:dyDescent="0.2">
      <c r="A745" s="26"/>
      <c r="B745" s="26"/>
      <c r="C745" s="26"/>
      <c r="D745" s="16"/>
      <c r="E745" s="16"/>
      <c r="F745" s="16"/>
      <c r="G745" s="16"/>
      <c r="H745" s="16"/>
      <c r="I745" s="16"/>
      <c r="J745" s="16"/>
    </row>
    <row r="746" spans="1:10" ht="12.75" x14ac:dyDescent="0.2">
      <c r="A746" s="26"/>
      <c r="B746" s="26"/>
      <c r="C746" s="26"/>
      <c r="D746" s="16"/>
      <c r="E746" s="16"/>
      <c r="F746" s="16"/>
      <c r="G746" s="16"/>
      <c r="H746" s="16"/>
      <c r="I746" s="16"/>
      <c r="J746" s="16"/>
    </row>
    <row r="747" spans="1:10" ht="12.75" x14ac:dyDescent="0.2">
      <c r="A747" s="26"/>
      <c r="B747" s="26"/>
      <c r="C747" s="26"/>
      <c r="D747" s="16"/>
      <c r="E747" s="16"/>
      <c r="F747" s="16"/>
      <c r="G747" s="16"/>
      <c r="H747" s="16"/>
      <c r="I747" s="16"/>
      <c r="J747" s="16"/>
    </row>
    <row r="748" spans="1:10" ht="12.75" x14ac:dyDescent="0.2">
      <c r="A748" s="26"/>
      <c r="B748" s="26"/>
      <c r="C748" s="26"/>
      <c r="D748" s="16"/>
      <c r="E748" s="16"/>
      <c r="F748" s="16"/>
      <c r="G748" s="16"/>
      <c r="H748" s="16"/>
      <c r="I748" s="16"/>
      <c r="J748" s="16"/>
    </row>
    <row r="749" spans="1:10" ht="12.75" x14ac:dyDescent="0.2">
      <c r="A749" s="26"/>
      <c r="B749" s="26"/>
      <c r="C749" s="26"/>
      <c r="D749" s="16"/>
      <c r="E749" s="16"/>
      <c r="F749" s="16"/>
      <c r="G749" s="16"/>
      <c r="H749" s="16"/>
      <c r="I749" s="16"/>
      <c r="J749" s="16"/>
    </row>
    <row r="750" spans="1:10" ht="12.75" x14ac:dyDescent="0.2">
      <c r="A750" s="26"/>
      <c r="B750" s="26"/>
      <c r="C750" s="26"/>
      <c r="D750" s="16"/>
      <c r="E750" s="16"/>
      <c r="F750" s="16"/>
      <c r="G750" s="16"/>
      <c r="H750" s="16"/>
      <c r="I750" s="16"/>
      <c r="J750" s="16"/>
    </row>
    <row r="751" spans="1:10" ht="12.75" x14ac:dyDescent="0.2">
      <c r="A751" s="26"/>
      <c r="B751" s="26"/>
      <c r="C751" s="26"/>
      <c r="D751" s="16"/>
      <c r="E751" s="16"/>
      <c r="F751" s="16"/>
      <c r="G751" s="16"/>
      <c r="H751" s="16"/>
      <c r="I751" s="16"/>
      <c r="J751" s="16"/>
    </row>
    <row r="752" spans="1:10" ht="12.75" x14ac:dyDescent="0.2">
      <c r="A752" s="26"/>
      <c r="B752" s="26"/>
      <c r="C752" s="26"/>
      <c r="D752" s="16"/>
      <c r="E752" s="16"/>
      <c r="F752" s="16"/>
      <c r="G752" s="16"/>
      <c r="H752" s="16"/>
      <c r="I752" s="16"/>
      <c r="J752" s="16"/>
    </row>
    <row r="753" spans="1:10" ht="12.75" x14ac:dyDescent="0.2">
      <c r="A753" s="26"/>
      <c r="B753" s="26"/>
      <c r="C753" s="26"/>
      <c r="D753" s="16"/>
      <c r="E753" s="16"/>
      <c r="F753" s="16"/>
      <c r="G753" s="16"/>
      <c r="H753" s="16"/>
      <c r="I753" s="16"/>
      <c r="J753" s="16"/>
    </row>
    <row r="754" spans="1:10" ht="12.75" x14ac:dyDescent="0.2">
      <c r="A754" s="26"/>
      <c r="B754" s="26"/>
      <c r="C754" s="26"/>
      <c r="D754" s="16"/>
      <c r="E754" s="16"/>
      <c r="F754" s="16"/>
      <c r="G754" s="16"/>
      <c r="H754" s="16"/>
      <c r="I754" s="16"/>
      <c r="J754" s="16"/>
    </row>
    <row r="755" spans="1:10" ht="12.75" x14ac:dyDescent="0.2">
      <c r="A755" s="26"/>
      <c r="B755" s="26"/>
      <c r="C755" s="26"/>
      <c r="D755" s="16"/>
      <c r="E755" s="16"/>
      <c r="F755" s="16"/>
      <c r="G755" s="16"/>
      <c r="H755" s="16"/>
      <c r="I755" s="16"/>
      <c r="J755" s="16"/>
    </row>
    <row r="756" spans="1:10" ht="12.75" x14ac:dyDescent="0.2">
      <c r="A756" s="26"/>
      <c r="B756" s="26"/>
      <c r="C756" s="26"/>
      <c r="D756" s="16"/>
      <c r="E756" s="16"/>
      <c r="F756" s="16"/>
      <c r="G756" s="16"/>
      <c r="H756" s="16"/>
      <c r="I756" s="16"/>
      <c r="J756" s="16"/>
    </row>
    <row r="757" spans="1:10" ht="12.75" x14ac:dyDescent="0.2">
      <c r="A757" s="26"/>
      <c r="B757" s="26"/>
      <c r="C757" s="26"/>
      <c r="D757" s="16"/>
      <c r="E757" s="16"/>
      <c r="F757" s="16"/>
      <c r="G757" s="16"/>
      <c r="H757" s="16"/>
      <c r="I757" s="16"/>
      <c r="J757" s="16"/>
    </row>
    <row r="758" spans="1:10" ht="12.75" x14ac:dyDescent="0.2">
      <c r="A758" s="26"/>
      <c r="B758" s="26"/>
      <c r="C758" s="26"/>
      <c r="D758" s="16"/>
      <c r="E758" s="16"/>
      <c r="F758" s="16"/>
      <c r="G758" s="16"/>
      <c r="H758" s="16"/>
      <c r="I758" s="16"/>
      <c r="J758" s="16"/>
    </row>
    <row r="759" spans="1:10" ht="12.75" x14ac:dyDescent="0.2">
      <c r="A759" s="26"/>
      <c r="B759" s="26"/>
      <c r="C759" s="26"/>
      <c r="D759" s="16"/>
      <c r="E759" s="16"/>
      <c r="F759" s="16"/>
      <c r="G759" s="16"/>
      <c r="H759" s="16"/>
      <c r="I759" s="16"/>
      <c r="J759" s="16"/>
    </row>
    <row r="760" spans="1:10" ht="12.75" x14ac:dyDescent="0.2">
      <c r="A760" s="26"/>
      <c r="B760" s="26"/>
      <c r="C760" s="26"/>
      <c r="D760" s="16"/>
      <c r="E760" s="16"/>
      <c r="F760" s="16"/>
      <c r="G760" s="16"/>
      <c r="H760" s="16"/>
      <c r="I760" s="16"/>
      <c r="J760" s="16"/>
    </row>
    <row r="761" spans="1:10" ht="12.75" x14ac:dyDescent="0.2">
      <c r="A761" s="26"/>
      <c r="B761" s="26"/>
      <c r="C761" s="26"/>
      <c r="D761" s="16"/>
      <c r="E761" s="16"/>
      <c r="F761" s="16"/>
      <c r="G761" s="16"/>
      <c r="H761" s="16"/>
      <c r="I761" s="16"/>
      <c r="J761" s="16"/>
    </row>
    <row r="762" spans="1:10" ht="12.75" x14ac:dyDescent="0.2">
      <c r="A762" s="26"/>
      <c r="B762" s="26"/>
      <c r="C762" s="26"/>
      <c r="D762" s="16"/>
      <c r="E762" s="16"/>
      <c r="F762" s="16"/>
      <c r="G762" s="16"/>
      <c r="H762" s="16"/>
      <c r="I762" s="16"/>
      <c r="J762" s="16"/>
    </row>
    <row r="763" spans="1:10" ht="12.75" x14ac:dyDescent="0.2">
      <c r="A763" s="26"/>
      <c r="B763" s="26"/>
      <c r="C763" s="26"/>
      <c r="D763" s="16"/>
      <c r="E763" s="16"/>
      <c r="F763" s="16"/>
      <c r="G763" s="16"/>
      <c r="H763" s="16"/>
      <c r="I763" s="16"/>
      <c r="J763" s="16"/>
    </row>
    <row r="764" spans="1:10" ht="12.75" x14ac:dyDescent="0.2">
      <c r="A764" s="26"/>
      <c r="B764" s="26"/>
      <c r="C764" s="26"/>
      <c r="D764" s="16"/>
      <c r="E764" s="16"/>
      <c r="F764" s="16"/>
      <c r="G764" s="16"/>
      <c r="H764" s="16"/>
      <c r="I764" s="16"/>
      <c r="J764" s="16"/>
    </row>
    <row r="765" spans="1:10" ht="12.75" x14ac:dyDescent="0.2">
      <c r="A765" s="26"/>
      <c r="B765" s="26"/>
      <c r="C765" s="26"/>
      <c r="D765" s="16"/>
      <c r="E765" s="16"/>
      <c r="F765" s="16"/>
      <c r="G765" s="16"/>
      <c r="H765" s="16"/>
      <c r="I765" s="16"/>
      <c r="J765" s="16"/>
    </row>
    <row r="766" spans="1:10" ht="12.75" x14ac:dyDescent="0.2">
      <c r="A766" s="26"/>
      <c r="B766" s="26"/>
      <c r="C766" s="26"/>
      <c r="D766" s="16"/>
      <c r="E766" s="16"/>
      <c r="F766" s="16"/>
      <c r="G766" s="16"/>
      <c r="H766" s="16"/>
      <c r="I766" s="16"/>
      <c r="J766" s="16"/>
    </row>
    <row r="767" spans="1:10" ht="12.75" x14ac:dyDescent="0.2">
      <c r="A767" s="26"/>
      <c r="B767" s="26"/>
      <c r="C767" s="26"/>
      <c r="D767" s="16"/>
      <c r="E767" s="16"/>
      <c r="F767" s="16"/>
      <c r="G767" s="16"/>
      <c r="H767" s="16"/>
      <c r="I767" s="16"/>
      <c r="J767" s="16"/>
    </row>
    <row r="768" spans="1:10" ht="12.75" x14ac:dyDescent="0.2">
      <c r="A768" s="26"/>
      <c r="B768" s="26"/>
      <c r="C768" s="26"/>
      <c r="D768" s="16"/>
      <c r="E768" s="16"/>
      <c r="F768" s="16"/>
      <c r="G768" s="16"/>
      <c r="H768" s="16"/>
      <c r="I768" s="16"/>
      <c r="J768" s="16"/>
    </row>
    <row r="769" spans="1:10" ht="12.75" x14ac:dyDescent="0.2">
      <c r="A769" s="26"/>
      <c r="B769" s="26"/>
      <c r="C769" s="26"/>
      <c r="D769" s="16"/>
      <c r="E769" s="16"/>
      <c r="F769" s="16"/>
      <c r="G769" s="16"/>
      <c r="H769" s="16"/>
      <c r="I769" s="16"/>
      <c r="J769" s="16"/>
    </row>
    <row r="770" spans="1:10" ht="12.75" x14ac:dyDescent="0.2">
      <c r="A770" s="26"/>
      <c r="B770" s="26"/>
      <c r="C770" s="26"/>
      <c r="D770" s="16"/>
      <c r="E770" s="16"/>
      <c r="F770" s="16"/>
      <c r="G770" s="16"/>
      <c r="H770" s="16"/>
      <c r="I770" s="16"/>
      <c r="J770" s="16"/>
    </row>
    <row r="771" spans="1:10" ht="12.75" x14ac:dyDescent="0.2">
      <c r="A771" s="26"/>
      <c r="B771" s="26"/>
      <c r="C771" s="26"/>
      <c r="D771" s="16"/>
      <c r="E771" s="16"/>
      <c r="F771" s="16"/>
      <c r="G771" s="16"/>
      <c r="H771" s="16"/>
      <c r="I771" s="16"/>
      <c r="J771" s="16"/>
    </row>
    <row r="772" spans="1:10" ht="12.75" x14ac:dyDescent="0.2">
      <c r="A772" s="26"/>
      <c r="B772" s="26"/>
      <c r="C772" s="26"/>
      <c r="D772" s="16"/>
      <c r="E772" s="16"/>
      <c r="F772" s="16"/>
      <c r="G772" s="16"/>
      <c r="H772" s="16"/>
      <c r="I772" s="16"/>
      <c r="J772" s="16"/>
    </row>
    <row r="773" spans="1:10" ht="12.75" x14ac:dyDescent="0.2">
      <c r="A773" s="26"/>
      <c r="B773" s="26"/>
      <c r="C773" s="26"/>
      <c r="D773" s="16"/>
      <c r="E773" s="16"/>
      <c r="F773" s="16"/>
      <c r="G773" s="16"/>
      <c r="H773" s="16"/>
      <c r="I773" s="16"/>
      <c r="J773" s="16"/>
    </row>
    <row r="774" spans="1:10" ht="12.75" x14ac:dyDescent="0.2">
      <c r="A774" s="26"/>
      <c r="B774" s="26"/>
      <c r="C774" s="26"/>
      <c r="D774" s="16"/>
      <c r="E774" s="16"/>
      <c r="F774" s="16"/>
      <c r="G774" s="16"/>
      <c r="H774" s="16"/>
      <c r="I774" s="16"/>
      <c r="J774" s="16"/>
    </row>
    <row r="775" spans="1:10" ht="12.75" x14ac:dyDescent="0.2">
      <c r="A775" s="26"/>
      <c r="B775" s="26"/>
      <c r="C775" s="26"/>
      <c r="D775" s="16"/>
      <c r="E775" s="16"/>
      <c r="F775" s="16"/>
      <c r="G775" s="16"/>
      <c r="H775" s="16"/>
      <c r="I775" s="16"/>
      <c r="J775" s="16"/>
    </row>
    <row r="776" spans="1:10" ht="12.75" x14ac:dyDescent="0.2">
      <c r="A776" s="26"/>
      <c r="B776" s="26"/>
      <c r="C776" s="26"/>
      <c r="D776" s="16"/>
      <c r="E776" s="16"/>
      <c r="F776" s="16"/>
      <c r="G776" s="16"/>
      <c r="H776" s="16"/>
      <c r="I776" s="16"/>
      <c r="J776" s="16"/>
    </row>
    <row r="777" spans="1:10" ht="12.75" x14ac:dyDescent="0.2">
      <c r="A777" s="26"/>
      <c r="B777" s="26"/>
      <c r="C777" s="26"/>
      <c r="D777" s="16"/>
      <c r="E777" s="16"/>
      <c r="F777" s="16"/>
      <c r="G777" s="16"/>
      <c r="H777" s="16"/>
      <c r="I777" s="16"/>
      <c r="J777" s="16"/>
    </row>
    <row r="778" spans="1:10" ht="12.75" x14ac:dyDescent="0.2">
      <c r="A778" s="26"/>
      <c r="B778" s="26"/>
      <c r="C778" s="26"/>
      <c r="D778" s="16"/>
      <c r="E778" s="16"/>
      <c r="F778" s="16"/>
      <c r="G778" s="16"/>
      <c r="H778" s="16"/>
      <c r="I778" s="16"/>
      <c r="J778" s="16"/>
    </row>
    <row r="779" spans="1:10" ht="12.75" x14ac:dyDescent="0.2">
      <c r="A779" s="26"/>
      <c r="B779" s="26"/>
      <c r="C779" s="26"/>
      <c r="D779" s="16"/>
      <c r="E779" s="16"/>
      <c r="F779" s="16"/>
      <c r="G779" s="16"/>
      <c r="H779" s="16"/>
      <c r="I779" s="16"/>
      <c r="J779" s="16"/>
    </row>
    <row r="780" spans="1:10" ht="12.75" x14ac:dyDescent="0.2">
      <c r="A780" s="26"/>
      <c r="B780" s="26"/>
      <c r="C780" s="26"/>
      <c r="D780" s="16"/>
      <c r="E780" s="16"/>
      <c r="F780" s="16"/>
      <c r="G780" s="16"/>
      <c r="H780" s="16"/>
      <c r="I780" s="16"/>
      <c r="J780" s="16"/>
    </row>
    <row r="781" spans="1:10" ht="12.75" x14ac:dyDescent="0.2">
      <c r="A781" s="26"/>
      <c r="B781" s="26"/>
      <c r="C781" s="26"/>
      <c r="D781" s="16"/>
      <c r="E781" s="16"/>
      <c r="F781" s="16"/>
      <c r="G781" s="16"/>
      <c r="H781" s="16"/>
      <c r="I781" s="16"/>
      <c r="J781" s="16"/>
    </row>
    <row r="782" spans="1:10" ht="12.75" x14ac:dyDescent="0.2">
      <c r="A782" s="26"/>
      <c r="B782" s="26"/>
      <c r="C782" s="26"/>
      <c r="D782" s="16"/>
      <c r="E782" s="16"/>
      <c r="F782" s="16"/>
      <c r="G782" s="16"/>
      <c r="H782" s="16"/>
      <c r="I782" s="16"/>
      <c r="J782" s="16"/>
    </row>
    <row r="783" spans="1:10" ht="12.75" x14ac:dyDescent="0.2">
      <c r="A783" s="26"/>
      <c r="B783" s="26"/>
      <c r="C783" s="26"/>
      <c r="D783" s="16"/>
      <c r="E783" s="16"/>
      <c r="F783" s="16"/>
      <c r="G783" s="16"/>
      <c r="H783" s="16"/>
      <c r="I783" s="16"/>
      <c r="J783" s="16"/>
    </row>
    <row r="784" spans="1:10" ht="12.75" x14ac:dyDescent="0.2">
      <c r="A784" s="26"/>
      <c r="B784" s="26"/>
      <c r="C784" s="26"/>
      <c r="D784" s="16"/>
      <c r="E784" s="16"/>
      <c r="F784" s="16"/>
      <c r="G784" s="16"/>
      <c r="H784" s="16"/>
      <c r="I784" s="16"/>
      <c r="J784" s="16"/>
    </row>
    <row r="785" spans="1:10" ht="12.75" x14ac:dyDescent="0.2">
      <c r="A785" s="26"/>
      <c r="B785" s="26"/>
      <c r="C785" s="26"/>
      <c r="D785" s="16"/>
      <c r="E785" s="16"/>
      <c r="F785" s="16"/>
      <c r="G785" s="16"/>
      <c r="H785" s="16"/>
      <c r="I785" s="16"/>
      <c r="J785" s="16"/>
    </row>
    <row r="786" spans="1:10" ht="12.75" x14ac:dyDescent="0.2">
      <c r="A786" s="26"/>
      <c r="B786" s="26"/>
      <c r="C786" s="26"/>
      <c r="D786" s="16"/>
      <c r="E786" s="16"/>
      <c r="F786" s="16"/>
      <c r="G786" s="16"/>
      <c r="H786" s="16"/>
      <c r="I786" s="16"/>
      <c r="J786" s="16"/>
    </row>
    <row r="787" spans="1:10" ht="12.75" x14ac:dyDescent="0.2">
      <c r="A787" s="26"/>
      <c r="B787" s="26"/>
      <c r="C787" s="26"/>
      <c r="D787" s="16"/>
      <c r="E787" s="16"/>
      <c r="F787" s="16"/>
      <c r="G787" s="16"/>
      <c r="H787" s="16"/>
      <c r="I787" s="16"/>
      <c r="J787" s="16"/>
    </row>
    <row r="788" spans="1:10" ht="12.75" x14ac:dyDescent="0.2">
      <c r="A788" s="26"/>
      <c r="B788" s="26"/>
      <c r="C788" s="26"/>
      <c r="D788" s="16"/>
      <c r="E788" s="16"/>
      <c r="F788" s="16"/>
      <c r="G788" s="16"/>
      <c r="H788" s="16"/>
      <c r="I788" s="16"/>
      <c r="J788" s="16"/>
    </row>
    <row r="789" spans="1:10" ht="12.75" x14ac:dyDescent="0.2">
      <c r="A789" s="26"/>
      <c r="B789" s="26"/>
      <c r="C789" s="26"/>
      <c r="D789" s="16"/>
      <c r="E789" s="16"/>
      <c r="F789" s="16"/>
      <c r="G789" s="16"/>
      <c r="H789" s="16"/>
      <c r="I789" s="16"/>
      <c r="J789" s="16"/>
    </row>
    <row r="790" spans="1:10" ht="12.75" x14ac:dyDescent="0.2">
      <c r="A790" s="26"/>
      <c r="B790" s="26"/>
      <c r="C790" s="26"/>
      <c r="D790" s="16"/>
      <c r="E790" s="16"/>
      <c r="F790" s="16"/>
      <c r="G790" s="16"/>
      <c r="H790" s="16"/>
      <c r="I790" s="16"/>
      <c r="J790" s="16"/>
    </row>
    <row r="791" spans="1:10" ht="12.75" x14ac:dyDescent="0.2">
      <c r="A791" s="26"/>
      <c r="B791" s="26"/>
      <c r="C791" s="26"/>
      <c r="D791" s="16"/>
      <c r="E791" s="16"/>
      <c r="F791" s="16"/>
      <c r="G791" s="16"/>
      <c r="H791" s="16"/>
      <c r="I791" s="16"/>
      <c r="J791" s="16"/>
    </row>
    <row r="792" spans="1:10" ht="12.75" x14ac:dyDescent="0.2">
      <c r="A792" s="26"/>
      <c r="B792" s="26"/>
      <c r="C792" s="26"/>
      <c r="D792" s="16"/>
      <c r="E792" s="16"/>
      <c r="F792" s="16"/>
      <c r="G792" s="16"/>
      <c r="H792" s="16"/>
      <c r="I792" s="16"/>
      <c r="J792" s="16"/>
    </row>
    <row r="793" spans="1:10" ht="12.75" x14ac:dyDescent="0.2">
      <c r="A793" s="26"/>
      <c r="B793" s="26"/>
      <c r="C793" s="26"/>
      <c r="D793" s="16"/>
      <c r="E793" s="16"/>
      <c r="F793" s="16"/>
      <c r="G793" s="16"/>
      <c r="H793" s="16"/>
      <c r="I793" s="16"/>
      <c r="J793" s="16"/>
    </row>
    <row r="794" spans="1:10" ht="12.75" x14ac:dyDescent="0.2">
      <c r="A794" s="26"/>
      <c r="B794" s="26"/>
      <c r="C794" s="26"/>
      <c r="D794" s="16"/>
      <c r="E794" s="16"/>
      <c r="F794" s="16"/>
      <c r="G794" s="16"/>
      <c r="H794" s="16"/>
      <c r="I794" s="16"/>
      <c r="J794" s="16"/>
    </row>
    <row r="795" spans="1:10" ht="12.75" x14ac:dyDescent="0.2">
      <c r="A795" s="26"/>
      <c r="B795" s="26"/>
      <c r="C795" s="26"/>
      <c r="D795" s="16"/>
      <c r="E795" s="16"/>
      <c r="F795" s="16"/>
      <c r="G795" s="16"/>
      <c r="H795" s="16"/>
      <c r="I795" s="16"/>
      <c r="J795" s="16"/>
    </row>
    <row r="796" spans="1:10" ht="12.75" x14ac:dyDescent="0.2">
      <c r="A796" s="26"/>
      <c r="B796" s="26"/>
      <c r="C796" s="26"/>
      <c r="D796" s="16"/>
      <c r="E796" s="16"/>
      <c r="F796" s="16"/>
      <c r="G796" s="16"/>
      <c r="H796" s="16"/>
      <c r="I796" s="16"/>
      <c r="J796" s="16"/>
    </row>
    <row r="797" spans="1:10" ht="12.75" x14ac:dyDescent="0.2">
      <c r="A797" s="26"/>
      <c r="B797" s="26"/>
      <c r="C797" s="26"/>
      <c r="D797" s="16"/>
      <c r="E797" s="16"/>
      <c r="F797" s="16"/>
      <c r="G797" s="16"/>
      <c r="H797" s="16"/>
      <c r="I797" s="16"/>
      <c r="J797" s="16"/>
    </row>
    <row r="798" spans="1:10" ht="12.75" x14ac:dyDescent="0.2">
      <c r="A798" s="26"/>
      <c r="B798" s="26"/>
      <c r="C798" s="26"/>
      <c r="D798" s="16"/>
      <c r="E798" s="16"/>
      <c r="F798" s="16"/>
      <c r="G798" s="16"/>
      <c r="H798" s="16"/>
      <c r="I798" s="16"/>
      <c r="J798" s="16"/>
    </row>
    <row r="799" spans="1:10" ht="12.75" x14ac:dyDescent="0.2">
      <c r="A799" s="26"/>
      <c r="B799" s="26"/>
      <c r="C799" s="26"/>
      <c r="D799" s="16"/>
      <c r="E799" s="16"/>
      <c r="F799" s="16"/>
      <c r="G799" s="16"/>
      <c r="H799" s="16"/>
      <c r="I799" s="16"/>
      <c r="J799" s="16"/>
    </row>
    <row r="800" spans="1:10" ht="12.75" x14ac:dyDescent="0.2">
      <c r="A800" s="26"/>
      <c r="B800" s="26"/>
      <c r="C800" s="26"/>
      <c r="D800" s="16"/>
      <c r="E800" s="16"/>
      <c r="F800" s="16"/>
      <c r="G800" s="16"/>
      <c r="H800" s="16"/>
      <c r="I800" s="16"/>
      <c r="J800" s="16"/>
    </row>
    <row r="801" spans="1:10" ht="12.75" x14ac:dyDescent="0.2">
      <c r="A801" s="26"/>
      <c r="B801" s="26"/>
      <c r="C801" s="26"/>
      <c r="D801" s="16"/>
      <c r="E801" s="16"/>
      <c r="F801" s="16"/>
      <c r="G801" s="16"/>
      <c r="H801" s="16"/>
      <c r="I801" s="16"/>
      <c r="J801" s="16"/>
    </row>
    <row r="802" spans="1:10" ht="12.75" x14ac:dyDescent="0.2">
      <c r="A802" s="26"/>
      <c r="B802" s="26"/>
      <c r="C802" s="26"/>
      <c r="D802" s="16"/>
      <c r="E802" s="16"/>
      <c r="F802" s="16"/>
      <c r="G802" s="16"/>
      <c r="H802" s="16"/>
      <c r="I802" s="16"/>
      <c r="J802" s="16"/>
    </row>
    <row r="803" spans="1:10" ht="12.75" x14ac:dyDescent="0.2">
      <c r="A803" s="26"/>
      <c r="B803" s="26"/>
      <c r="C803" s="26"/>
      <c r="D803" s="16"/>
      <c r="E803" s="16"/>
      <c r="F803" s="16"/>
      <c r="G803" s="16"/>
      <c r="H803" s="16"/>
      <c r="I803" s="16"/>
      <c r="J803" s="16"/>
    </row>
    <row r="804" spans="1:10" ht="12.75" x14ac:dyDescent="0.2">
      <c r="A804" s="26"/>
      <c r="B804" s="26"/>
      <c r="C804" s="26"/>
      <c r="D804" s="16"/>
      <c r="E804" s="16"/>
      <c r="F804" s="16"/>
      <c r="G804" s="16"/>
      <c r="H804" s="16"/>
      <c r="I804" s="16"/>
      <c r="J804" s="16"/>
    </row>
    <row r="805" spans="1:10" ht="12.75" x14ac:dyDescent="0.2">
      <c r="A805" s="26"/>
      <c r="B805" s="26"/>
      <c r="C805" s="26"/>
      <c r="D805" s="16"/>
      <c r="E805" s="16"/>
      <c r="F805" s="16"/>
      <c r="G805" s="16"/>
      <c r="H805" s="16"/>
      <c r="I805" s="16"/>
      <c r="J805" s="16"/>
    </row>
    <row r="806" spans="1:10" ht="12.75" x14ac:dyDescent="0.2">
      <c r="A806" s="26"/>
      <c r="B806" s="26"/>
      <c r="C806" s="26"/>
      <c r="D806" s="16"/>
      <c r="E806" s="16"/>
      <c r="F806" s="16"/>
      <c r="G806" s="16"/>
      <c r="H806" s="16"/>
      <c r="I806" s="16"/>
      <c r="J806" s="16"/>
    </row>
    <row r="807" spans="1:10" ht="12.75" x14ac:dyDescent="0.2">
      <c r="A807" s="26"/>
      <c r="B807" s="26"/>
      <c r="C807" s="26"/>
      <c r="D807" s="16"/>
      <c r="E807" s="16"/>
      <c r="F807" s="16"/>
      <c r="G807" s="16"/>
      <c r="H807" s="16"/>
      <c r="I807" s="16"/>
      <c r="J807" s="16"/>
    </row>
    <row r="808" spans="1:10" ht="12.75" x14ac:dyDescent="0.2">
      <c r="A808" s="26"/>
      <c r="B808" s="26"/>
      <c r="C808" s="26"/>
      <c r="D808" s="16"/>
      <c r="E808" s="16"/>
      <c r="F808" s="16"/>
      <c r="G808" s="16"/>
      <c r="H808" s="16"/>
      <c r="I808" s="16"/>
      <c r="J808" s="16"/>
    </row>
    <row r="809" spans="1:10" ht="12.75" x14ac:dyDescent="0.2">
      <c r="A809" s="26"/>
      <c r="B809" s="26"/>
      <c r="C809" s="26"/>
      <c r="D809" s="16"/>
      <c r="E809" s="16"/>
      <c r="F809" s="16"/>
      <c r="G809" s="16"/>
      <c r="H809" s="16"/>
      <c r="I809" s="16"/>
      <c r="J809" s="16"/>
    </row>
    <row r="810" spans="1:10" ht="12.75" x14ac:dyDescent="0.2">
      <c r="A810" s="26"/>
      <c r="B810" s="26"/>
      <c r="C810" s="26"/>
      <c r="D810" s="16"/>
      <c r="E810" s="16"/>
      <c r="F810" s="16"/>
      <c r="G810" s="16"/>
      <c r="H810" s="16"/>
      <c r="I810" s="16"/>
      <c r="J810" s="16"/>
    </row>
    <row r="811" spans="1:10" ht="12.75" x14ac:dyDescent="0.2">
      <c r="A811" s="26"/>
      <c r="B811" s="26"/>
      <c r="C811" s="26"/>
      <c r="D811" s="16"/>
      <c r="E811" s="16"/>
      <c r="F811" s="16"/>
      <c r="G811" s="16"/>
      <c r="H811" s="16"/>
      <c r="I811" s="16"/>
      <c r="J811" s="16"/>
    </row>
    <row r="812" spans="1:10" ht="12.75" x14ac:dyDescent="0.2">
      <c r="A812" s="26"/>
      <c r="B812" s="26"/>
      <c r="C812" s="26"/>
      <c r="D812" s="16"/>
      <c r="E812" s="16"/>
      <c r="F812" s="16"/>
      <c r="G812" s="16"/>
      <c r="H812" s="16"/>
      <c r="I812" s="16"/>
      <c r="J812" s="16"/>
    </row>
    <row r="813" spans="1:10" ht="12.75" x14ac:dyDescent="0.2">
      <c r="A813" s="26"/>
      <c r="B813" s="26"/>
      <c r="C813" s="26"/>
      <c r="D813" s="16"/>
      <c r="E813" s="16"/>
      <c r="F813" s="16"/>
      <c r="G813" s="16"/>
      <c r="H813" s="16"/>
      <c r="I813" s="16"/>
      <c r="J813" s="16"/>
    </row>
    <row r="814" spans="1:10" ht="12.75" x14ac:dyDescent="0.2">
      <c r="A814" s="26"/>
      <c r="B814" s="26"/>
      <c r="C814" s="26"/>
      <c r="D814" s="16"/>
      <c r="E814" s="16"/>
      <c r="F814" s="16"/>
      <c r="G814" s="16"/>
      <c r="H814" s="16"/>
      <c r="I814" s="16"/>
      <c r="J814" s="16"/>
    </row>
    <row r="815" spans="1:10" ht="12.75" x14ac:dyDescent="0.2">
      <c r="A815" s="26"/>
      <c r="B815" s="26"/>
      <c r="C815" s="26"/>
      <c r="D815" s="16"/>
      <c r="E815" s="16"/>
      <c r="F815" s="16"/>
      <c r="G815" s="16"/>
      <c r="H815" s="16"/>
      <c r="I815" s="16"/>
      <c r="J815" s="16"/>
    </row>
    <row r="816" spans="1:10" ht="12.75" x14ac:dyDescent="0.2">
      <c r="A816" s="26"/>
      <c r="B816" s="26"/>
      <c r="C816" s="26"/>
      <c r="D816" s="16"/>
      <c r="E816" s="16"/>
      <c r="F816" s="16"/>
      <c r="G816" s="16"/>
      <c r="H816" s="16"/>
      <c r="I816" s="16"/>
      <c r="J816" s="16"/>
    </row>
    <row r="817" spans="1:10" ht="12.75" x14ac:dyDescent="0.2">
      <c r="A817" s="26"/>
      <c r="B817" s="26"/>
      <c r="C817" s="26"/>
      <c r="D817" s="16"/>
      <c r="E817" s="16"/>
      <c r="F817" s="16"/>
      <c r="G817" s="16"/>
      <c r="H817" s="16"/>
      <c r="I817" s="16"/>
      <c r="J817" s="16"/>
    </row>
    <row r="818" spans="1:10" ht="12.75" x14ac:dyDescent="0.2">
      <c r="A818" s="26"/>
      <c r="B818" s="26"/>
      <c r="C818" s="26"/>
      <c r="D818" s="16"/>
      <c r="E818" s="16"/>
      <c r="F818" s="16"/>
      <c r="G818" s="16"/>
      <c r="H818" s="16"/>
      <c r="I818" s="16"/>
      <c r="J818" s="16"/>
    </row>
    <row r="819" spans="1:10" ht="12.75" x14ac:dyDescent="0.2">
      <c r="A819" s="26"/>
      <c r="B819" s="26"/>
      <c r="C819" s="26"/>
      <c r="D819" s="16"/>
      <c r="E819" s="16"/>
      <c r="F819" s="16"/>
      <c r="G819" s="16"/>
      <c r="H819" s="16"/>
      <c r="I819" s="16"/>
      <c r="J819" s="16"/>
    </row>
    <row r="820" spans="1:10" ht="12.75" x14ac:dyDescent="0.2">
      <c r="A820" s="26"/>
      <c r="B820" s="26"/>
      <c r="C820" s="26"/>
      <c r="D820" s="16"/>
      <c r="E820" s="16"/>
      <c r="F820" s="16"/>
      <c r="G820" s="16"/>
      <c r="H820" s="16"/>
      <c r="I820" s="16"/>
      <c r="J820" s="16"/>
    </row>
    <row r="821" spans="1:10" ht="12.75" x14ac:dyDescent="0.2">
      <c r="A821" s="26"/>
      <c r="B821" s="26"/>
      <c r="C821" s="26"/>
      <c r="D821" s="16"/>
      <c r="E821" s="16"/>
      <c r="F821" s="16"/>
      <c r="G821" s="16"/>
      <c r="H821" s="16"/>
      <c r="I821" s="16"/>
      <c r="J821" s="16"/>
    </row>
    <row r="822" spans="1:10" ht="12.75" x14ac:dyDescent="0.2">
      <c r="A822" s="26"/>
      <c r="B822" s="26"/>
      <c r="C822" s="26"/>
      <c r="D822" s="16"/>
      <c r="E822" s="16"/>
      <c r="F822" s="16"/>
      <c r="G822" s="16"/>
      <c r="H822" s="16"/>
      <c r="I822" s="16"/>
      <c r="J822" s="16"/>
    </row>
    <row r="823" spans="1:10" ht="12.75" x14ac:dyDescent="0.2">
      <c r="A823" s="26"/>
      <c r="B823" s="26"/>
      <c r="C823" s="26"/>
      <c r="D823" s="16"/>
      <c r="E823" s="16"/>
      <c r="F823" s="16"/>
      <c r="G823" s="16"/>
      <c r="H823" s="16"/>
      <c r="I823" s="16"/>
      <c r="J823" s="16"/>
    </row>
    <row r="824" spans="1:10" ht="12.75" x14ac:dyDescent="0.2">
      <c r="A824" s="26"/>
      <c r="B824" s="26"/>
      <c r="C824" s="26"/>
      <c r="D824" s="16"/>
      <c r="E824" s="16"/>
      <c r="F824" s="16"/>
      <c r="G824" s="16"/>
      <c r="H824" s="16"/>
      <c r="I824" s="16"/>
      <c r="J824" s="16"/>
    </row>
    <row r="825" spans="1:10" ht="12.75" x14ac:dyDescent="0.2">
      <c r="A825" s="26"/>
      <c r="B825" s="26"/>
      <c r="C825" s="26"/>
      <c r="D825" s="16"/>
      <c r="E825" s="16"/>
      <c r="F825" s="16"/>
      <c r="G825" s="16"/>
      <c r="H825" s="16"/>
      <c r="I825" s="16"/>
      <c r="J825" s="16"/>
    </row>
    <row r="826" spans="1:10" ht="12.75" x14ac:dyDescent="0.2">
      <c r="A826" s="26"/>
      <c r="B826" s="26"/>
      <c r="C826" s="26"/>
      <c r="D826" s="16"/>
      <c r="E826" s="16"/>
      <c r="F826" s="16"/>
      <c r="G826" s="16"/>
      <c r="H826" s="16"/>
      <c r="I826" s="16"/>
      <c r="J826" s="16"/>
    </row>
    <row r="827" spans="1:10" ht="12.75" x14ac:dyDescent="0.2">
      <c r="A827" s="26"/>
      <c r="B827" s="26"/>
      <c r="C827" s="26"/>
      <c r="D827" s="16"/>
      <c r="E827" s="16"/>
      <c r="F827" s="16"/>
      <c r="G827" s="16"/>
      <c r="H827" s="16"/>
      <c r="I827" s="16"/>
      <c r="J827" s="16"/>
    </row>
    <row r="828" spans="1:10" ht="12.75" x14ac:dyDescent="0.2">
      <c r="A828" s="26"/>
      <c r="B828" s="26"/>
      <c r="C828" s="26"/>
      <c r="D828" s="16"/>
      <c r="E828" s="16"/>
      <c r="F828" s="16"/>
      <c r="G828" s="16"/>
      <c r="H828" s="16"/>
      <c r="I828" s="16"/>
      <c r="J828" s="16"/>
    </row>
    <row r="829" spans="1:10" ht="12.75" x14ac:dyDescent="0.2">
      <c r="A829" s="26"/>
      <c r="B829" s="26"/>
      <c r="C829" s="26"/>
      <c r="D829" s="16"/>
      <c r="E829" s="16"/>
      <c r="F829" s="16"/>
      <c r="G829" s="16"/>
      <c r="H829" s="16"/>
      <c r="I829" s="16"/>
      <c r="J829" s="16"/>
    </row>
    <row r="830" spans="1:10" ht="12.75" x14ac:dyDescent="0.2">
      <c r="A830" s="26"/>
      <c r="B830" s="26"/>
      <c r="C830" s="26"/>
      <c r="D830" s="16"/>
      <c r="E830" s="16"/>
      <c r="F830" s="16"/>
      <c r="G830" s="16"/>
      <c r="H830" s="16"/>
      <c r="I830" s="16"/>
      <c r="J830" s="16"/>
    </row>
    <row r="831" spans="1:10" ht="12.75" x14ac:dyDescent="0.2">
      <c r="A831" s="26"/>
      <c r="B831" s="26"/>
      <c r="C831" s="26"/>
      <c r="D831" s="16"/>
      <c r="E831" s="16"/>
      <c r="F831" s="16"/>
      <c r="G831" s="16"/>
      <c r="H831" s="16"/>
      <c r="I831" s="16"/>
      <c r="J831" s="16"/>
    </row>
    <row r="832" spans="1:10" ht="12.75" x14ac:dyDescent="0.2">
      <c r="A832" s="26"/>
      <c r="B832" s="26"/>
      <c r="C832" s="26"/>
      <c r="D832" s="16"/>
      <c r="E832" s="16"/>
      <c r="F832" s="16"/>
      <c r="G832" s="16"/>
      <c r="H832" s="16"/>
      <c r="I832" s="16"/>
      <c r="J832" s="16"/>
    </row>
    <row r="833" spans="1:10" ht="12.75" x14ac:dyDescent="0.2">
      <c r="A833" s="26"/>
      <c r="B833" s="26"/>
      <c r="C833" s="26"/>
      <c r="D833" s="16"/>
      <c r="E833" s="16"/>
      <c r="F833" s="16"/>
      <c r="G833" s="16"/>
      <c r="H833" s="16"/>
      <c r="I833" s="16"/>
      <c r="J833" s="16"/>
    </row>
    <row r="834" spans="1:10" ht="12.75" x14ac:dyDescent="0.2">
      <c r="A834" s="26"/>
      <c r="B834" s="26"/>
      <c r="C834" s="26"/>
      <c r="D834" s="16"/>
      <c r="E834" s="16"/>
      <c r="F834" s="16"/>
      <c r="G834" s="16"/>
      <c r="H834" s="16"/>
      <c r="I834" s="16"/>
      <c r="J834" s="16"/>
    </row>
    <row r="835" spans="1:10" ht="12.75" x14ac:dyDescent="0.2">
      <c r="A835" s="26"/>
      <c r="B835" s="26"/>
      <c r="C835" s="26"/>
      <c r="D835" s="16"/>
      <c r="E835" s="16"/>
      <c r="F835" s="16"/>
      <c r="G835" s="16"/>
      <c r="H835" s="16"/>
      <c r="I835" s="16"/>
      <c r="J835" s="16"/>
    </row>
    <row r="836" spans="1:10" ht="12.75" x14ac:dyDescent="0.2">
      <c r="A836" s="26"/>
      <c r="B836" s="26"/>
      <c r="C836" s="26"/>
      <c r="D836" s="16"/>
      <c r="E836" s="16"/>
      <c r="F836" s="16"/>
      <c r="G836" s="16"/>
      <c r="H836" s="16"/>
      <c r="I836" s="16"/>
      <c r="J836" s="16"/>
    </row>
    <row r="837" spans="1:10" ht="12.75" x14ac:dyDescent="0.2">
      <c r="A837" s="26"/>
      <c r="B837" s="26"/>
      <c r="C837" s="26"/>
      <c r="D837" s="16"/>
      <c r="E837" s="16"/>
      <c r="F837" s="16"/>
      <c r="G837" s="16"/>
      <c r="H837" s="16"/>
      <c r="I837" s="16"/>
      <c r="J837" s="16"/>
    </row>
    <row r="838" spans="1:10" ht="12.75" x14ac:dyDescent="0.2">
      <c r="A838" s="26"/>
      <c r="B838" s="26"/>
      <c r="C838" s="26"/>
      <c r="D838" s="16"/>
      <c r="E838" s="16"/>
      <c r="F838" s="16"/>
      <c r="G838" s="16"/>
      <c r="H838" s="16"/>
      <c r="I838" s="16"/>
      <c r="J838" s="16"/>
    </row>
    <row r="839" spans="1:10" ht="12.75" x14ac:dyDescent="0.2">
      <c r="A839" s="26"/>
      <c r="B839" s="26"/>
      <c r="C839" s="26"/>
      <c r="D839" s="16"/>
      <c r="E839" s="16"/>
      <c r="F839" s="16"/>
      <c r="G839" s="16"/>
      <c r="H839" s="16"/>
      <c r="I839" s="16"/>
      <c r="J839" s="16"/>
    </row>
    <row r="840" spans="1:10" ht="12.75" x14ac:dyDescent="0.2">
      <c r="A840" s="26"/>
      <c r="B840" s="26"/>
      <c r="C840" s="26"/>
      <c r="D840" s="16"/>
      <c r="E840" s="16"/>
      <c r="F840" s="16"/>
      <c r="G840" s="16"/>
      <c r="H840" s="16"/>
      <c r="I840" s="16"/>
      <c r="J840" s="16"/>
    </row>
    <row r="841" spans="1:10" ht="12.75" x14ac:dyDescent="0.2">
      <c r="A841" s="26"/>
      <c r="B841" s="26"/>
      <c r="C841" s="26"/>
      <c r="D841" s="16"/>
      <c r="E841" s="16"/>
      <c r="F841" s="16"/>
      <c r="G841" s="16"/>
      <c r="H841" s="16"/>
      <c r="I841" s="16"/>
      <c r="J841" s="16"/>
    </row>
    <row r="842" spans="1:10" ht="12.75" x14ac:dyDescent="0.2">
      <c r="A842" s="26"/>
      <c r="B842" s="26"/>
      <c r="C842" s="26"/>
      <c r="D842" s="16"/>
      <c r="E842" s="16"/>
      <c r="F842" s="16"/>
      <c r="G842" s="16"/>
      <c r="H842" s="16"/>
      <c r="I842" s="16"/>
      <c r="J842" s="16"/>
    </row>
    <row r="843" spans="1:10" ht="12.75" x14ac:dyDescent="0.2">
      <c r="A843" s="26"/>
      <c r="B843" s="26"/>
      <c r="C843" s="26"/>
      <c r="D843" s="16"/>
      <c r="E843" s="16"/>
      <c r="F843" s="16"/>
      <c r="G843" s="16"/>
      <c r="H843" s="16"/>
      <c r="I843" s="16"/>
      <c r="J843" s="16"/>
    </row>
    <row r="844" spans="1:10" ht="12.75" x14ac:dyDescent="0.2">
      <c r="A844" s="26"/>
      <c r="B844" s="26"/>
      <c r="C844" s="26"/>
      <c r="D844" s="16"/>
      <c r="E844" s="16"/>
      <c r="F844" s="16"/>
      <c r="G844" s="16"/>
      <c r="H844" s="16"/>
      <c r="I844" s="16"/>
      <c r="J844" s="16"/>
    </row>
    <row r="845" spans="1:10" ht="12.75" x14ac:dyDescent="0.2">
      <c r="A845" s="26"/>
      <c r="B845" s="26"/>
      <c r="C845" s="26"/>
      <c r="D845" s="16"/>
      <c r="E845" s="16"/>
      <c r="F845" s="16"/>
      <c r="G845" s="16"/>
      <c r="H845" s="16"/>
      <c r="I845" s="16"/>
      <c r="J845" s="16"/>
    </row>
    <row r="846" spans="1:10" ht="12.75" x14ac:dyDescent="0.2">
      <c r="A846" s="26"/>
      <c r="B846" s="26"/>
      <c r="C846" s="26"/>
      <c r="D846" s="16"/>
      <c r="E846" s="16"/>
      <c r="F846" s="16"/>
      <c r="G846" s="16"/>
      <c r="H846" s="16"/>
      <c r="I846" s="16"/>
      <c r="J846" s="16"/>
    </row>
    <row r="847" spans="1:10" ht="12.75" x14ac:dyDescent="0.2">
      <c r="A847" s="26"/>
      <c r="B847" s="26"/>
      <c r="C847" s="26"/>
      <c r="D847" s="16"/>
      <c r="E847" s="16"/>
      <c r="F847" s="16"/>
      <c r="G847" s="16"/>
      <c r="H847" s="16"/>
      <c r="I847" s="16"/>
      <c r="J847" s="16"/>
    </row>
    <row r="848" spans="1:10" ht="12.75" x14ac:dyDescent="0.2">
      <c r="A848" s="26"/>
      <c r="B848" s="26"/>
      <c r="C848" s="26"/>
      <c r="D848" s="16"/>
      <c r="E848" s="16"/>
      <c r="F848" s="16"/>
      <c r="G848" s="16"/>
      <c r="H848" s="16"/>
      <c r="I848" s="16"/>
      <c r="J848" s="16"/>
    </row>
    <row r="849" spans="1:10" ht="12.75" x14ac:dyDescent="0.2">
      <c r="A849" s="26"/>
      <c r="B849" s="26"/>
      <c r="C849" s="26"/>
      <c r="D849" s="16"/>
      <c r="E849" s="16"/>
      <c r="F849" s="16"/>
      <c r="G849" s="16"/>
      <c r="H849" s="16"/>
      <c r="I849" s="16"/>
      <c r="J849" s="16"/>
    </row>
    <row r="850" spans="1:10" ht="12.75" x14ac:dyDescent="0.2">
      <c r="A850" s="26"/>
      <c r="B850" s="26"/>
      <c r="C850" s="26"/>
      <c r="D850" s="16"/>
      <c r="E850" s="16"/>
      <c r="F850" s="16"/>
      <c r="G850" s="16"/>
      <c r="H850" s="16"/>
      <c r="I850" s="16"/>
      <c r="J850" s="16"/>
    </row>
    <row r="851" spans="1:10" ht="12.75" x14ac:dyDescent="0.2">
      <c r="A851" s="26"/>
      <c r="B851" s="26"/>
      <c r="C851" s="26"/>
      <c r="D851" s="16"/>
      <c r="E851" s="16"/>
      <c r="F851" s="16"/>
      <c r="G851" s="16"/>
      <c r="H851" s="16"/>
      <c r="I851" s="16"/>
      <c r="J851" s="16"/>
    </row>
    <row r="852" spans="1:10" ht="12.75" x14ac:dyDescent="0.2">
      <c r="A852" s="26"/>
      <c r="B852" s="26"/>
      <c r="C852" s="26"/>
      <c r="D852" s="16"/>
      <c r="E852" s="16"/>
      <c r="F852" s="16"/>
      <c r="G852" s="16"/>
      <c r="H852" s="16"/>
      <c r="I852" s="16"/>
      <c r="J852" s="16"/>
    </row>
    <row r="853" spans="1:10" ht="12.75" x14ac:dyDescent="0.2">
      <c r="A853" s="26"/>
      <c r="B853" s="26"/>
      <c r="C853" s="26"/>
      <c r="D853" s="16"/>
      <c r="E853" s="16"/>
      <c r="F853" s="16"/>
      <c r="G853" s="16"/>
      <c r="H853" s="16"/>
      <c r="I853" s="16"/>
      <c r="J853" s="16"/>
    </row>
    <row r="854" spans="1:10" ht="12.75" x14ac:dyDescent="0.2">
      <c r="A854" s="26"/>
      <c r="B854" s="26"/>
      <c r="C854" s="26"/>
      <c r="D854" s="16"/>
      <c r="E854" s="16"/>
      <c r="F854" s="16"/>
      <c r="G854" s="16"/>
      <c r="H854" s="16"/>
      <c r="I854" s="16"/>
      <c r="J854" s="16"/>
    </row>
    <row r="855" spans="1:10" ht="12.75" x14ac:dyDescent="0.2">
      <c r="A855" s="26"/>
      <c r="B855" s="26"/>
      <c r="C855" s="26"/>
      <c r="D855" s="16"/>
      <c r="E855" s="16"/>
      <c r="F855" s="16"/>
      <c r="G855" s="16"/>
      <c r="H855" s="16"/>
      <c r="I855" s="16"/>
      <c r="J855" s="16"/>
    </row>
    <row r="856" spans="1:10" ht="12.75" x14ac:dyDescent="0.2">
      <c r="A856" s="26"/>
      <c r="B856" s="26"/>
      <c r="C856" s="26"/>
      <c r="D856" s="16"/>
      <c r="E856" s="16"/>
      <c r="F856" s="16"/>
      <c r="G856" s="16"/>
      <c r="H856" s="16"/>
      <c r="I856" s="16"/>
      <c r="J856" s="16"/>
    </row>
    <row r="857" spans="1:10" ht="12.75" x14ac:dyDescent="0.2">
      <c r="A857" s="26"/>
      <c r="B857" s="26"/>
      <c r="C857" s="26"/>
      <c r="D857" s="16"/>
      <c r="E857" s="16"/>
      <c r="F857" s="16"/>
      <c r="G857" s="16"/>
      <c r="H857" s="16"/>
      <c r="I857" s="16"/>
      <c r="J857" s="16"/>
    </row>
    <row r="858" spans="1:10" ht="12.75" x14ac:dyDescent="0.2">
      <c r="A858" s="26"/>
      <c r="B858" s="26"/>
      <c r="C858" s="26"/>
      <c r="D858" s="16"/>
      <c r="E858" s="16"/>
      <c r="F858" s="16"/>
      <c r="G858" s="16"/>
      <c r="H858" s="16"/>
      <c r="I858" s="16"/>
      <c r="J858" s="16"/>
    </row>
    <row r="859" spans="1:10" ht="12.75" x14ac:dyDescent="0.2">
      <c r="A859" s="26"/>
      <c r="B859" s="26"/>
      <c r="C859" s="26"/>
      <c r="D859" s="16"/>
      <c r="E859" s="16"/>
      <c r="F859" s="16"/>
      <c r="G859" s="16"/>
      <c r="H859" s="16"/>
      <c r="I859" s="16"/>
      <c r="J859" s="16"/>
    </row>
    <row r="860" spans="1:10" ht="12.75" x14ac:dyDescent="0.2">
      <c r="A860" s="26"/>
      <c r="B860" s="26"/>
      <c r="C860" s="26"/>
      <c r="D860" s="16"/>
      <c r="E860" s="16"/>
      <c r="F860" s="16"/>
      <c r="G860" s="16"/>
      <c r="H860" s="16"/>
      <c r="I860" s="16"/>
      <c r="J860" s="16"/>
    </row>
    <row r="861" spans="1:10" ht="12.75" x14ac:dyDescent="0.2">
      <c r="A861" s="26"/>
      <c r="B861" s="26"/>
      <c r="C861" s="26"/>
      <c r="D861" s="16"/>
      <c r="E861" s="16"/>
      <c r="F861" s="16"/>
      <c r="G861" s="16"/>
      <c r="H861" s="16"/>
      <c r="I861" s="16"/>
      <c r="J861" s="16"/>
    </row>
    <row r="862" spans="1:10" ht="12.75" x14ac:dyDescent="0.2">
      <c r="A862" s="26"/>
      <c r="B862" s="26"/>
      <c r="C862" s="26"/>
      <c r="D862" s="16"/>
      <c r="E862" s="16"/>
      <c r="F862" s="16"/>
      <c r="G862" s="16"/>
      <c r="H862" s="16"/>
      <c r="I862" s="16"/>
      <c r="J862" s="16"/>
    </row>
    <row r="863" spans="1:10" ht="12.75" x14ac:dyDescent="0.2">
      <c r="A863" s="26"/>
      <c r="B863" s="26"/>
      <c r="C863" s="26"/>
      <c r="D863" s="16"/>
      <c r="E863" s="16"/>
      <c r="F863" s="16"/>
      <c r="G863" s="16"/>
      <c r="H863" s="16"/>
      <c r="I863" s="16"/>
      <c r="J863" s="16"/>
    </row>
    <row r="864" spans="1:10" ht="12.75" x14ac:dyDescent="0.2">
      <c r="A864" s="26"/>
      <c r="B864" s="26"/>
      <c r="C864" s="26"/>
      <c r="D864" s="16"/>
      <c r="E864" s="16"/>
      <c r="F864" s="16"/>
      <c r="G864" s="16"/>
      <c r="H864" s="16"/>
      <c r="I864" s="16"/>
      <c r="J864" s="16"/>
    </row>
    <row r="865" spans="1:10" ht="12.75" x14ac:dyDescent="0.2">
      <c r="A865" s="26"/>
      <c r="B865" s="26"/>
      <c r="C865" s="26"/>
      <c r="D865" s="16"/>
      <c r="E865" s="16"/>
      <c r="F865" s="16"/>
      <c r="G865" s="16"/>
      <c r="H865" s="16"/>
      <c r="I865" s="16"/>
      <c r="J865" s="16"/>
    </row>
    <row r="866" spans="1:10" ht="12.75" x14ac:dyDescent="0.2">
      <c r="A866" s="26"/>
      <c r="B866" s="26"/>
      <c r="C866" s="26"/>
      <c r="D866" s="16"/>
      <c r="E866" s="16"/>
      <c r="F866" s="16"/>
      <c r="G866" s="16"/>
      <c r="H866" s="16"/>
      <c r="I866" s="16"/>
      <c r="J866" s="16"/>
    </row>
    <row r="867" spans="1:10" ht="12.75" x14ac:dyDescent="0.2">
      <c r="A867" s="26"/>
      <c r="B867" s="26"/>
      <c r="C867" s="26"/>
      <c r="D867" s="16"/>
      <c r="E867" s="16"/>
      <c r="F867" s="16"/>
      <c r="G867" s="16"/>
      <c r="H867" s="16"/>
      <c r="I867" s="16"/>
      <c r="J867" s="16"/>
    </row>
    <row r="868" spans="1:10" ht="12.75" x14ac:dyDescent="0.2">
      <c r="A868" s="26"/>
      <c r="B868" s="26"/>
      <c r="C868" s="26"/>
      <c r="D868" s="16"/>
      <c r="E868" s="16"/>
      <c r="F868" s="16"/>
      <c r="G868" s="16"/>
      <c r="H868" s="16"/>
      <c r="I868" s="16"/>
      <c r="J868" s="16"/>
    </row>
    <row r="869" spans="1:10" ht="12.75" x14ac:dyDescent="0.2">
      <c r="A869" s="26"/>
      <c r="B869" s="26"/>
      <c r="C869" s="26"/>
      <c r="D869" s="16"/>
      <c r="E869" s="16"/>
      <c r="F869" s="16"/>
      <c r="G869" s="16"/>
      <c r="H869" s="16"/>
      <c r="I869" s="16"/>
      <c r="J869" s="16"/>
    </row>
    <row r="870" spans="1:10" ht="12.75" x14ac:dyDescent="0.2">
      <c r="A870" s="26"/>
      <c r="B870" s="26"/>
      <c r="C870" s="26"/>
      <c r="D870" s="16"/>
      <c r="E870" s="16"/>
      <c r="F870" s="16"/>
      <c r="G870" s="16"/>
      <c r="H870" s="16"/>
      <c r="I870" s="16"/>
      <c r="J870" s="16"/>
    </row>
    <row r="871" spans="1:10" ht="12.75" x14ac:dyDescent="0.2">
      <c r="A871" s="26"/>
      <c r="B871" s="26"/>
      <c r="C871" s="26"/>
      <c r="D871" s="16"/>
      <c r="E871" s="16"/>
      <c r="F871" s="16"/>
      <c r="G871" s="16"/>
      <c r="H871" s="16"/>
      <c r="I871" s="16"/>
      <c r="J871" s="16"/>
    </row>
    <row r="872" spans="1:10" ht="12.75" x14ac:dyDescent="0.2">
      <c r="A872" s="26"/>
      <c r="B872" s="26"/>
      <c r="C872" s="26"/>
      <c r="D872" s="16"/>
      <c r="E872" s="16"/>
      <c r="F872" s="16"/>
      <c r="G872" s="16"/>
      <c r="H872" s="16"/>
      <c r="I872" s="16"/>
      <c r="J872" s="16"/>
    </row>
    <row r="873" spans="1:10" ht="12.75" x14ac:dyDescent="0.2">
      <c r="A873" s="26"/>
      <c r="B873" s="26"/>
      <c r="C873" s="26"/>
      <c r="D873" s="16"/>
      <c r="E873" s="16"/>
      <c r="F873" s="16"/>
      <c r="G873" s="16"/>
      <c r="H873" s="16"/>
      <c r="I873" s="16"/>
      <c r="J873" s="16"/>
    </row>
    <row r="874" spans="1:10" ht="12.75" x14ac:dyDescent="0.2">
      <c r="A874" s="26"/>
      <c r="B874" s="26"/>
      <c r="C874" s="26"/>
      <c r="D874" s="16"/>
      <c r="E874" s="16"/>
      <c r="F874" s="16"/>
      <c r="G874" s="16"/>
      <c r="H874" s="16"/>
      <c r="I874" s="16"/>
      <c r="J874" s="16"/>
    </row>
    <row r="875" spans="1:10" ht="12.75" x14ac:dyDescent="0.2">
      <c r="A875" s="26"/>
      <c r="B875" s="26"/>
      <c r="C875" s="26"/>
      <c r="D875" s="16"/>
      <c r="E875" s="16"/>
      <c r="F875" s="16"/>
      <c r="G875" s="16"/>
      <c r="H875" s="16"/>
      <c r="I875" s="16"/>
      <c r="J875" s="16"/>
    </row>
    <row r="876" spans="1:10" ht="12.75" x14ac:dyDescent="0.2">
      <c r="A876" s="26"/>
      <c r="B876" s="26"/>
      <c r="C876" s="26"/>
      <c r="D876" s="16"/>
      <c r="E876" s="16"/>
      <c r="F876" s="16"/>
      <c r="G876" s="16"/>
      <c r="H876" s="16"/>
      <c r="I876" s="16"/>
      <c r="J876" s="16"/>
    </row>
    <row r="877" spans="1:10" ht="12.75" x14ac:dyDescent="0.2">
      <c r="A877" s="26"/>
      <c r="B877" s="26"/>
      <c r="C877" s="26"/>
      <c r="D877" s="16"/>
      <c r="E877" s="16"/>
      <c r="F877" s="16"/>
      <c r="G877" s="16"/>
      <c r="H877" s="16"/>
      <c r="I877" s="16"/>
      <c r="J877" s="16"/>
    </row>
    <row r="878" spans="1:10" ht="12.75" x14ac:dyDescent="0.2">
      <c r="A878" s="26"/>
      <c r="B878" s="26"/>
      <c r="C878" s="26"/>
      <c r="D878" s="16"/>
      <c r="E878" s="16"/>
      <c r="F878" s="16"/>
      <c r="G878" s="16"/>
      <c r="H878" s="16"/>
      <c r="I878" s="16"/>
      <c r="J878" s="16"/>
    </row>
    <row r="879" spans="1:10" ht="12.75" x14ac:dyDescent="0.2">
      <c r="A879" s="26"/>
      <c r="B879" s="26"/>
      <c r="C879" s="26"/>
      <c r="D879" s="16"/>
      <c r="E879" s="16"/>
      <c r="F879" s="16"/>
      <c r="G879" s="16"/>
      <c r="H879" s="16"/>
      <c r="I879" s="16"/>
      <c r="J879" s="16"/>
    </row>
    <row r="880" spans="1:10" ht="12.75" x14ac:dyDescent="0.2">
      <c r="A880" s="26"/>
      <c r="B880" s="26"/>
      <c r="C880" s="26"/>
      <c r="D880" s="16"/>
      <c r="E880" s="16"/>
      <c r="F880" s="16"/>
      <c r="G880" s="16"/>
      <c r="H880" s="16"/>
      <c r="I880" s="16"/>
      <c r="J880" s="16"/>
    </row>
    <row r="881" spans="1:10" ht="12.75" x14ac:dyDescent="0.2">
      <c r="A881" s="26"/>
      <c r="B881" s="26"/>
      <c r="C881" s="26"/>
      <c r="D881" s="16"/>
      <c r="E881" s="16"/>
      <c r="F881" s="16"/>
      <c r="G881" s="16"/>
      <c r="H881" s="16"/>
      <c r="I881" s="16"/>
      <c r="J881" s="16"/>
    </row>
    <row r="882" spans="1:10" ht="12.75" x14ac:dyDescent="0.2">
      <c r="A882" s="26"/>
      <c r="B882" s="26"/>
      <c r="C882" s="26"/>
      <c r="D882" s="16"/>
      <c r="E882" s="16"/>
      <c r="F882" s="16"/>
      <c r="G882" s="16"/>
      <c r="H882" s="16"/>
      <c r="I882" s="16"/>
      <c r="J882" s="16"/>
    </row>
    <row r="883" spans="1:10" ht="12.75" x14ac:dyDescent="0.2">
      <c r="A883" s="26"/>
      <c r="B883" s="26"/>
      <c r="C883" s="26"/>
      <c r="D883" s="16"/>
      <c r="E883" s="16"/>
      <c r="F883" s="16"/>
      <c r="G883" s="16"/>
      <c r="H883" s="16"/>
      <c r="I883" s="16"/>
      <c r="J883" s="16"/>
    </row>
    <row r="884" spans="1:10" ht="12.75" x14ac:dyDescent="0.2">
      <c r="A884" s="26"/>
      <c r="B884" s="26"/>
      <c r="C884" s="26"/>
      <c r="D884" s="16"/>
      <c r="E884" s="16"/>
      <c r="F884" s="16"/>
      <c r="G884" s="16"/>
      <c r="H884" s="16"/>
      <c r="I884" s="16"/>
      <c r="J884" s="16"/>
    </row>
    <row r="885" spans="1:10" ht="12.75" x14ac:dyDescent="0.2">
      <c r="A885" s="26"/>
      <c r="B885" s="26"/>
      <c r="C885" s="26"/>
      <c r="D885" s="16"/>
      <c r="E885" s="16"/>
      <c r="F885" s="16"/>
      <c r="G885" s="16"/>
      <c r="H885" s="16"/>
      <c r="I885" s="16"/>
      <c r="J885" s="16"/>
    </row>
    <row r="886" spans="1:10" ht="12.75" x14ac:dyDescent="0.2">
      <c r="A886" s="26"/>
      <c r="B886" s="26"/>
      <c r="C886" s="26"/>
      <c r="D886" s="16"/>
      <c r="E886" s="16"/>
      <c r="F886" s="16"/>
      <c r="G886" s="16"/>
      <c r="H886" s="16"/>
      <c r="I886" s="16"/>
      <c r="J886" s="16"/>
    </row>
    <row r="887" spans="1:10" ht="12.75" x14ac:dyDescent="0.2">
      <c r="A887" s="26"/>
      <c r="B887" s="26"/>
      <c r="C887" s="26"/>
      <c r="D887" s="16"/>
      <c r="E887" s="16"/>
      <c r="F887" s="16"/>
      <c r="G887" s="16"/>
      <c r="H887" s="16"/>
      <c r="I887" s="16"/>
      <c r="J887" s="16"/>
    </row>
    <row r="888" spans="1:10" ht="12.75" x14ac:dyDescent="0.2">
      <c r="A888" s="26"/>
      <c r="B888" s="26"/>
      <c r="C888" s="26"/>
      <c r="D888" s="16"/>
      <c r="E888" s="16"/>
      <c r="F888" s="16"/>
      <c r="G888" s="16"/>
      <c r="H888" s="16"/>
      <c r="I888" s="16"/>
      <c r="J888" s="16"/>
    </row>
    <row r="889" spans="1:10" ht="12.75" x14ac:dyDescent="0.2">
      <c r="A889" s="26"/>
      <c r="B889" s="26"/>
      <c r="C889" s="26"/>
      <c r="D889" s="16"/>
      <c r="E889" s="16"/>
      <c r="F889" s="16"/>
      <c r="G889" s="16"/>
      <c r="H889" s="16"/>
      <c r="I889" s="16"/>
      <c r="J889" s="16"/>
    </row>
    <row r="890" spans="1:10" ht="12.75" x14ac:dyDescent="0.2">
      <c r="A890" s="26"/>
      <c r="B890" s="26"/>
      <c r="C890" s="26"/>
      <c r="D890" s="16"/>
      <c r="E890" s="16"/>
      <c r="F890" s="16"/>
      <c r="G890" s="16"/>
      <c r="H890" s="16"/>
      <c r="I890" s="16"/>
      <c r="J890" s="16"/>
    </row>
    <row r="891" spans="1:10" ht="12.75" x14ac:dyDescent="0.2">
      <c r="A891" s="26"/>
      <c r="B891" s="26"/>
      <c r="C891" s="26"/>
      <c r="D891" s="16"/>
      <c r="E891" s="16"/>
      <c r="F891" s="16"/>
      <c r="G891" s="16"/>
      <c r="H891" s="16"/>
      <c r="I891" s="16"/>
      <c r="J891" s="16"/>
    </row>
    <row r="892" spans="1:10" ht="12.75" x14ac:dyDescent="0.2">
      <c r="A892" s="26"/>
      <c r="B892" s="26"/>
      <c r="C892" s="26"/>
      <c r="D892" s="16"/>
      <c r="E892" s="16"/>
      <c r="F892" s="16"/>
      <c r="G892" s="16"/>
      <c r="H892" s="16"/>
      <c r="I892" s="16"/>
      <c r="J892" s="16"/>
    </row>
    <row r="893" spans="1:10" ht="12.75" x14ac:dyDescent="0.2">
      <c r="A893" s="26"/>
      <c r="B893" s="26"/>
      <c r="C893" s="26"/>
      <c r="D893" s="16"/>
      <c r="E893" s="16"/>
      <c r="F893" s="16"/>
      <c r="G893" s="16"/>
      <c r="H893" s="16"/>
      <c r="I893" s="16"/>
      <c r="J893" s="16"/>
    </row>
    <row r="894" spans="1:10" ht="12.75" x14ac:dyDescent="0.2">
      <c r="A894" s="26"/>
      <c r="B894" s="26"/>
      <c r="C894" s="26"/>
      <c r="D894" s="16"/>
      <c r="E894" s="16"/>
      <c r="F894" s="16"/>
      <c r="G894" s="16"/>
      <c r="H894" s="16"/>
      <c r="I894" s="16"/>
      <c r="J894" s="16"/>
    </row>
    <row r="895" spans="1:10" ht="12.75" x14ac:dyDescent="0.2">
      <c r="A895" s="26"/>
      <c r="B895" s="26"/>
      <c r="C895" s="26"/>
      <c r="D895" s="16"/>
      <c r="E895" s="16"/>
      <c r="F895" s="16"/>
      <c r="G895" s="16"/>
      <c r="H895" s="16"/>
      <c r="I895" s="16"/>
      <c r="J895" s="16"/>
    </row>
    <row r="896" spans="1:10" ht="12.75" x14ac:dyDescent="0.2">
      <c r="A896" s="26"/>
      <c r="B896" s="26"/>
      <c r="C896" s="26"/>
      <c r="D896" s="16"/>
      <c r="E896" s="16"/>
      <c r="F896" s="16"/>
      <c r="G896" s="16"/>
      <c r="H896" s="16"/>
      <c r="I896" s="16"/>
      <c r="J896" s="16"/>
    </row>
    <row r="897" spans="1:10" ht="12.75" x14ac:dyDescent="0.2">
      <c r="A897" s="26"/>
      <c r="B897" s="26"/>
      <c r="C897" s="26"/>
      <c r="D897" s="16"/>
      <c r="E897" s="16"/>
      <c r="F897" s="16"/>
      <c r="G897" s="16"/>
      <c r="H897" s="16"/>
      <c r="I897" s="16"/>
      <c r="J897" s="16"/>
    </row>
    <row r="898" spans="1:10" ht="12.75" x14ac:dyDescent="0.2">
      <c r="A898" s="26"/>
      <c r="B898" s="26"/>
      <c r="C898" s="26"/>
      <c r="D898" s="16"/>
      <c r="E898" s="16"/>
      <c r="F898" s="16"/>
      <c r="G898" s="16"/>
      <c r="H898" s="16"/>
      <c r="I898" s="16"/>
      <c r="J898" s="16"/>
    </row>
    <row r="899" spans="1:10" ht="12.75" x14ac:dyDescent="0.2">
      <c r="A899" s="26"/>
      <c r="B899" s="26"/>
      <c r="C899" s="26"/>
      <c r="D899" s="16"/>
      <c r="E899" s="16"/>
      <c r="F899" s="16"/>
      <c r="G899" s="16"/>
      <c r="H899" s="16"/>
      <c r="I899" s="16"/>
      <c r="J899" s="16"/>
    </row>
    <row r="900" spans="1:10" ht="12.75" x14ac:dyDescent="0.2">
      <c r="A900" s="26"/>
      <c r="B900" s="26"/>
      <c r="C900" s="26"/>
      <c r="D900" s="16"/>
      <c r="E900" s="16"/>
      <c r="F900" s="16"/>
      <c r="G900" s="16"/>
      <c r="H900" s="16"/>
      <c r="I900" s="16"/>
      <c r="J900" s="16"/>
    </row>
    <row r="901" spans="1:10" ht="12.75" x14ac:dyDescent="0.2">
      <c r="A901" s="26"/>
      <c r="B901" s="26"/>
      <c r="C901" s="26"/>
      <c r="D901" s="16"/>
      <c r="E901" s="16"/>
      <c r="F901" s="16"/>
      <c r="G901" s="16"/>
      <c r="H901" s="16"/>
      <c r="I901" s="16"/>
      <c r="J901" s="16"/>
    </row>
    <row r="902" spans="1:10" ht="12.75" x14ac:dyDescent="0.2">
      <c r="A902" s="26"/>
      <c r="B902" s="26"/>
      <c r="C902" s="26"/>
      <c r="D902" s="16"/>
      <c r="E902" s="16"/>
      <c r="F902" s="16"/>
      <c r="G902" s="16"/>
      <c r="H902" s="16"/>
      <c r="I902" s="16"/>
      <c r="J902" s="16"/>
    </row>
    <row r="903" spans="1:10" ht="12.75" x14ac:dyDescent="0.2">
      <c r="A903" s="26"/>
      <c r="B903" s="26"/>
      <c r="C903" s="26"/>
      <c r="D903" s="16"/>
      <c r="E903" s="16"/>
      <c r="F903" s="16"/>
      <c r="G903" s="16"/>
      <c r="H903" s="16"/>
      <c r="I903" s="16"/>
      <c r="J903" s="16"/>
    </row>
    <row r="904" spans="1:10" ht="12.75" x14ac:dyDescent="0.2">
      <c r="A904" s="26"/>
      <c r="B904" s="26"/>
      <c r="C904" s="26"/>
      <c r="D904" s="16"/>
      <c r="E904" s="16"/>
      <c r="F904" s="16"/>
      <c r="G904" s="16"/>
      <c r="H904" s="16"/>
      <c r="I904" s="16"/>
      <c r="J904" s="16"/>
    </row>
    <row r="905" spans="1:10" ht="12.75" x14ac:dyDescent="0.2">
      <c r="A905" s="26"/>
      <c r="B905" s="26"/>
      <c r="C905" s="26"/>
      <c r="D905" s="16"/>
      <c r="E905" s="16"/>
      <c r="F905" s="16"/>
      <c r="G905" s="16"/>
      <c r="H905" s="16"/>
      <c r="I905" s="16"/>
      <c r="J905" s="16"/>
    </row>
    <row r="906" spans="1:10" ht="12.75" x14ac:dyDescent="0.2">
      <c r="A906" s="26"/>
      <c r="B906" s="26"/>
      <c r="C906" s="26"/>
      <c r="D906" s="16"/>
      <c r="E906" s="16"/>
      <c r="F906" s="16"/>
      <c r="G906" s="16"/>
      <c r="H906" s="16"/>
      <c r="I906" s="16"/>
      <c r="J906" s="16"/>
    </row>
    <row r="907" spans="1:10" ht="12.75" x14ac:dyDescent="0.2">
      <c r="A907" s="26"/>
      <c r="B907" s="26"/>
      <c r="C907" s="26"/>
      <c r="D907" s="16"/>
      <c r="E907" s="16"/>
      <c r="F907" s="16"/>
      <c r="G907" s="16"/>
      <c r="H907" s="16"/>
      <c r="I907" s="16"/>
      <c r="J907" s="16"/>
    </row>
    <row r="908" spans="1:10" ht="12.75" x14ac:dyDescent="0.2">
      <c r="A908" s="26"/>
      <c r="B908" s="26"/>
      <c r="C908" s="26"/>
      <c r="D908" s="16"/>
      <c r="E908" s="16"/>
      <c r="F908" s="16"/>
      <c r="G908" s="16"/>
      <c r="H908" s="16"/>
      <c r="I908" s="16"/>
      <c r="J908" s="16"/>
    </row>
    <row r="909" spans="1:10" ht="12.75" x14ac:dyDescent="0.2">
      <c r="A909" s="26"/>
      <c r="B909" s="26"/>
      <c r="C909" s="26"/>
      <c r="D909" s="16"/>
      <c r="E909" s="16"/>
      <c r="F909" s="16"/>
      <c r="G909" s="16"/>
      <c r="H909" s="16"/>
      <c r="I909" s="16"/>
      <c r="J909" s="16"/>
    </row>
    <row r="910" spans="1:10" ht="12.75" x14ac:dyDescent="0.2">
      <c r="A910" s="26"/>
      <c r="B910" s="26"/>
      <c r="C910" s="26"/>
      <c r="D910" s="16"/>
      <c r="E910" s="16"/>
      <c r="F910" s="16"/>
      <c r="G910" s="16"/>
      <c r="H910" s="16"/>
      <c r="I910" s="16"/>
      <c r="J910" s="16"/>
    </row>
    <row r="911" spans="1:10" ht="12.75" x14ac:dyDescent="0.2">
      <c r="A911" s="26"/>
      <c r="B911" s="26"/>
      <c r="C911" s="26"/>
      <c r="D911" s="16"/>
      <c r="E911" s="16"/>
      <c r="F911" s="16"/>
      <c r="G911" s="16"/>
      <c r="H911" s="16"/>
      <c r="I911" s="16"/>
      <c r="J911" s="16"/>
    </row>
    <row r="912" spans="1:10" ht="12.75" x14ac:dyDescent="0.2">
      <c r="A912" s="26"/>
      <c r="B912" s="26"/>
      <c r="C912" s="26"/>
      <c r="D912" s="16"/>
      <c r="E912" s="16"/>
      <c r="F912" s="16"/>
      <c r="G912" s="16"/>
      <c r="H912" s="16"/>
      <c r="I912" s="16"/>
      <c r="J912" s="16"/>
    </row>
    <row r="913" spans="1:10" ht="12.75" x14ac:dyDescent="0.2">
      <c r="A913" s="26"/>
      <c r="B913" s="26"/>
      <c r="C913" s="26"/>
      <c r="D913" s="16"/>
      <c r="E913" s="16"/>
      <c r="F913" s="16"/>
      <c r="G913" s="16"/>
      <c r="H913" s="16"/>
      <c r="I913" s="16"/>
      <c r="J913" s="16"/>
    </row>
    <row r="914" spans="1:10" ht="12.75" x14ac:dyDescent="0.2">
      <c r="A914" s="26"/>
      <c r="B914" s="26"/>
      <c r="C914" s="26"/>
      <c r="D914" s="16"/>
      <c r="E914" s="16"/>
      <c r="F914" s="16"/>
      <c r="G914" s="16"/>
      <c r="H914" s="16"/>
      <c r="I914" s="16"/>
      <c r="J914" s="16"/>
    </row>
    <row r="915" spans="1:10" ht="12.75" x14ac:dyDescent="0.2">
      <c r="A915" s="26"/>
      <c r="B915" s="26"/>
      <c r="C915" s="26"/>
      <c r="D915" s="16"/>
      <c r="E915" s="16"/>
      <c r="F915" s="16"/>
      <c r="G915" s="16"/>
      <c r="H915" s="16"/>
      <c r="I915" s="16"/>
      <c r="J915" s="16"/>
    </row>
    <row r="916" spans="1:10" ht="12.75" x14ac:dyDescent="0.2">
      <c r="A916" s="26"/>
      <c r="B916" s="26"/>
      <c r="C916" s="26"/>
      <c r="D916" s="16"/>
      <c r="E916" s="16"/>
      <c r="F916" s="16"/>
      <c r="G916" s="16"/>
      <c r="H916" s="16"/>
      <c r="I916" s="16"/>
      <c r="J916" s="16"/>
    </row>
    <row r="917" spans="1:10" ht="12.75" x14ac:dyDescent="0.2">
      <c r="A917" s="26"/>
      <c r="B917" s="26"/>
      <c r="C917" s="26"/>
      <c r="D917" s="16"/>
      <c r="E917" s="16"/>
      <c r="F917" s="16"/>
      <c r="G917" s="16"/>
      <c r="H917" s="16"/>
      <c r="I917" s="16"/>
      <c r="J917" s="16"/>
    </row>
    <row r="918" spans="1:10" ht="12.75" x14ac:dyDescent="0.2">
      <c r="A918" s="26"/>
      <c r="B918" s="26"/>
      <c r="C918" s="26"/>
      <c r="D918" s="16"/>
      <c r="E918" s="16"/>
      <c r="F918" s="16"/>
      <c r="G918" s="16"/>
      <c r="H918" s="16"/>
      <c r="I918" s="16"/>
      <c r="J918" s="16"/>
    </row>
    <row r="919" spans="1:10" ht="12.75" x14ac:dyDescent="0.2">
      <c r="A919" s="26"/>
      <c r="B919" s="26"/>
      <c r="C919" s="26"/>
      <c r="D919" s="16"/>
      <c r="E919" s="16"/>
      <c r="F919" s="16"/>
      <c r="G919" s="16"/>
      <c r="H919" s="16"/>
      <c r="I919" s="16"/>
      <c r="J919" s="16"/>
    </row>
    <row r="920" spans="1:10" ht="12.75" x14ac:dyDescent="0.2">
      <c r="A920" s="26"/>
      <c r="B920" s="26"/>
      <c r="C920" s="26"/>
      <c r="D920" s="16"/>
      <c r="E920" s="16"/>
      <c r="F920" s="16"/>
      <c r="G920" s="16"/>
      <c r="H920" s="16"/>
      <c r="I920" s="16"/>
      <c r="J920" s="16"/>
    </row>
    <row r="921" spans="1:10" ht="12.75" x14ac:dyDescent="0.2">
      <c r="A921" s="26"/>
      <c r="B921" s="26"/>
      <c r="C921" s="26"/>
      <c r="D921" s="16"/>
      <c r="E921" s="16"/>
      <c r="F921" s="16"/>
      <c r="G921" s="16"/>
      <c r="H921" s="16"/>
      <c r="I921" s="16"/>
      <c r="J921" s="16"/>
    </row>
    <row r="922" spans="1:10" ht="12.75" x14ac:dyDescent="0.2">
      <c r="A922" s="26"/>
      <c r="B922" s="26"/>
      <c r="C922" s="26"/>
      <c r="D922" s="16"/>
      <c r="E922" s="16"/>
      <c r="F922" s="16"/>
      <c r="G922" s="16"/>
      <c r="H922" s="16"/>
      <c r="I922" s="16"/>
      <c r="J922" s="16"/>
    </row>
    <row r="923" spans="1:10" ht="12.75" x14ac:dyDescent="0.2">
      <c r="A923" s="26"/>
      <c r="B923" s="26"/>
      <c r="C923" s="26"/>
      <c r="D923" s="16"/>
      <c r="E923" s="16"/>
      <c r="F923" s="16"/>
      <c r="G923" s="16"/>
      <c r="H923" s="16"/>
      <c r="I923" s="16"/>
      <c r="J923" s="16"/>
    </row>
    <row r="924" spans="1:10" ht="12.75" x14ac:dyDescent="0.2">
      <c r="A924" s="26"/>
      <c r="B924" s="26"/>
      <c r="C924" s="26"/>
      <c r="D924" s="16"/>
      <c r="E924" s="16"/>
      <c r="F924" s="16"/>
      <c r="G924" s="16"/>
      <c r="H924" s="16"/>
      <c r="I924" s="16"/>
      <c r="J924" s="16"/>
    </row>
    <row r="925" spans="1:10" ht="12.75" x14ac:dyDescent="0.2">
      <c r="A925" s="26"/>
      <c r="B925" s="26"/>
      <c r="C925" s="26"/>
      <c r="D925" s="16"/>
      <c r="E925" s="16"/>
      <c r="F925" s="16"/>
      <c r="G925" s="16"/>
      <c r="H925" s="16"/>
      <c r="I925" s="16"/>
      <c r="J925" s="16"/>
    </row>
    <row r="926" spans="1:10" ht="12.75" x14ac:dyDescent="0.2">
      <c r="A926" s="26"/>
      <c r="B926" s="26"/>
      <c r="C926" s="26"/>
      <c r="D926" s="16"/>
      <c r="E926" s="16"/>
      <c r="F926" s="16"/>
      <c r="G926" s="16"/>
      <c r="H926" s="16"/>
      <c r="I926" s="16"/>
      <c r="J926" s="16"/>
    </row>
    <row r="927" spans="1:10" ht="12.75" x14ac:dyDescent="0.2">
      <c r="A927" s="26"/>
      <c r="B927" s="26"/>
      <c r="C927" s="26"/>
      <c r="D927" s="16"/>
      <c r="E927" s="16"/>
      <c r="F927" s="16"/>
      <c r="G927" s="16"/>
      <c r="H927" s="16"/>
      <c r="I927" s="16"/>
      <c r="J927" s="16"/>
    </row>
    <row r="928" spans="1:10" ht="12.75" x14ac:dyDescent="0.2">
      <c r="A928" s="26"/>
      <c r="B928" s="26"/>
      <c r="C928" s="26"/>
      <c r="D928" s="16"/>
      <c r="E928" s="16"/>
      <c r="F928" s="16"/>
      <c r="G928" s="16"/>
      <c r="H928" s="16"/>
      <c r="I928" s="16"/>
      <c r="J928" s="16"/>
    </row>
    <row r="929" spans="1:10" ht="12.75" x14ac:dyDescent="0.2">
      <c r="A929" s="26"/>
      <c r="B929" s="26"/>
      <c r="C929" s="26"/>
      <c r="D929" s="16"/>
      <c r="E929" s="16"/>
      <c r="F929" s="16"/>
      <c r="G929" s="16"/>
      <c r="H929" s="16"/>
      <c r="I929" s="16"/>
      <c r="J929" s="16"/>
    </row>
    <row r="930" spans="1:10" ht="12.75" x14ac:dyDescent="0.2">
      <c r="A930" s="26"/>
      <c r="B930" s="26"/>
      <c r="C930" s="26"/>
      <c r="D930" s="16"/>
      <c r="E930" s="16"/>
      <c r="F930" s="16"/>
      <c r="G930" s="16"/>
      <c r="H930" s="16"/>
      <c r="I930" s="16"/>
      <c r="J930" s="16"/>
    </row>
    <row r="931" spans="1:10" ht="12.75" x14ac:dyDescent="0.2">
      <c r="A931" s="26"/>
      <c r="B931" s="26"/>
      <c r="C931" s="26"/>
      <c r="D931" s="16"/>
      <c r="E931" s="16"/>
      <c r="F931" s="16"/>
      <c r="G931" s="16"/>
      <c r="H931" s="16"/>
      <c r="I931" s="16"/>
      <c r="J931" s="16"/>
    </row>
    <row r="932" spans="1:10" ht="12.75" x14ac:dyDescent="0.2">
      <c r="A932" s="26"/>
      <c r="B932" s="26"/>
      <c r="C932" s="26"/>
      <c r="D932" s="16"/>
      <c r="E932" s="16"/>
      <c r="F932" s="16"/>
      <c r="G932" s="16"/>
      <c r="H932" s="16"/>
      <c r="I932" s="16"/>
      <c r="J932" s="16"/>
    </row>
    <row r="933" spans="1:10" ht="12.75" x14ac:dyDescent="0.2">
      <c r="A933" s="26"/>
      <c r="B933" s="26"/>
      <c r="C933" s="26"/>
      <c r="D933" s="16"/>
      <c r="E933" s="16"/>
      <c r="F933" s="16"/>
      <c r="G933" s="16"/>
      <c r="H933" s="16"/>
      <c r="I933" s="16"/>
      <c r="J933" s="16"/>
    </row>
    <row r="934" spans="1:10" ht="12.75" x14ac:dyDescent="0.2">
      <c r="A934" s="26"/>
      <c r="B934" s="26"/>
      <c r="C934" s="26"/>
      <c r="D934" s="16"/>
      <c r="E934" s="16"/>
      <c r="F934" s="16"/>
      <c r="G934" s="16"/>
      <c r="H934" s="16"/>
      <c r="I934" s="16"/>
      <c r="J934" s="16"/>
    </row>
    <row r="935" spans="1:10" ht="12.75" x14ac:dyDescent="0.2">
      <c r="A935" s="26"/>
      <c r="B935" s="26"/>
      <c r="C935" s="26"/>
      <c r="D935" s="16"/>
      <c r="E935" s="16"/>
      <c r="F935" s="16"/>
      <c r="G935" s="16"/>
      <c r="H935" s="16"/>
      <c r="I935" s="16"/>
      <c r="J935" s="16"/>
    </row>
    <row r="936" spans="1:10" ht="12.75" x14ac:dyDescent="0.2">
      <c r="A936" s="26"/>
      <c r="B936" s="26"/>
      <c r="C936" s="26"/>
      <c r="D936" s="16"/>
      <c r="E936" s="16"/>
      <c r="F936" s="16"/>
      <c r="G936" s="16"/>
      <c r="H936" s="16"/>
      <c r="I936" s="16"/>
      <c r="J936" s="16"/>
    </row>
    <row r="937" spans="1:10" ht="12.75" x14ac:dyDescent="0.2">
      <c r="A937" s="26"/>
      <c r="B937" s="26"/>
      <c r="C937" s="26"/>
      <c r="D937" s="16"/>
      <c r="E937" s="16"/>
      <c r="F937" s="16"/>
      <c r="G937" s="16"/>
      <c r="H937" s="16"/>
      <c r="I937" s="16"/>
      <c r="J937" s="16"/>
    </row>
    <row r="938" spans="1:10" ht="12.75" x14ac:dyDescent="0.2">
      <c r="A938" s="26"/>
      <c r="B938" s="26"/>
      <c r="C938" s="26"/>
      <c r="D938" s="16"/>
      <c r="E938" s="16"/>
      <c r="F938" s="16"/>
      <c r="G938" s="16"/>
      <c r="H938" s="16"/>
      <c r="I938" s="16"/>
      <c r="J938" s="16"/>
    </row>
    <row r="939" spans="1:10" ht="12.75" x14ac:dyDescent="0.2">
      <c r="A939" s="26"/>
      <c r="B939" s="26"/>
      <c r="C939" s="26"/>
      <c r="D939" s="16"/>
      <c r="E939" s="16"/>
      <c r="F939" s="16"/>
      <c r="G939" s="16"/>
      <c r="H939" s="16"/>
      <c r="I939" s="16"/>
      <c r="J939" s="16"/>
    </row>
    <row r="940" spans="1:10" ht="12.75" x14ac:dyDescent="0.2">
      <c r="A940" s="26"/>
      <c r="B940" s="26"/>
      <c r="C940" s="26"/>
      <c r="D940" s="16"/>
      <c r="E940" s="16"/>
      <c r="F940" s="16"/>
      <c r="G940" s="16"/>
      <c r="H940" s="16"/>
      <c r="I940" s="16"/>
      <c r="J940" s="16"/>
    </row>
    <row r="941" spans="1:10" ht="12.75" x14ac:dyDescent="0.2">
      <c r="A941" s="26"/>
      <c r="B941" s="26"/>
      <c r="C941" s="26"/>
      <c r="D941" s="16"/>
      <c r="E941" s="16"/>
      <c r="F941" s="16"/>
      <c r="G941" s="16"/>
      <c r="H941" s="16"/>
      <c r="I941" s="16"/>
      <c r="J941" s="16"/>
    </row>
    <row r="942" spans="1:10" ht="12.75" x14ac:dyDescent="0.2">
      <c r="A942" s="26"/>
      <c r="B942" s="26"/>
      <c r="C942" s="26"/>
      <c r="D942" s="16"/>
      <c r="E942" s="16"/>
      <c r="F942" s="16"/>
      <c r="G942" s="16"/>
      <c r="H942" s="16"/>
      <c r="I942" s="16"/>
      <c r="J942" s="16"/>
    </row>
    <row r="943" spans="1:10" ht="12.75" x14ac:dyDescent="0.2">
      <c r="A943" s="26"/>
      <c r="B943" s="26"/>
      <c r="C943" s="26"/>
      <c r="D943" s="16"/>
      <c r="E943" s="16"/>
      <c r="F943" s="16"/>
      <c r="G943" s="16"/>
      <c r="H943" s="16"/>
      <c r="I943" s="16"/>
      <c r="J943" s="16"/>
    </row>
    <row r="944" spans="1:10" ht="12.75" x14ac:dyDescent="0.2">
      <c r="A944" s="26"/>
      <c r="B944" s="26"/>
      <c r="C944" s="26"/>
      <c r="D944" s="16"/>
      <c r="E944" s="16"/>
      <c r="F944" s="16"/>
      <c r="G944" s="16"/>
      <c r="H944" s="16"/>
      <c r="I944" s="16"/>
      <c r="J944" s="16"/>
    </row>
    <row r="945" spans="1:10" ht="12.75" x14ac:dyDescent="0.2">
      <c r="A945" s="26"/>
      <c r="B945" s="26"/>
      <c r="C945" s="26"/>
      <c r="D945" s="16"/>
      <c r="E945" s="16"/>
      <c r="F945" s="16"/>
      <c r="G945" s="16"/>
      <c r="H945" s="16"/>
      <c r="I945" s="16"/>
      <c r="J945" s="16"/>
    </row>
    <row r="946" spans="1:10" ht="12.75" x14ac:dyDescent="0.2">
      <c r="A946" s="26"/>
      <c r="B946" s="26"/>
      <c r="C946" s="26"/>
      <c r="D946" s="16"/>
      <c r="E946" s="16"/>
      <c r="F946" s="16"/>
      <c r="G946" s="16"/>
      <c r="H946" s="16"/>
      <c r="I946" s="16"/>
      <c r="J946" s="16"/>
    </row>
    <row r="947" spans="1:10" ht="12.75" x14ac:dyDescent="0.2">
      <c r="A947" s="26"/>
      <c r="B947" s="26"/>
      <c r="C947" s="26"/>
      <c r="D947" s="16"/>
      <c r="E947" s="16"/>
      <c r="F947" s="16"/>
      <c r="G947" s="16"/>
      <c r="H947" s="16"/>
      <c r="I947" s="16"/>
      <c r="J947" s="16"/>
    </row>
    <row r="948" spans="1:10" ht="12.75" x14ac:dyDescent="0.2">
      <c r="A948" s="26"/>
      <c r="B948" s="26"/>
      <c r="C948" s="26"/>
      <c r="D948" s="16"/>
      <c r="E948" s="16"/>
      <c r="F948" s="16"/>
      <c r="G948" s="16"/>
      <c r="H948" s="16"/>
      <c r="I948" s="16"/>
      <c r="J948" s="16"/>
    </row>
    <row r="949" spans="1:10" ht="12.75" x14ac:dyDescent="0.2">
      <c r="A949" s="26"/>
      <c r="B949" s="26"/>
      <c r="C949" s="26"/>
      <c r="D949" s="16"/>
      <c r="E949" s="16"/>
      <c r="F949" s="16"/>
      <c r="G949" s="16"/>
      <c r="H949" s="16"/>
      <c r="I949" s="16"/>
      <c r="J949" s="16"/>
    </row>
    <row r="950" spans="1:10" ht="12.75" x14ac:dyDescent="0.2">
      <c r="A950" s="26"/>
      <c r="B950" s="26"/>
      <c r="C950" s="26"/>
      <c r="D950" s="16"/>
      <c r="E950" s="16"/>
      <c r="F950" s="16"/>
      <c r="G950" s="16"/>
      <c r="H950" s="16"/>
      <c r="I950" s="16"/>
      <c r="J950" s="16"/>
    </row>
    <row r="951" spans="1:10" ht="12.75" x14ac:dyDescent="0.2">
      <c r="A951" s="26"/>
      <c r="B951" s="26"/>
      <c r="C951" s="26"/>
      <c r="D951" s="16"/>
      <c r="E951" s="16"/>
      <c r="F951" s="16"/>
      <c r="G951" s="16"/>
      <c r="H951" s="16"/>
      <c r="I951" s="16"/>
      <c r="J951" s="16"/>
    </row>
    <row r="952" spans="1:10" ht="12.75" x14ac:dyDescent="0.2">
      <c r="A952" s="26"/>
      <c r="B952" s="26"/>
      <c r="C952" s="26"/>
      <c r="D952" s="16"/>
      <c r="E952" s="16"/>
      <c r="F952" s="16"/>
      <c r="G952" s="16"/>
      <c r="H952" s="16"/>
      <c r="I952" s="16"/>
      <c r="J952" s="16"/>
    </row>
    <row r="953" spans="1:10" ht="12.75" x14ac:dyDescent="0.2">
      <c r="A953" s="26"/>
      <c r="B953" s="26"/>
      <c r="C953" s="26"/>
      <c r="D953" s="16"/>
      <c r="E953" s="16"/>
      <c r="F953" s="16"/>
      <c r="G953" s="16"/>
      <c r="H953" s="16"/>
      <c r="I953" s="16"/>
      <c r="J953" s="16"/>
    </row>
    <row r="954" spans="1:10" ht="12.75" x14ac:dyDescent="0.2">
      <c r="A954" s="26"/>
      <c r="B954" s="26"/>
      <c r="C954" s="26"/>
      <c r="D954" s="16"/>
      <c r="E954" s="16"/>
      <c r="F954" s="16"/>
      <c r="G954" s="16"/>
      <c r="H954" s="16"/>
      <c r="I954" s="16"/>
      <c r="J954" s="16"/>
    </row>
    <row r="955" spans="1:10" ht="12.75" x14ac:dyDescent="0.2">
      <c r="A955" s="26"/>
      <c r="B955" s="26"/>
      <c r="C955" s="26"/>
      <c r="D955" s="16"/>
      <c r="E955" s="16"/>
      <c r="F955" s="16"/>
      <c r="G955" s="16"/>
      <c r="H955" s="16"/>
      <c r="I955" s="16"/>
      <c r="J955" s="16"/>
    </row>
    <row r="956" spans="1:10" ht="12.75" x14ac:dyDescent="0.2">
      <c r="A956" s="26"/>
      <c r="B956" s="26"/>
      <c r="C956" s="26"/>
      <c r="D956" s="16"/>
      <c r="E956" s="16"/>
      <c r="F956" s="16"/>
      <c r="G956" s="16"/>
      <c r="H956" s="16"/>
      <c r="I956" s="16"/>
      <c r="J956" s="16"/>
    </row>
    <row r="957" spans="1:10" ht="12.75" x14ac:dyDescent="0.2">
      <c r="A957" s="26"/>
      <c r="B957" s="26"/>
      <c r="C957" s="26"/>
      <c r="D957" s="16"/>
      <c r="E957" s="16"/>
      <c r="F957" s="16"/>
      <c r="G957" s="16"/>
      <c r="H957" s="16"/>
      <c r="I957" s="16"/>
      <c r="J957" s="16"/>
    </row>
    <row r="958" spans="1:10" ht="12.75" x14ac:dyDescent="0.2">
      <c r="A958" s="26"/>
      <c r="B958" s="26"/>
      <c r="C958" s="26"/>
      <c r="D958" s="16"/>
      <c r="E958" s="16"/>
      <c r="F958" s="16"/>
      <c r="G958" s="16"/>
      <c r="H958" s="16"/>
      <c r="I958" s="16"/>
      <c r="J958" s="16"/>
    </row>
    <row r="959" spans="1:10" ht="12.75" x14ac:dyDescent="0.2">
      <c r="A959" s="26"/>
      <c r="B959" s="26"/>
      <c r="C959" s="26"/>
      <c r="D959" s="16"/>
      <c r="E959" s="16"/>
      <c r="F959" s="16"/>
      <c r="G959" s="16"/>
      <c r="H959" s="16"/>
      <c r="I959" s="16"/>
      <c r="J959" s="16"/>
    </row>
    <row r="960" spans="1:10" ht="12.75" x14ac:dyDescent="0.2">
      <c r="A960" s="26"/>
      <c r="B960" s="26"/>
      <c r="C960" s="26"/>
      <c r="D960" s="16"/>
      <c r="E960" s="16"/>
      <c r="F960" s="16"/>
      <c r="G960" s="16"/>
      <c r="H960" s="16"/>
      <c r="I960" s="16"/>
      <c r="J960" s="16"/>
    </row>
    <row r="961" spans="1:10" ht="12.75" x14ac:dyDescent="0.2">
      <c r="A961" s="26"/>
      <c r="B961" s="26"/>
      <c r="C961" s="26"/>
      <c r="D961" s="16"/>
      <c r="E961" s="16"/>
      <c r="F961" s="16"/>
      <c r="G961" s="16"/>
      <c r="H961" s="16"/>
      <c r="I961" s="16"/>
      <c r="J961" s="16"/>
    </row>
    <row r="962" spans="1:10" ht="12.75" x14ac:dyDescent="0.2">
      <c r="A962" s="26"/>
      <c r="B962" s="26"/>
      <c r="C962" s="26"/>
      <c r="D962" s="16"/>
      <c r="E962" s="16"/>
      <c r="F962" s="16"/>
      <c r="G962" s="16"/>
      <c r="H962" s="16"/>
      <c r="I962" s="16"/>
      <c r="J962" s="16"/>
    </row>
    <row r="963" spans="1:10" ht="12.75" x14ac:dyDescent="0.2">
      <c r="A963" s="26"/>
      <c r="B963" s="26"/>
      <c r="C963" s="26"/>
      <c r="D963" s="16"/>
      <c r="E963" s="16"/>
      <c r="F963" s="16"/>
      <c r="G963" s="16"/>
      <c r="H963" s="16"/>
      <c r="I963" s="16"/>
      <c r="J963" s="16"/>
    </row>
    <row r="964" spans="1:10" ht="12.75" x14ac:dyDescent="0.2">
      <c r="A964" s="26"/>
      <c r="B964" s="26"/>
      <c r="C964" s="26"/>
      <c r="D964" s="16"/>
      <c r="E964" s="16"/>
      <c r="F964" s="16"/>
      <c r="G964" s="16"/>
      <c r="H964" s="16"/>
      <c r="I964" s="16"/>
      <c r="J964" s="16"/>
    </row>
    <row r="965" spans="1:10" ht="12.75" x14ac:dyDescent="0.2">
      <c r="A965" s="26"/>
      <c r="B965" s="26"/>
      <c r="C965" s="26"/>
      <c r="D965" s="16"/>
      <c r="E965" s="16"/>
      <c r="F965" s="16"/>
      <c r="G965" s="16"/>
      <c r="H965" s="16"/>
      <c r="I965" s="16"/>
      <c r="J965" s="16"/>
    </row>
    <row r="966" spans="1:10" ht="12.75" x14ac:dyDescent="0.2">
      <c r="A966" s="26"/>
      <c r="B966" s="26"/>
      <c r="C966" s="26"/>
      <c r="D966" s="16"/>
      <c r="E966" s="16"/>
      <c r="F966" s="16"/>
      <c r="G966" s="16"/>
      <c r="H966" s="16"/>
      <c r="I966" s="16"/>
      <c r="J966" s="16"/>
    </row>
    <row r="967" spans="1:10" ht="12.75" x14ac:dyDescent="0.2">
      <c r="A967" s="26"/>
      <c r="B967" s="26"/>
      <c r="C967" s="26"/>
      <c r="D967" s="16"/>
      <c r="E967" s="16"/>
      <c r="F967" s="16"/>
      <c r="G967" s="16"/>
      <c r="H967" s="16"/>
      <c r="I967" s="16"/>
      <c r="J967" s="16"/>
    </row>
    <row r="968" spans="1:10" ht="12.75" x14ac:dyDescent="0.2">
      <c r="A968" s="26"/>
      <c r="B968" s="26"/>
      <c r="C968" s="26"/>
      <c r="D968" s="16"/>
      <c r="E968" s="16"/>
      <c r="F968" s="16"/>
      <c r="G968" s="16"/>
      <c r="H968" s="16"/>
      <c r="I968" s="16"/>
      <c r="J968" s="16"/>
    </row>
    <row r="969" spans="1:10" ht="12.75" x14ac:dyDescent="0.2">
      <c r="A969" s="26"/>
      <c r="B969" s="26"/>
      <c r="C969" s="26"/>
      <c r="D969" s="16"/>
      <c r="E969" s="16"/>
      <c r="F969" s="16"/>
      <c r="G969" s="16"/>
      <c r="H969" s="16"/>
      <c r="I969" s="16"/>
      <c r="J969" s="16"/>
    </row>
    <row r="970" spans="1:10" ht="12.75" x14ac:dyDescent="0.2">
      <c r="A970" s="26"/>
      <c r="B970" s="26"/>
      <c r="C970" s="26"/>
      <c r="D970" s="16"/>
      <c r="E970" s="16"/>
      <c r="F970" s="16"/>
      <c r="G970" s="16"/>
      <c r="H970" s="16"/>
      <c r="I970" s="16"/>
      <c r="J970" s="16"/>
    </row>
    <row r="971" spans="1:10" ht="12.75" x14ac:dyDescent="0.2">
      <c r="A971" s="26"/>
      <c r="B971" s="26"/>
      <c r="C971" s="26"/>
      <c r="D971" s="16"/>
      <c r="E971" s="16"/>
      <c r="F971" s="16"/>
      <c r="G971" s="16"/>
      <c r="H971" s="16"/>
      <c r="I971" s="16"/>
      <c r="J971" s="16"/>
    </row>
    <row r="972" spans="1:10" ht="12.75" x14ac:dyDescent="0.2">
      <c r="A972" s="26"/>
      <c r="B972" s="26"/>
      <c r="C972" s="26"/>
      <c r="D972" s="16"/>
      <c r="E972" s="16"/>
      <c r="F972" s="16"/>
      <c r="G972" s="16"/>
      <c r="H972" s="16"/>
      <c r="I972" s="16"/>
      <c r="J972" s="16"/>
    </row>
    <row r="973" spans="1:10" ht="12.75" x14ac:dyDescent="0.2">
      <c r="A973" s="26"/>
      <c r="B973" s="26"/>
      <c r="C973" s="26"/>
      <c r="D973" s="16"/>
      <c r="E973" s="16"/>
      <c r="F973" s="16"/>
      <c r="G973" s="16"/>
      <c r="H973" s="16"/>
      <c r="I973" s="16"/>
      <c r="J973" s="16"/>
    </row>
    <row r="974" spans="1:10" ht="12.75" x14ac:dyDescent="0.2">
      <c r="A974" s="26"/>
      <c r="B974" s="26"/>
      <c r="C974" s="26"/>
      <c r="D974" s="16"/>
      <c r="E974" s="16"/>
      <c r="F974" s="16"/>
      <c r="G974" s="16"/>
      <c r="H974" s="16"/>
      <c r="I974" s="16"/>
      <c r="J974" s="16"/>
    </row>
    <row r="975" spans="1:10" ht="12.75" x14ac:dyDescent="0.2">
      <c r="A975" s="26"/>
      <c r="B975" s="26"/>
      <c r="C975" s="26"/>
      <c r="D975" s="16"/>
      <c r="E975" s="16"/>
      <c r="F975" s="16"/>
      <c r="G975" s="16"/>
      <c r="H975" s="16"/>
      <c r="I975" s="16"/>
      <c r="J975" s="16"/>
    </row>
    <row r="976" spans="1:10" ht="12.75" x14ac:dyDescent="0.2">
      <c r="A976" s="26"/>
      <c r="B976" s="26"/>
      <c r="C976" s="26"/>
      <c r="D976" s="16"/>
      <c r="E976" s="16"/>
      <c r="F976" s="16"/>
      <c r="G976" s="16"/>
      <c r="H976" s="16"/>
      <c r="I976" s="16"/>
      <c r="J976" s="16"/>
    </row>
    <row r="977" spans="1:10" ht="12.75" x14ac:dyDescent="0.2">
      <c r="A977" s="26"/>
      <c r="B977" s="26"/>
      <c r="C977" s="26"/>
      <c r="D977" s="16"/>
      <c r="E977" s="16"/>
      <c r="F977" s="16"/>
      <c r="G977" s="16"/>
      <c r="H977" s="16"/>
      <c r="I977" s="16"/>
      <c r="J977" s="16"/>
    </row>
    <row r="978" spans="1:10" ht="12.75" x14ac:dyDescent="0.2">
      <c r="A978" s="26"/>
      <c r="B978" s="26"/>
      <c r="C978" s="26"/>
      <c r="D978" s="16"/>
      <c r="E978" s="16"/>
      <c r="F978" s="16"/>
      <c r="G978" s="16"/>
      <c r="H978" s="16"/>
      <c r="I978" s="16"/>
      <c r="J978" s="16"/>
    </row>
    <row r="979" spans="1:10" ht="12.75" x14ac:dyDescent="0.2">
      <c r="A979" s="26"/>
      <c r="B979" s="26"/>
      <c r="C979" s="26"/>
      <c r="D979" s="16"/>
      <c r="E979" s="16"/>
      <c r="F979" s="16"/>
      <c r="G979" s="16"/>
      <c r="H979" s="16"/>
      <c r="I979" s="16"/>
      <c r="J979" s="16"/>
    </row>
    <row r="980" spans="1:10" ht="12.75" x14ac:dyDescent="0.2">
      <c r="A980" s="26"/>
      <c r="B980" s="26"/>
      <c r="C980" s="26"/>
      <c r="D980" s="16"/>
      <c r="E980" s="16"/>
      <c r="F980" s="16"/>
      <c r="G980" s="16"/>
      <c r="H980" s="16"/>
      <c r="I980" s="16"/>
      <c r="J980" s="16"/>
    </row>
    <row r="981" spans="1:10" ht="12.75" x14ac:dyDescent="0.2">
      <c r="A981" s="26"/>
      <c r="B981" s="26"/>
      <c r="C981" s="26"/>
      <c r="D981" s="16"/>
      <c r="E981" s="16"/>
      <c r="F981" s="16"/>
      <c r="G981" s="16"/>
      <c r="H981" s="16"/>
      <c r="I981" s="16"/>
      <c r="J981" s="16"/>
    </row>
    <row r="982" spans="1:10" ht="12.75" x14ac:dyDescent="0.2">
      <c r="A982" s="26"/>
      <c r="B982" s="26"/>
      <c r="C982" s="26"/>
      <c r="D982" s="16"/>
      <c r="E982" s="16"/>
      <c r="F982" s="16"/>
      <c r="G982" s="16"/>
      <c r="H982" s="16"/>
      <c r="I982" s="16"/>
      <c r="J982" s="16"/>
    </row>
    <row r="983" spans="1:10" ht="12.75" x14ac:dyDescent="0.2">
      <c r="A983" s="26"/>
      <c r="B983" s="26"/>
      <c r="C983" s="26"/>
      <c r="D983" s="16"/>
      <c r="E983" s="16"/>
      <c r="F983" s="16"/>
      <c r="G983" s="16"/>
      <c r="H983" s="16"/>
      <c r="I983" s="16"/>
      <c r="J983" s="16"/>
    </row>
    <row r="984" spans="1:10" ht="12.75" x14ac:dyDescent="0.2">
      <c r="A984" s="26"/>
      <c r="B984" s="26"/>
      <c r="C984" s="26"/>
      <c r="D984" s="16"/>
      <c r="E984" s="16"/>
      <c r="F984" s="16"/>
      <c r="G984" s="16"/>
      <c r="H984" s="16"/>
      <c r="I984" s="16"/>
      <c r="J984" s="16"/>
    </row>
    <row r="985" spans="1:10" ht="12.75" x14ac:dyDescent="0.2">
      <c r="A985" s="26"/>
      <c r="B985" s="26"/>
      <c r="C985" s="26"/>
      <c r="D985" s="16"/>
      <c r="E985" s="16"/>
      <c r="F985" s="16"/>
      <c r="G985" s="16"/>
      <c r="H985" s="16"/>
      <c r="I985" s="16"/>
      <c r="J985" s="16"/>
    </row>
    <row r="986" spans="1:10" ht="12.75" x14ac:dyDescent="0.2">
      <c r="A986" s="26"/>
      <c r="B986" s="26"/>
      <c r="C986" s="26"/>
      <c r="D986" s="16"/>
      <c r="E986" s="16"/>
      <c r="F986" s="16"/>
      <c r="G986" s="16"/>
      <c r="H986" s="16"/>
      <c r="I986" s="16"/>
      <c r="J986" s="16"/>
    </row>
    <row r="987" spans="1:10" ht="12.75" x14ac:dyDescent="0.2">
      <c r="A987" s="26"/>
      <c r="B987" s="26"/>
      <c r="C987" s="26"/>
      <c r="D987" s="16"/>
      <c r="E987" s="16"/>
      <c r="F987" s="16"/>
      <c r="G987" s="16"/>
      <c r="H987" s="16"/>
      <c r="I987" s="16"/>
      <c r="J987" s="16"/>
    </row>
    <row r="988" spans="1:10" ht="12.75" x14ac:dyDescent="0.2">
      <c r="A988" s="26"/>
      <c r="B988" s="26"/>
      <c r="C988" s="26"/>
      <c r="D988" s="16"/>
      <c r="E988" s="16"/>
      <c r="F988" s="16"/>
      <c r="G988" s="16"/>
      <c r="H988" s="16"/>
      <c r="I988" s="16"/>
      <c r="J988" s="16"/>
    </row>
    <row r="989" spans="1:10" ht="12.75" x14ac:dyDescent="0.2">
      <c r="A989" s="26"/>
      <c r="B989" s="26"/>
      <c r="C989" s="26"/>
      <c r="D989" s="16"/>
      <c r="E989" s="16"/>
      <c r="F989" s="16"/>
      <c r="G989" s="16"/>
      <c r="H989" s="16"/>
      <c r="I989" s="16"/>
      <c r="J989" s="16"/>
    </row>
    <row r="990" spans="1:10" ht="12.75" x14ac:dyDescent="0.2">
      <c r="A990" s="26"/>
      <c r="B990" s="26"/>
      <c r="C990" s="26"/>
      <c r="D990" s="16"/>
      <c r="E990" s="16"/>
      <c r="F990" s="16"/>
      <c r="G990" s="16"/>
      <c r="H990" s="16"/>
      <c r="I990" s="16"/>
      <c r="J990" s="16"/>
    </row>
    <row r="991" spans="1:10" ht="12.75" x14ac:dyDescent="0.2">
      <c r="A991" s="26"/>
      <c r="B991" s="26"/>
      <c r="C991" s="26"/>
      <c r="D991" s="16"/>
      <c r="E991" s="16"/>
      <c r="F991" s="16"/>
      <c r="G991" s="16"/>
      <c r="H991" s="16"/>
      <c r="I991" s="16"/>
      <c r="J991" s="16"/>
    </row>
    <row r="992" spans="1:10" ht="12.75" x14ac:dyDescent="0.2">
      <c r="A992" s="26"/>
      <c r="B992" s="26"/>
      <c r="C992" s="26"/>
      <c r="D992" s="16"/>
      <c r="E992" s="16"/>
      <c r="F992" s="16"/>
      <c r="G992" s="16"/>
      <c r="H992" s="16"/>
      <c r="I992" s="16"/>
      <c r="J992" s="16"/>
    </row>
    <row r="993" spans="1:10" ht="12.75" x14ac:dyDescent="0.2">
      <c r="A993" s="26"/>
      <c r="B993" s="26"/>
      <c r="C993" s="26"/>
      <c r="D993" s="16"/>
      <c r="E993" s="16"/>
      <c r="F993" s="16"/>
      <c r="G993" s="16"/>
      <c r="H993" s="16"/>
      <c r="I993" s="16"/>
      <c r="J993" s="16"/>
    </row>
    <row r="994" spans="1:10" ht="12.75" x14ac:dyDescent="0.2">
      <c r="A994" s="26"/>
      <c r="B994" s="26"/>
      <c r="C994" s="26"/>
      <c r="D994" s="16"/>
      <c r="E994" s="16"/>
      <c r="F994" s="16"/>
      <c r="G994" s="16"/>
      <c r="H994" s="16"/>
      <c r="I994" s="16"/>
      <c r="J994" s="16"/>
    </row>
    <row r="995" spans="1:10" ht="12.75" x14ac:dyDescent="0.2">
      <c r="A995" s="26"/>
      <c r="B995" s="26"/>
      <c r="C995" s="26"/>
      <c r="D995" s="16"/>
      <c r="E995" s="16"/>
      <c r="F995" s="16"/>
      <c r="G995" s="16"/>
      <c r="H995" s="16"/>
      <c r="I995" s="16"/>
      <c r="J995" s="16"/>
    </row>
    <row r="996" spans="1:10" ht="12.75" x14ac:dyDescent="0.2">
      <c r="A996" s="26"/>
      <c r="B996" s="26"/>
      <c r="C996" s="26"/>
      <c r="D996" s="16"/>
      <c r="E996" s="16"/>
      <c r="F996" s="16"/>
      <c r="G996" s="16"/>
      <c r="H996" s="16"/>
      <c r="I996" s="16"/>
      <c r="J996" s="16"/>
    </row>
    <row r="997" spans="1:10" ht="12.75" x14ac:dyDescent="0.2">
      <c r="A997" s="26"/>
      <c r="B997" s="26"/>
      <c r="C997" s="26"/>
      <c r="D997" s="16"/>
      <c r="E997" s="16"/>
      <c r="F997" s="16"/>
      <c r="G997" s="16"/>
      <c r="H997" s="16"/>
      <c r="I997" s="16"/>
      <c r="J997" s="16"/>
    </row>
    <row r="998" spans="1:10" ht="12.75" x14ac:dyDescent="0.2">
      <c r="A998" s="26"/>
      <c r="B998" s="26"/>
      <c r="C998" s="26"/>
      <c r="D998" s="16"/>
      <c r="E998" s="16"/>
      <c r="F998" s="16"/>
      <c r="G998" s="16"/>
      <c r="H998" s="16"/>
      <c r="I998" s="16"/>
      <c r="J998" s="16"/>
    </row>
    <row r="999" spans="1:10" ht="12.75" x14ac:dyDescent="0.2">
      <c r="A999" s="26"/>
      <c r="B999" s="26"/>
      <c r="C999" s="26"/>
      <c r="D999" s="16"/>
      <c r="E999" s="16"/>
      <c r="F999" s="16"/>
      <c r="G999" s="16"/>
      <c r="H999" s="16"/>
      <c r="I999" s="16"/>
      <c r="J999" s="16"/>
    </row>
    <row r="1000" spans="1:10" ht="12.75" x14ac:dyDescent="0.2">
      <c r="A1000" s="26"/>
      <c r="B1000" s="26"/>
      <c r="C1000" s="26"/>
      <c r="D1000" s="16"/>
      <c r="E1000" s="16"/>
      <c r="F1000" s="16"/>
      <c r="G1000" s="16"/>
      <c r="H1000" s="16"/>
      <c r="I1000" s="16"/>
      <c r="J1000" s="16"/>
    </row>
    <row r="1001" spans="1:10" ht="12.75" x14ac:dyDescent="0.2">
      <c r="A1001" s="16"/>
      <c r="B1001" s="16"/>
      <c r="C1001" s="16"/>
      <c r="D1001" s="16"/>
      <c r="E1001" s="16"/>
      <c r="F1001" s="16"/>
      <c r="G1001" s="16"/>
      <c r="H1001" s="16"/>
      <c r="I1001" s="16"/>
      <c r="J1001" s="16"/>
    </row>
    <row r="1002" spans="1:10" ht="12.75" x14ac:dyDescent="0.2">
      <c r="A1002" s="16"/>
      <c r="B1002" s="16"/>
      <c r="C1002" s="16"/>
      <c r="D1002" s="16"/>
      <c r="E1002" s="16"/>
      <c r="F1002" s="16"/>
      <c r="G1002" s="16"/>
      <c r="H1002" s="16"/>
      <c r="I1002" s="16"/>
      <c r="J1002" s="16"/>
    </row>
  </sheetData>
  <mergeCells count="1">
    <mergeCell ref="B4:I4"/>
  </mergeCells>
  <phoneticPr fontId="6" type="noConversion"/>
  <conditionalFormatting sqref="D7:D83">
    <cfRule type="colorScale" priority="1">
      <colorScale>
        <cfvo type="min"/>
        <cfvo type="max"/>
        <color rgb="FFFFFFFF"/>
        <color rgb="FFE67C73"/>
      </colorScale>
    </cfRule>
  </conditionalFormatting>
  <conditionalFormatting sqref="E7:E99">
    <cfRule type="colorScale" priority="2">
      <colorScale>
        <cfvo type="formula" val="0.3"/>
        <cfvo type="formula" val="0.6"/>
        <cfvo type="formula" val="0.9"/>
        <color rgb="FFFF0000"/>
        <color rgb="FFFFFF00"/>
        <color rgb="FFFFFF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84"/>
  <sheetViews>
    <sheetView showGridLines="0" workbookViewId="0"/>
  </sheetViews>
  <sheetFormatPr defaultColWidth="12.5703125" defaultRowHeight="15.75" customHeight="1" x14ac:dyDescent="0.2"/>
  <cols>
    <col min="1" max="1" width="1.7109375" customWidth="1"/>
    <col min="2" max="2" width="6.28515625" customWidth="1"/>
    <col min="4" max="4" width="27.5703125" customWidth="1"/>
    <col min="5" max="5" width="123.42578125" customWidth="1"/>
    <col min="6" max="6" width="47.85546875" customWidth="1"/>
  </cols>
  <sheetData>
    <row r="1" spans="1:18" x14ac:dyDescent="0.2">
      <c r="A1" s="27"/>
      <c r="B1" s="27"/>
      <c r="C1" s="27"/>
      <c r="D1" s="28"/>
      <c r="E1" s="29"/>
      <c r="F1" s="29"/>
      <c r="G1" s="27"/>
      <c r="H1" s="27"/>
      <c r="I1" s="27"/>
      <c r="J1" s="27"/>
      <c r="K1" s="27"/>
      <c r="L1" s="27"/>
      <c r="M1" s="27"/>
      <c r="N1" s="27"/>
      <c r="O1" s="27"/>
      <c r="P1" s="27"/>
      <c r="Q1" s="27"/>
      <c r="R1" s="27"/>
    </row>
    <row r="2" spans="1:18" x14ac:dyDescent="0.2">
      <c r="A2" s="27"/>
      <c r="B2" s="30" t="s">
        <v>505</v>
      </c>
      <c r="C2" s="31">
        <v>46042</v>
      </c>
      <c r="D2" s="28"/>
      <c r="E2" s="29"/>
      <c r="F2" s="29"/>
      <c r="G2" s="27"/>
      <c r="H2" s="27"/>
      <c r="I2" s="27"/>
      <c r="J2" s="27"/>
      <c r="K2" s="27"/>
      <c r="L2" s="27"/>
      <c r="M2" s="27"/>
      <c r="N2" s="27"/>
      <c r="O2" s="27"/>
      <c r="P2" s="27"/>
      <c r="Q2" s="27"/>
      <c r="R2" s="27"/>
    </row>
    <row r="3" spans="1:18" x14ac:dyDescent="0.2">
      <c r="A3" s="27"/>
      <c r="B3" s="27"/>
      <c r="C3" s="27"/>
      <c r="D3" s="28"/>
      <c r="E3" s="29"/>
      <c r="F3" s="29"/>
      <c r="G3" s="27"/>
      <c r="H3" s="27"/>
      <c r="I3" s="27"/>
      <c r="J3" s="27"/>
      <c r="K3" s="27"/>
      <c r="L3" s="27"/>
      <c r="M3" s="27"/>
      <c r="N3" s="27"/>
      <c r="O3" s="27"/>
      <c r="P3" s="27"/>
      <c r="Q3" s="27"/>
      <c r="R3" s="27"/>
    </row>
    <row r="4" spans="1:18" x14ac:dyDescent="0.2">
      <c r="A4" s="27"/>
      <c r="B4" s="32" t="s">
        <v>499</v>
      </c>
      <c r="C4" s="32" t="s">
        <v>2</v>
      </c>
      <c r="D4" s="33" t="s">
        <v>506</v>
      </c>
      <c r="E4" s="34" t="s">
        <v>507</v>
      </c>
      <c r="F4" s="34" t="s">
        <v>508</v>
      </c>
      <c r="G4" s="32" t="s">
        <v>509</v>
      </c>
      <c r="H4" s="27"/>
      <c r="I4" s="27"/>
      <c r="J4" s="27"/>
      <c r="K4" s="27"/>
      <c r="L4" s="27"/>
      <c r="M4" s="27"/>
      <c r="N4" s="27"/>
      <c r="O4" s="27"/>
      <c r="P4" s="27"/>
      <c r="Q4" s="27"/>
      <c r="R4" s="27"/>
    </row>
    <row r="5" spans="1:18" x14ac:dyDescent="0.2">
      <c r="A5" s="27"/>
      <c r="B5" s="35">
        <v>1</v>
      </c>
      <c r="C5" s="36" t="s">
        <v>110</v>
      </c>
      <c r="D5" s="37">
        <v>1</v>
      </c>
      <c r="E5" s="38" t="s">
        <v>111</v>
      </c>
      <c r="F5" s="38"/>
      <c r="G5" s="35" t="s">
        <v>510</v>
      </c>
      <c r="H5" s="27"/>
      <c r="I5" s="27"/>
      <c r="J5" s="27"/>
      <c r="K5" s="27"/>
      <c r="L5" s="27"/>
      <c r="M5" s="27"/>
      <c r="N5" s="27"/>
      <c r="O5" s="27"/>
      <c r="P5" s="27"/>
      <c r="Q5" s="27"/>
      <c r="R5" s="27"/>
    </row>
    <row r="6" spans="1:18" x14ac:dyDescent="0.2">
      <c r="A6" s="27"/>
      <c r="B6" s="35">
        <v>1</v>
      </c>
      <c r="C6" s="36" t="s">
        <v>103</v>
      </c>
      <c r="D6" s="37">
        <v>0.25</v>
      </c>
      <c r="E6" s="38" t="s">
        <v>105</v>
      </c>
      <c r="F6" s="38"/>
      <c r="G6" s="35" t="s">
        <v>511</v>
      </c>
      <c r="H6" s="27"/>
      <c r="I6" s="27"/>
      <c r="J6" s="27"/>
      <c r="K6" s="27"/>
      <c r="L6" s="27"/>
      <c r="M6" s="27"/>
      <c r="N6" s="27"/>
      <c r="O6" s="27"/>
      <c r="P6" s="27"/>
      <c r="Q6" s="27"/>
      <c r="R6" s="27"/>
    </row>
    <row r="7" spans="1:18" x14ac:dyDescent="0.2">
      <c r="A7" s="27"/>
      <c r="B7" s="35">
        <v>1</v>
      </c>
      <c r="C7" s="36" t="s">
        <v>247</v>
      </c>
      <c r="D7" s="37">
        <v>0.5</v>
      </c>
      <c r="E7" s="38" t="s">
        <v>248</v>
      </c>
      <c r="F7" s="38"/>
      <c r="G7" s="35" t="s">
        <v>511</v>
      </c>
      <c r="H7" s="27"/>
      <c r="I7" s="27"/>
      <c r="J7" s="27"/>
      <c r="K7" s="27"/>
      <c r="L7" s="27"/>
      <c r="M7" s="27"/>
      <c r="N7" s="27"/>
      <c r="O7" s="27"/>
      <c r="P7" s="27"/>
      <c r="Q7" s="27"/>
      <c r="R7" s="27"/>
    </row>
    <row r="8" spans="1:18" x14ac:dyDescent="0.2">
      <c r="A8" s="27"/>
      <c r="B8" s="35">
        <v>1</v>
      </c>
      <c r="C8" s="36" t="s">
        <v>113</v>
      </c>
      <c r="D8" s="37">
        <v>0.25</v>
      </c>
      <c r="E8" s="38" t="s">
        <v>114</v>
      </c>
      <c r="F8" s="38"/>
      <c r="G8" s="35" t="s">
        <v>511</v>
      </c>
      <c r="H8" s="27"/>
      <c r="I8" s="27"/>
      <c r="J8" s="27"/>
      <c r="K8" s="27"/>
      <c r="L8" s="27"/>
      <c r="M8" s="27"/>
      <c r="N8" s="27"/>
      <c r="O8" s="27"/>
      <c r="P8" s="27"/>
      <c r="Q8" s="27"/>
      <c r="R8" s="27"/>
    </row>
    <row r="9" spans="1:18" x14ac:dyDescent="0.2">
      <c r="A9" s="27"/>
      <c r="B9" s="35">
        <v>1</v>
      </c>
      <c r="C9" s="36" t="s">
        <v>291</v>
      </c>
      <c r="D9" s="37">
        <v>0.8</v>
      </c>
      <c r="E9" s="38" t="s">
        <v>292</v>
      </c>
      <c r="F9" s="38"/>
      <c r="G9" s="35" t="s">
        <v>511</v>
      </c>
      <c r="H9" s="27"/>
      <c r="I9" s="27"/>
      <c r="J9" s="27"/>
      <c r="K9" s="27"/>
      <c r="L9" s="27"/>
      <c r="M9" s="27"/>
      <c r="N9" s="27"/>
      <c r="O9" s="27"/>
      <c r="P9" s="27"/>
      <c r="Q9" s="27"/>
      <c r="R9" s="27"/>
    </row>
    <row r="10" spans="1:18" x14ac:dyDescent="0.2">
      <c r="A10" s="27"/>
      <c r="B10" s="35">
        <v>1</v>
      </c>
      <c r="C10" s="36" t="s">
        <v>107</v>
      </c>
      <c r="D10" s="37">
        <v>0.5</v>
      </c>
      <c r="E10" s="38" t="s">
        <v>108</v>
      </c>
      <c r="F10" s="38"/>
      <c r="G10" s="35" t="s">
        <v>511</v>
      </c>
      <c r="H10" s="27"/>
      <c r="I10" s="27"/>
      <c r="J10" s="27"/>
      <c r="K10" s="27"/>
      <c r="L10" s="27"/>
      <c r="M10" s="27"/>
      <c r="N10" s="27"/>
      <c r="O10" s="27"/>
      <c r="P10" s="27"/>
      <c r="Q10" s="27"/>
      <c r="R10" s="27"/>
    </row>
    <row r="11" spans="1:18" x14ac:dyDescent="0.2">
      <c r="A11" s="27"/>
      <c r="B11" s="35">
        <v>2</v>
      </c>
      <c r="C11" s="36" t="s">
        <v>123</v>
      </c>
      <c r="D11" s="37">
        <v>0.25</v>
      </c>
      <c r="E11" s="38" t="s">
        <v>124</v>
      </c>
      <c r="F11" s="38" t="s">
        <v>512</v>
      </c>
      <c r="G11" s="35" t="s">
        <v>513</v>
      </c>
      <c r="H11" s="27"/>
      <c r="I11" s="27"/>
      <c r="J11" s="27"/>
      <c r="K11" s="27"/>
      <c r="L11" s="27"/>
      <c r="M11" s="27"/>
      <c r="N11" s="27"/>
      <c r="O11" s="27"/>
      <c r="P11" s="27"/>
      <c r="Q11" s="27"/>
      <c r="R11" s="27"/>
    </row>
    <row r="12" spans="1:18" x14ac:dyDescent="0.2">
      <c r="A12" s="27"/>
      <c r="B12" s="35">
        <v>2</v>
      </c>
      <c r="C12" s="36" t="s">
        <v>129</v>
      </c>
      <c r="D12" s="37">
        <v>0.25</v>
      </c>
      <c r="E12" s="38" t="s">
        <v>130</v>
      </c>
      <c r="F12" s="38"/>
      <c r="G12" s="35" t="s">
        <v>511</v>
      </c>
      <c r="H12" s="27"/>
      <c r="I12" s="27"/>
      <c r="J12" s="27"/>
      <c r="K12" s="27"/>
      <c r="L12" s="27"/>
      <c r="M12" s="27"/>
      <c r="N12" s="27"/>
      <c r="O12" s="27"/>
      <c r="P12" s="27"/>
      <c r="Q12" s="27"/>
      <c r="R12" s="27"/>
    </row>
    <row r="13" spans="1:18" x14ac:dyDescent="0.2">
      <c r="A13" s="27"/>
      <c r="B13" s="35">
        <v>2</v>
      </c>
      <c r="C13" s="36" t="s">
        <v>120</v>
      </c>
      <c r="D13" s="37">
        <v>0.25</v>
      </c>
      <c r="E13" s="38" t="s">
        <v>121</v>
      </c>
      <c r="F13" s="38"/>
      <c r="G13" s="35" t="s">
        <v>511</v>
      </c>
      <c r="H13" s="27"/>
      <c r="I13" s="27"/>
      <c r="J13" s="27"/>
      <c r="K13" s="27"/>
      <c r="L13" s="27"/>
      <c r="M13" s="27"/>
      <c r="N13" s="27"/>
      <c r="O13" s="27"/>
      <c r="P13" s="27"/>
      <c r="Q13" s="27"/>
      <c r="R13" s="27"/>
    </row>
    <row r="14" spans="1:18" x14ac:dyDescent="0.2">
      <c r="A14" s="27"/>
      <c r="B14" s="35">
        <v>2</v>
      </c>
      <c r="C14" s="36" t="s">
        <v>116</v>
      </c>
      <c r="D14" s="37">
        <v>0.1</v>
      </c>
      <c r="E14" s="38" t="s">
        <v>118</v>
      </c>
      <c r="F14" s="38" t="s">
        <v>514</v>
      </c>
      <c r="G14" s="35" t="s">
        <v>511</v>
      </c>
      <c r="H14" s="27"/>
      <c r="I14" s="27"/>
      <c r="J14" s="27"/>
      <c r="K14" s="27"/>
      <c r="L14" s="27"/>
      <c r="M14" s="27"/>
      <c r="N14" s="27"/>
      <c r="O14" s="27"/>
      <c r="P14" s="27"/>
      <c r="Q14" s="27"/>
      <c r="R14" s="27"/>
    </row>
    <row r="15" spans="1:18" x14ac:dyDescent="0.2">
      <c r="A15" s="27"/>
      <c r="B15" s="35">
        <v>2</v>
      </c>
      <c r="C15" s="36" t="s">
        <v>250</v>
      </c>
      <c r="D15" s="37">
        <v>0.25</v>
      </c>
      <c r="E15" s="38" t="s">
        <v>251</v>
      </c>
      <c r="F15" s="38"/>
      <c r="G15" s="35" t="s">
        <v>511</v>
      </c>
      <c r="H15" s="27"/>
      <c r="I15" s="27"/>
      <c r="J15" s="27"/>
      <c r="K15" s="27"/>
      <c r="L15" s="27"/>
      <c r="M15" s="27"/>
      <c r="N15" s="27"/>
      <c r="O15" s="27"/>
      <c r="P15" s="27"/>
      <c r="Q15" s="27"/>
      <c r="R15" s="27"/>
    </row>
    <row r="16" spans="1:18" x14ac:dyDescent="0.2">
      <c r="A16" s="27"/>
      <c r="B16" s="35">
        <v>2</v>
      </c>
      <c r="C16" s="36" t="s">
        <v>126</v>
      </c>
      <c r="D16" s="37">
        <v>0.1</v>
      </c>
      <c r="E16" s="38" t="s">
        <v>127</v>
      </c>
      <c r="F16" s="38"/>
      <c r="G16" s="35" t="s">
        <v>515</v>
      </c>
      <c r="H16" s="27"/>
      <c r="I16" s="27"/>
      <c r="J16" s="27"/>
      <c r="K16" s="27"/>
      <c r="L16" s="27"/>
      <c r="M16" s="27"/>
      <c r="N16" s="27"/>
      <c r="O16" s="27"/>
      <c r="P16" s="27"/>
      <c r="Q16" s="27"/>
      <c r="R16" s="27"/>
    </row>
    <row r="17" spans="1:18" x14ac:dyDescent="0.2">
      <c r="A17" s="27"/>
      <c r="B17" s="35">
        <v>3</v>
      </c>
      <c r="C17" s="36" t="s">
        <v>148</v>
      </c>
      <c r="D17" s="37">
        <v>0.25</v>
      </c>
      <c r="E17" s="38" t="s">
        <v>149</v>
      </c>
      <c r="F17" s="38"/>
      <c r="G17" s="35" t="s">
        <v>511</v>
      </c>
      <c r="H17" s="27"/>
      <c r="I17" s="27"/>
      <c r="J17" s="27"/>
      <c r="K17" s="27"/>
      <c r="L17" s="27"/>
      <c r="M17" s="27"/>
      <c r="N17" s="27"/>
      <c r="O17" s="27"/>
      <c r="P17" s="27"/>
      <c r="Q17" s="27"/>
      <c r="R17" s="27"/>
    </row>
    <row r="18" spans="1:18" x14ac:dyDescent="0.2">
      <c r="A18" s="27"/>
      <c r="B18" s="35">
        <v>3</v>
      </c>
      <c r="C18" s="36" t="s">
        <v>136</v>
      </c>
      <c r="D18" s="37">
        <v>0.25</v>
      </c>
      <c r="E18" s="38" t="s">
        <v>137</v>
      </c>
      <c r="F18" s="38"/>
      <c r="G18" s="35" t="s">
        <v>511</v>
      </c>
      <c r="H18" s="27"/>
      <c r="I18" s="27"/>
      <c r="J18" s="27"/>
      <c r="K18" s="27"/>
      <c r="L18" s="27"/>
      <c r="M18" s="27"/>
      <c r="N18" s="27"/>
      <c r="O18" s="27"/>
      <c r="P18" s="27"/>
      <c r="Q18" s="27"/>
      <c r="R18" s="27"/>
    </row>
    <row r="19" spans="1:18" x14ac:dyDescent="0.2">
      <c r="A19" s="27"/>
      <c r="B19" s="35">
        <v>3</v>
      </c>
      <c r="C19" s="36" t="s">
        <v>139</v>
      </c>
      <c r="D19" s="37">
        <v>0.25</v>
      </c>
      <c r="E19" s="38" t="s">
        <v>140</v>
      </c>
      <c r="F19" s="38"/>
      <c r="G19" s="35" t="s">
        <v>511</v>
      </c>
      <c r="H19" s="27"/>
      <c r="I19" s="27"/>
      <c r="J19" s="27"/>
      <c r="K19" s="27"/>
      <c r="L19" s="27"/>
      <c r="M19" s="27"/>
      <c r="N19" s="27"/>
      <c r="O19" s="27"/>
      <c r="P19" s="27"/>
      <c r="Q19" s="27"/>
      <c r="R19" s="27"/>
    </row>
    <row r="20" spans="1:18" x14ac:dyDescent="0.2">
      <c r="A20" s="27"/>
      <c r="B20" s="35">
        <v>3</v>
      </c>
      <c r="C20" s="36" t="s">
        <v>145</v>
      </c>
      <c r="D20" s="37">
        <v>0.25</v>
      </c>
      <c r="E20" s="38" t="s">
        <v>146</v>
      </c>
      <c r="F20" s="38"/>
      <c r="G20" s="35" t="s">
        <v>511</v>
      </c>
      <c r="H20" s="27"/>
      <c r="I20" s="27"/>
      <c r="J20" s="27"/>
      <c r="K20" s="27"/>
      <c r="L20" s="27"/>
      <c r="M20" s="27"/>
      <c r="N20" s="27"/>
      <c r="O20" s="27"/>
      <c r="P20" s="27"/>
      <c r="Q20" s="27"/>
      <c r="R20" s="27"/>
    </row>
    <row r="21" spans="1:18" x14ac:dyDescent="0.2">
      <c r="A21" s="27"/>
      <c r="B21" s="35">
        <v>3</v>
      </c>
      <c r="C21" s="36" t="s">
        <v>502</v>
      </c>
      <c r="D21" s="37" t="s">
        <v>516</v>
      </c>
      <c r="E21" s="38" t="s">
        <v>516</v>
      </c>
      <c r="F21" s="38"/>
      <c r="G21" s="35" t="s">
        <v>511</v>
      </c>
      <c r="H21" s="27"/>
      <c r="I21" s="27"/>
      <c r="J21" s="27"/>
      <c r="K21" s="27"/>
      <c r="L21" s="27"/>
      <c r="M21" s="27"/>
      <c r="N21" s="27"/>
      <c r="O21" s="27"/>
      <c r="P21" s="27"/>
      <c r="Q21" s="27"/>
      <c r="R21" s="27"/>
    </row>
    <row r="22" spans="1:18" x14ac:dyDescent="0.2">
      <c r="A22" s="27"/>
      <c r="B22" s="35">
        <v>3</v>
      </c>
      <c r="C22" s="36" t="s">
        <v>142</v>
      </c>
      <c r="D22" s="37">
        <v>0.25</v>
      </c>
      <c r="E22" s="38" t="s">
        <v>143</v>
      </c>
      <c r="F22" s="38"/>
      <c r="G22" s="35" t="s">
        <v>511</v>
      </c>
      <c r="H22" s="27"/>
      <c r="I22" s="27"/>
      <c r="J22" s="27"/>
      <c r="K22" s="27"/>
      <c r="L22" s="27"/>
      <c r="M22" s="27"/>
      <c r="N22" s="27"/>
      <c r="O22" s="27"/>
      <c r="P22" s="27"/>
      <c r="Q22" s="27"/>
      <c r="R22" s="27"/>
    </row>
    <row r="23" spans="1:18" x14ac:dyDescent="0.2">
      <c r="A23" s="27"/>
      <c r="B23" s="35">
        <v>4</v>
      </c>
      <c r="C23" s="36" t="s">
        <v>504</v>
      </c>
      <c r="D23" s="37" t="s">
        <v>516</v>
      </c>
      <c r="E23" s="38" t="s">
        <v>516</v>
      </c>
      <c r="F23" s="38"/>
      <c r="G23" s="35" t="s">
        <v>511</v>
      </c>
      <c r="H23" s="27"/>
      <c r="I23" s="27"/>
      <c r="J23" s="27"/>
      <c r="K23" s="27"/>
      <c r="L23" s="27"/>
      <c r="M23" s="27"/>
      <c r="N23" s="27"/>
      <c r="O23" s="27"/>
      <c r="P23" s="27"/>
      <c r="Q23" s="27"/>
      <c r="R23" s="27"/>
    </row>
    <row r="24" spans="1:18" x14ac:dyDescent="0.2">
      <c r="A24" s="27"/>
      <c r="B24" s="35">
        <v>4</v>
      </c>
      <c r="C24" s="36" t="s">
        <v>161</v>
      </c>
      <c r="D24" s="37">
        <v>0.75</v>
      </c>
      <c r="E24" s="38" t="s">
        <v>162</v>
      </c>
      <c r="F24" s="38" t="s">
        <v>517</v>
      </c>
      <c r="G24" s="35" t="s">
        <v>515</v>
      </c>
      <c r="H24" s="27"/>
      <c r="I24" s="27"/>
      <c r="J24" s="27"/>
      <c r="K24" s="27"/>
      <c r="L24" s="27"/>
      <c r="M24" s="27"/>
      <c r="N24" s="27"/>
      <c r="O24" s="27"/>
      <c r="P24" s="27"/>
      <c r="Q24" s="27"/>
      <c r="R24" s="27"/>
    </row>
    <row r="25" spans="1:18" x14ac:dyDescent="0.2">
      <c r="A25" s="27"/>
      <c r="B25" s="35">
        <v>4</v>
      </c>
      <c r="C25" s="36" t="s">
        <v>155</v>
      </c>
      <c r="D25" s="37">
        <v>0.5</v>
      </c>
      <c r="E25" s="38" t="s">
        <v>156</v>
      </c>
      <c r="F25" s="38"/>
      <c r="G25" s="35" t="s">
        <v>511</v>
      </c>
      <c r="H25" s="27"/>
      <c r="I25" s="27"/>
      <c r="J25" s="27"/>
      <c r="K25" s="27"/>
      <c r="L25" s="27"/>
      <c r="M25" s="27"/>
      <c r="N25" s="27"/>
      <c r="O25" s="27"/>
      <c r="P25" s="27"/>
      <c r="Q25" s="27"/>
      <c r="R25" s="27"/>
    </row>
    <row r="26" spans="1:18" x14ac:dyDescent="0.2">
      <c r="A26" s="27"/>
      <c r="B26" s="35">
        <v>4</v>
      </c>
      <c r="C26" s="36" t="s">
        <v>151</v>
      </c>
      <c r="D26" s="37">
        <v>0.5</v>
      </c>
      <c r="E26" s="38" t="s">
        <v>153</v>
      </c>
      <c r="F26" s="38"/>
      <c r="G26" s="35" t="s">
        <v>511</v>
      </c>
      <c r="H26" s="27"/>
      <c r="I26" s="27"/>
      <c r="J26" s="27"/>
      <c r="K26" s="27"/>
      <c r="L26" s="27"/>
      <c r="M26" s="27"/>
      <c r="N26" s="27"/>
      <c r="O26" s="27"/>
      <c r="P26" s="27"/>
      <c r="Q26" s="27"/>
      <c r="R26" s="27"/>
    </row>
    <row r="27" spans="1:18" x14ac:dyDescent="0.2">
      <c r="A27" s="27"/>
      <c r="B27" s="35">
        <v>4</v>
      </c>
      <c r="C27" s="36" t="s">
        <v>158</v>
      </c>
      <c r="D27" s="37">
        <v>0.75</v>
      </c>
      <c r="E27" s="38" t="s">
        <v>159</v>
      </c>
      <c r="F27" s="38"/>
      <c r="G27" s="35" t="s">
        <v>511</v>
      </c>
      <c r="H27" s="27"/>
      <c r="I27" s="27"/>
      <c r="J27" s="27"/>
      <c r="K27" s="27"/>
      <c r="L27" s="27"/>
      <c r="M27" s="27"/>
      <c r="N27" s="27"/>
      <c r="O27" s="27"/>
      <c r="P27" s="27"/>
      <c r="Q27" s="27"/>
      <c r="R27" s="27"/>
    </row>
    <row r="28" spans="1:18" x14ac:dyDescent="0.2">
      <c r="A28" s="27"/>
      <c r="B28" s="35">
        <v>5</v>
      </c>
      <c r="C28" s="36" t="s">
        <v>244</v>
      </c>
      <c r="D28" s="37">
        <v>0.75</v>
      </c>
      <c r="E28" s="38" t="s">
        <v>245</v>
      </c>
      <c r="F28" s="38"/>
      <c r="G28" s="35" t="s">
        <v>511</v>
      </c>
      <c r="H28" s="27"/>
      <c r="I28" s="27"/>
      <c r="J28" s="27"/>
      <c r="K28" s="27"/>
      <c r="L28" s="27"/>
      <c r="M28" s="27"/>
      <c r="N28" s="27"/>
      <c r="O28" s="27"/>
      <c r="P28" s="27"/>
      <c r="Q28" s="27"/>
      <c r="R28" s="27"/>
    </row>
    <row r="29" spans="1:18" x14ac:dyDescent="0.2">
      <c r="A29" s="27"/>
      <c r="B29" s="35">
        <v>5</v>
      </c>
      <c r="C29" s="36" t="s">
        <v>164</v>
      </c>
      <c r="D29" s="37">
        <v>0.75</v>
      </c>
      <c r="E29" s="38" t="s">
        <v>166</v>
      </c>
      <c r="F29" s="38"/>
      <c r="G29" s="35" t="s">
        <v>511</v>
      </c>
      <c r="H29" s="27"/>
      <c r="I29" s="27"/>
      <c r="J29" s="27"/>
      <c r="K29" s="27"/>
      <c r="L29" s="27"/>
      <c r="M29" s="27"/>
      <c r="N29" s="27"/>
      <c r="O29" s="27"/>
      <c r="P29" s="27"/>
      <c r="Q29" s="27"/>
      <c r="R29" s="27"/>
    </row>
    <row r="30" spans="1:18" x14ac:dyDescent="0.2">
      <c r="A30" s="27"/>
      <c r="B30" s="35">
        <v>5</v>
      </c>
      <c r="C30" s="36" t="s">
        <v>253</v>
      </c>
      <c r="D30" s="37">
        <v>0.5</v>
      </c>
      <c r="E30" s="38" t="s">
        <v>254</v>
      </c>
      <c r="F30" s="38"/>
      <c r="G30" s="35" t="s">
        <v>511</v>
      </c>
      <c r="H30" s="27"/>
      <c r="I30" s="27"/>
      <c r="J30" s="27"/>
      <c r="K30" s="27"/>
      <c r="L30" s="27"/>
      <c r="M30" s="27"/>
      <c r="N30" s="27"/>
      <c r="O30" s="27"/>
      <c r="P30" s="27"/>
      <c r="Q30" s="27"/>
      <c r="R30" s="27"/>
    </row>
    <row r="31" spans="1:18" x14ac:dyDescent="0.2">
      <c r="A31" s="27"/>
      <c r="B31" s="35">
        <v>5</v>
      </c>
      <c r="C31" s="36" t="s">
        <v>171</v>
      </c>
      <c r="D31" s="37" t="s">
        <v>172</v>
      </c>
      <c r="E31" s="38" t="s">
        <v>173</v>
      </c>
      <c r="F31" s="38"/>
      <c r="G31" s="35" t="s">
        <v>511</v>
      </c>
      <c r="H31" s="27"/>
      <c r="I31" s="27"/>
      <c r="J31" s="27"/>
      <c r="K31" s="27"/>
      <c r="L31" s="27"/>
      <c r="M31" s="27"/>
      <c r="N31" s="27"/>
      <c r="O31" s="27"/>
      <c r="P31" s="27"/>
      <c r="Q31" s="27"/>
      <c r="R31" s="27"/>
    </row>
    <row r="32" spans="1:18" x14ac:dyDescent="0.2">
      <c r="A32" s="27"/>
      <c r="B32" s="35">
        <v>5</v>
      </c>
      <c r="C32" s="36" t="s">
        <v>168</v>
      </c>
      <c r="D32" s="37">
        <v>0.25</v>
      </c>
      <c r="E32" s="38" t="s">
        <v>169</v>
      </c>
      <c r="F32" s="38"/>
      <c r="G32" s="35" t="s">
        <v>513</v>
      </c>
      <c r="H32" s="27"/>
      <c r="I32" s="27"/>
      <c r="J32" s="27"/>
      <c r="K32" s="27"/>
      <c r="L32" s="27"/>
      <c r="M32" s="27"/>
      <c r="N32" s="27"/>
      <c r="O32" s="27"/>
      <c r="P32" s="27"/>
      <c r="Q32" s="27"/>
      <c r="R32" s="27"/>
    </row>
    <row r="33" spans="1:18" x14ac:dyDescent="0.2">
      <c r="A33" s="27"/>
      <c r="B33" s="35">
        <v>6</v>
      </c>
      <c r="C33" s="36" t="s">
        <v>184</v>
      </c>
      <c r="D33" s="37" t="s">
        <v>185</v>
      </c>
      <c r="E33" s="38" t="s">
        <v>186</v>
      </c>
      <c r="F33" s="38"/>
      <c r="G33" s="35" t="s">
        <v>511</v>
      </c>
      <c r="H33" s="27"/>
      <c r="I33" s="27"/>
      <c r="J33" s="27"/>
      <c r="K33" s="27"/>
      <c r="L33" s="27"/>
      <c r="M33" s="27"/>
      <c r="N33" s="27"/>
      <c r="O33" s="27"/>
      <c r="P33" s="27"/>
      <c r="Q33" s="27"/>
      <c r="R33" s="27"/>
    </row>
    <row r="34" spans="1:18" x14ac:dyDescent="0.2">
      <c r="A34" s="27"/>
      <c r="B34" s="35">
        <v>6</v>
      </c>
      <c r="C34" s="36" t="s">
        <v>180</v>
      </c>
      <c r="D34" s="37" t="s">
        <v>181</v>
      </c>
      <c r="E34" s="38" t="s">
        <v>182</v>
      </c>
      <c r="F34" s="38"/>
      <c r="G34" s="35" t="s">
        <v>511</v>
      </c>
      <c r="H34" s="27"/>
      <c r="I34" s="27"/>
      <c r="J34" s="27"/>
      <c r="K34" s="27"/>
      <c r="L34" s="27"/>
      <c r="M34" s="27"/>
      <c r="N34" s="27"/>
      <c r="O34" s="27"/>
      <c r="P34" s="27"/>
      <c r="Q34" s="27"/>
      <c r="R34" s="27"/>
    </row>
    <row r="35" spans="1:18" x14ac:dyDescent="0.2">
      <c r="A35" s="27"/>
      <c r="B35" s="35">
        <v>6</v>
      </c>
      <c r="C35" s="36" t="s">
        <v>188</v>
      </c>
      <c r="D35" s="37" t="s">
        <v>189</v>
      </c>
      <c r="E35" s="38" t="s">
        <v>190</v>
      </c>
      <c r="F35" s="38"/>
      <c r="G35" s="35" t="s">
        <v>511</v>
      </c>
      <c r="H35" s="27"/>
      <c r="I35" s="27"/>
      <c r="J35" s="27"/>
      <c r="K35" s="27"/>
      <c r="L35" s="27"/>
      <c r="M35" s="27"/>
      <c r="N35" s="27"/>
      <c r="O35" s="27"/>
      <c r="P35" s="27"/>
      <c r="Q35" s="27"/>
      <c r="R35" s="27"/>
    </row>
    <row r="36" spans="1:18" x14ac:dyDescent="0.2">
      <c r="A36" s="27"/>
      <c r="B36" s="35">
        <v>6</v>
      </c>
      <c r="C36" s="36" t="s">
        <v>192</v>
      </c>
      <c r="D36" s="37">
        <v>0.25</v>
      </c>
      <c r="E36" s="38" t="s">
        <v>193</v>
      </c>
      <c r="F36" s="38"/>
      <c r="G36" s="35" t="s">
        <v>511</v>
      </c>
      <c r="H36" s="27"/>
      <c r="I36" s="27"/>
      <c r="J36" s="27"/>
      <c r="K36" s="27"/>
      <c r="L36" s="27"/>
      <c r="M36" s="27"/>
      <c r="N36" s="27"/>
      <c r="O36" s="27"/>
      <c r="P36" s="27"/>
      <c r="Q36" s="27"/>
      <c r="R36" s="27"/>
    </row>
    <row r="37" spans="1:18" x14ac:dyDescent="0.2">
      <c r="A37" s="27"/>
      <c r="B37" s="35">
        <v>6</v>
      </c>
      <c r="C37" s="36" t="s">
        <v>175</v>
      </c>
      <c r="D37" s="37" t="s">
        <v>177</v>
      </c>
      <c r="E37" s="38" t="s">
        <v>178</v>
      </c>
      <c r="F37" s="38"/>
      <c r="G37" s="35" t="s">
        <v>511</v>
      </c>
      <c r="H37" s="27"/>
      <c r="I37" s="27"/>
      <c r="J37" s="27"/>
      <c r="K37" s="27"/>
      <c r="L37" s="27"/>
      <c r="M37" s="27"/>
      <c r="N37" s="27"/>
      <c r="O37" s="27"/>
      <c r="P37" s="27"/>
      <c r="Q37" s="27"/>
      <c r="R37" s="27"/>
    </row>
    <row r="38" spans="1:18" x14ac:dyDescent="0.2">
      <c r="A38" s="27"/>
      <c r="B38" s="35">
        <v>7</v>
      </c>
      <c r="C38" s="36" t="s">
        <v>199</v>
      </c>
      <c r="D38" s="37">
        <v>0.5</v>
      </c>
      <c r="E38" s="38" t="s">
        <v>200</v>
      </c>
      <c r="F38" s="38"/>
      <c r="G38" s="35" t="s">
        <v>511</v>
      </c>
      <c r="H38" s="27"/>
      <c r="I38" s="27"/>
      <c r="J38" s="27"/>
      <c r="K38" s="27"/>
      <c r="L38" s="27"/>
      <c r="M38" s="27"/>
      <c r="N38" s="27"/>
      <c r="O38" s="27"/>
      <c r="P38" s="27"/>
      <c r="Q38" s="27"/>
      <c r="R38" s="27"/>
    </row>
    <row r="39" spans="1:18" x14ac:dyDescent="0.2">
      <c r="A39" s="27"/>
      <c r="B39" s="35">
        <v>7</v>
      </c>
      <c r="C39" s="36" t="s">
        <v>208</v>
      </c>
      <c r="D39" s="37">
        <v>0.25</v>
      </c>
      <c r="E39" s="38" t="s">
        <v>209</v>
      </c>
      <c r="F39" s="38"/>
      <c r="G39" s="35" t="s">
        <v>511</v>
      </c>
      <c r="H39" s="27"/>
      <c r="I39" s="27"/>
      <c r="J39" s="27"/>
      <c r="K39" s="27"/>
      <c r="L39" s="27"/>
      <c r="M39" s="27"/>
      <c r="N39" s="27"/>
      <c r="O39" s="27"/>
      <c r="P39" s="27"/>
      <c r="Q39" s="27"/>
      <c r="R39" s="27"/>
    </row>
    <row r="40" spans="1:18" x14ac:dyDescent="0.2">
      <c r="A40" s="27"/>
      <c r="B40" s="35">
        <v>7</v>
      </c>
      <c r="C40" s="36" t="s">
        <v>205</v>
      </c>
      <c r="D40" s="37">
        <v>0.25</v>
      </c>
      <c r="E40" s="38" t="s">
        <v>206</v>
      </c>
      <c r="F40" s="38"/>
      <c r="G40" s="35" t="s">
        <v>511</v>
      </c>
      <c r="H40" s="27"/>
      <c r="I40" s="27"/>
      <c r="J40" s="27"/>
      <c r="K40" s="27"/>
      <c r="L40" s="27"/>
      <c r="M40" s="27"/>
      <c r="N40" s="27"/>
      <c r="O40" s="27"/>
      <c r="P40" s="27"/>
      <c r="Q40" s="27"/>
      <c r="R40" s="27"/>
    </row>
    <row r="41" spans="1:18" x14ac:dyDescent="0.2">
      <c r="A41" s="27"/>
      <c r="B41" s="35">
        <v>7</v>
      </c>
      <c r="C41" s="36" t="s">
        <v>195</v>
      </c>
      <c r="D41" s="37">
        <v>0.1</v>
      </c>
      <c r="E41" s="38" t="s">
        <v>197</v>
      </c>
      <c r="F41" s="38"/>
      <c r="G41" s="35" t="s">
        <v>511</v>
      </c>
      <c r="H41" s="27"/>
      <c r="I41" s="27"/>
      <c r="J41" s="27"/>
      <c r="K41" s="27"/>
      <c r="L41" s="27"/>
      <c r="M41" s="27"/>
      <c r="N41" s="27"/>
      <c r="O41" s="27"/>
      <c r="P41" s="27"/>
      <c r="Q41" s="27"/>
      <c r="R41" s="27"/>
    </row>
    <row r="42" spans="1:18" x14ac:dyDescent="0.2">
      <c r="A42" s="27"/>
      <c r="B42" s="35">
        <v>7</v>
      </c>
      <c r="C42" s="36" t="s">
        <v>202</v>
      </c>
      <c r="D42" s="37">
        <v>0.25</v>
      </c>
      <c r="E42" s="38" t="s">
        <v>203</v>
      </c>
      <c r="F42" s="38"/>
      <c r="G42" s="35" t="s">
        <v>511</v>
      </c>
      <c r="H42" s="27"/>
      <c r="I42" s="27"/>
      <c r="J42" s="27"/>
      <c r="K42" s="27"/>
      <c r="L42" s="27"/>
      <c r="M42" s="27"/>
      <c r="N42" s="27"/>
      <c r="O42" s="27"/>
      <c r="P42" s="27"/>
      <c r="Q42" s="27"/>
      <c r="R42" s="27"/>
    </row>
    <row r="43" spans="1:18" x14ac:dyDescent="0.2">
      <c r="A43" s="27"/>
      <c r="B43" s="35">
        <v>8</v>
      </c>
      <c r="C43" s="36" t="s">
        <v>221</v>
      </c>
      <c r="D43" s="37">
        <v>0.5</v>
      </c>
      <c r="E43" s="38" t="s">
        <v>222</v>
      </c>
      <c r="F43" s="38"/>
      <c r="G43" s="35" t="s">
        <v>511</v>
      </c>
      <c r="H43" s="27"/>
      <c r="I43" s="27"/>
      <c r="J43" s="27"/>
      <c r="K43" s="27"/>
      <c r="L43" s="27"/>
      <c r="M43" s="27"/>
      <c r="N43" s="27"/>
      <c r="O43" s="27"/>
      <c r="P43" s="27"/>
      <c r="Q43" s="27"/>
      <c r="R43" s="27"/>
    </row>
    <row r="44" spans="1:18" x14ac:dyDescent="0.2">
      <c r="A44" s="27"/>
      <c r="B44" s="35">
        <v>8</v>
      </c>
      <c r="C44" s="36" t="s">
        <v>211</v>
      </c>
      <c r="D44" s="37">
        <v>0.25</v>
      </c>
      <c r="E44" s="38" t="s">
        <v>213</v>
      </c>
      <c r="F44" s="38"/>
      <c r="G44" s="35" t="s">
        <v>511</v>
      </c>
      <c r="H44" s="27"/>
      <c r="I44" s="27"/>
      <c r="J44" s="27"/>
      <c r="K44" s="27"/>
      <c r="L44" s="27"/>
      <c r="M44" s="27"/>
      <c r="N44" s="27"/>
      <c r="O44" s="27"/>
      <c r="P44" s="27"/>
      <c r="Q44" s="27"/>
      <c r="R44" s="27"/>
    </row>
    <row r="45" spans="1:18" x14ac:dyDescent="0.2">
      <c r="A45" s="27"/>
      <c r="B45" s="35">
        <v>8</v>
      </c>
      <c r="C45" s="36" t="s">
        <v>218</v>
      </c>
      <c r="D45" s="37">
        <v>0.25</v>
      </c>
      <c r="E45" s="38" t="s">
        <v>219</v>
      </c>
      <c r="F45" s="38"/>
      <c r="G45" s="35" t="s">
        <v>511</v>
      </c>
      <c r="H45" s="27"/>
      <c r="I45" s="27"/>
      <c r="J45" s="27"/>
      <c r="K45" s="27"/>
      <c r="L45" s="27"/>
      <c r="M45" s="27"/>
      <c r="N45" s="27"/>
      <c r="O45" s="27"/>
      <c r="P45" s="27"/>
      <c r="Q45" s="27"/>
      <c r="R45" s="27"/>
    </row>
    <row r="46" spans="1:18" x14ac:dyDescent="0.2">
      <c r="A46" s="27"/>
      <c r="B46" s="35">
        <v>8</v>
      </c>
      <c r="C46" s="36" t="s">
        <v>224</v>
      </c>
      <c r="D46" s="37">
        <v>0.25</v>
      </c>
      <c r="E46" s="38" t="s">
        <v>225</v>
      </c>
      <c r="F46" s="38"/>
      <c r="G46" s="35" t="s">
        <v>511</v>
      </c>
      <c r="H46" s="27"/>
      <c r="I46" s="27"/>
      <c r="J46" s="27"/>
      <c r="K46" s="27"/>
      <c r="L46" s="27"/>
      <c r="M46" s="27"/>
      <c r="N46" s="27"/>
      <c r="O46" s="27"/>
      <c r="P46" s="27"/>
      <c r="Q46" s="27"/>
      <c r="R46" s="27"/>
    </row>
    <row r="47" spans="1:18" x14ac:dyDescent="0.2">
      <c r="A47" s="27"/>
      <c r="B47" s="35">
        <v>8</v>
      </c>
      <c r="C47" s="36" t="s">
        <v>215</v>
      </c>
      <c r="D47" s="37">
        <v>0.25</v>
      </c>
      <c r="E47" s="38" t="s">
        <v>216</v>
      </c>
      <c r="F47" s="38"/>
      <c r="G47" s="35" t="s">
        <v>511</v>
      </c>
      <c r="H47" s="27"/>
      <c r="I47" s="27"/>
      <c r="J47" s="27"/>
      <c r="K47" s="27"/>
      <c r="L47" s="27"/>
      <c r="M47" s="27"/>
      <c r="N47" s="27"/>
      <c r="O47" s="27"/>
      <c r="P47" s="27"/>
      <c r="Q47" s="27"/>
      <c r="R47" s="27"/>
    </row>
    <row r="48" spans="1:18" x14ac:dyDescent="0.2">
      <c r="A48" s="27"/>
      <c r="B48" s="35">
        <v>9</v>
      </c>
      <c r="C48" s="36" t="s">
        <v>241</v>
      </c>
      <c r="D48" s="37">
        <v>0.5</v>
      </c>
      <c r="E48" s="38" t="s">
        <v>242</v>
      </c>
      <c r="F48" s="38"/>
      <c r="G48" s="35" t="s">
        <v>511</v>
      </c>
      <c r="H48" s="27"/>
      <c r="I48" s="27"/>
      <c r="J48" s="27"/>
      <c r="K48" s="27"/>
      <c r="L48" s="27"/>
      <c r="M48" s="27"/>
      <c r="N48" s="27"/>
      <c r="O48" s="27"/>
      <c r="P48" s="27"/>
      <c r="Q48" s="27"/>
      <c r="R48" s="27"/>
    </row>
    <row r="49" spans="1:18" x14ac:dyDescent="0.2">
      <c r="A49" s="27"/>
      <c r="B49" s="35">
        <v>9</v>
      </c>
      <c r="C49" s="36" t="s">
        <v>234</v>
      </c>
      <c r="D49" s="37">
        <v>0.5</v>
      </c>
      <c r="E49" s="38" t="s">
        <v>235</v>
      </c>
      <c r="F49" s="38"/>
      <c r="G49" s="35" t="s">
        <v>511</v>
      </c>
      <c r="H49" s="27"/>
      <c r="I49" s="27"/>
      <c r="J49" s="27"/>
      <c r="K49" s="27"/>
      <c r="L49" s="27"/>
      <c r="M49" s="27"/>
      <c r="N49" s="27"/>
      <c r="O49" s="27"/>
      <c r="P49" s="27"/>
      <c r="Q49" s="27"/>
      <c r="R49" s="27"/>
    </row>
    <row r="50" spans="1:18" x14ac:dyDescent="0.2">
      <c r="A50" s="27"/>
      <c r="B50" s="35">
        <v>9</v>
      </c>
      <c r="C50" s="36" t="s">
        <v>237</v>
      </c>
      <c r="D50" s="37">
        <v>0.25</v>
      </c>
      <c r="E50" s="38" t="s">
        <v>238</v>
      </c>
      <c r="F50" s="38"/>
      <c r="G50" s="35" t="s">
        <v>511</v>
      </c>
      <c r="H50" s="27"/>
      <c r="I50" s="27"/>
      <c r="J50" s="27"/>
      <c r="K50" s="27"/>
      <c r="L50" s="27"/>
      <c r="M50" s="27"/>
      <c r="N50" s="27"/>
      <c r="O50" s="27"/>
      <c r="P50" s="27"/>
      <c r="Q50" s="27"/>
      <c r="R50" s="27"/>
    </row>
    <row r="51" spans="1:18" x14ac:dyDescent="0.2">
      <c r="A51" s="27"/>
      <c r="B51" s="35">
        <v>9</v>
      </c>
      <c r="C51" s="36" t="s">
        <v>227</v>
      </c>
      <c r="D51" s="37">
        <v>0.25</v>
      </c>
      <c r="E51" s="38" t="s">
        <v>229</v>
      </c>
      <c r="F51" s="38"/>
      <c r="G51" s="35" t="s">
        <v>511</v>
      </c>
      <c r="H51" s="27"/>
      <c r="I51" s="27"/>
      <c r="J51" s="27"/>
      <c r="K51" s="27"/>
      <c r="L51" s="27"/>
      <c r="M51" s="27"/>
      <c r="N51" s="27"/>
      <c r="O51" s="27"/>
      <c r="P51" s="27"/>
      <c r="Q51" s="27"/>
      <c r="R51" s="27"/>
    </row>
    <row r="52" spans="1:18" x14ac:dyDescent="0.2">
      <c r="A52" s="27"/>
      <c r="B52" s="35">
        <v>9</v>
      </c>
      <c r="C52" s="36" t="s">
        <v>231</v>
      </c>
      <c r="D52" s="37">
        <v>0.5</v>
      </c>
      <c r="E52" s="38" t="s">
        <v>239</v>
      </c>
      <c r="F52" s="38"/>
      <c r="G52" s="35" t="s">
        <v>511</v>
      </c>
      <c r="H52" s="27"/>
      <c r="I52" s="27"/>
      <c r="J52" s="27"/>
      <c r="K52" s="27"/>
      <c r="L52" s="27"/>
      <c r="M52" s="27"/>
      <c r="N52" s="27"/>
      <c r="O52" s="27"/>
      <c r="P52" s="27"/>
      <c r="Q52" s="27"/>
      <c r="R52" s="27"/>
    </row>
    <row r="53" spans="1:18" x14ac:dyDescent="0.2">
      <c r="A53" s="27"/>
      <c r="B53" s="35">
        <v>10</v>
      </c>
      <c r="C53" s="36" t="s">
        <v>8</v>
      </c>
      <c r="D53" s="37">
        <v>0.25</v>
      </c>
      <c r="E53" s="38" t="s">
        <v>11</v>
      </c>
      <c r="F53" s="38"/>
      <c r="G53" s="35" t="s">
        <v>511</v>
      </c>
      <c r="H53" s="27"/>
      <c r="I53" s="27"/>
      <c r="J53" s="27"/>
      <c r="K53" s="27"/>
      <c r="L53" s="27"/>
      <c r="M53" s="27"/>
      <c r="N53" s="27"/>
      <c r="O53" s="27"/>
      <c r="P53" s="27"/>
      <c r="Q53" s="27"/>
      <c r="R53" s="27"/>
    </row>
    <row r="54" spans="1:18" x14ac:dyDescent="0.2">
      <c r="A54" s="27"/>
      <c r="B54" s="35">
        <v>10</v>
      </c>
      <c r="C54" s="36" t="s">
        <v>16</v>
      </c>
      <c r="D54" s="37">
        <v>0.5</v>
      </c>
      <c r="E54" s="38" t="s">
        <v>17</v>
      </c>
      <c r="F54" s="38"/>
      <c r="G54" s="35" t="s">
        <v>511</v>
      </c>
      <c r="H54" s="27"/>
      <c r="I54" s="27"/>
      <c r="J54" s="27"/>
      <c r="K54" s="27"/>
      <c r="L54" s="27"/>
      <c r="M54" s="27"/>
      <c r="N54" s="27"/>
      <c r="O54" s="27"/>
      <c r="P54" s="27"/>
      <c r="Q54" s="27"/>
      <c r="R54" s="27"/>
    </row>
    <row r="55" spans="1:18" x14ac:dyDescent="0.2">
      <c r="A55" s="27"/>
      <c r="B55" s="35">
        <v>10</v>
      </c>
      <c r="C55" s="36" t="s">
        <v>22</v>
      </c>
      <c r="D55" s="37">
        <v>0.5</v>
      </c>
      <c r="E55" s="38" t="s">
        <v>23</v>
      </c>
      <c r="F55" s="38"/>
      <c r="G55" s="35" t="s">
        <v>511</v>
      </c>
      <c r="H55" s="27"/>
      <c r="I55" s="27"/>
      <c r="J55" s="27"/>
      <c r="K55" s="27"/>
      <c r="L55" s="27"/>
      <c r="M55" s="27"/>
      <c r="N55" s="27"/>
      <c r="O55" s="27"/>
      <c r="P55" s="27"/>
      <c r="Q55" s="27"/>
      <c r="R55" s="27"/>
    </row>
    <row r="56" spans="1:18" x14ac:dyDescent="0.2">
      <c r="A56" s="27"/>
      <c r="B56" s="35">
        <v>10</v>
      </c>
      <c r="C56" s="36" t="s">
        <v>19</v>
      </c>
      <c r="D56" s="37">
        <v>0.75</v>
      </c>
      <c r="E56" s="38" t="s">
        <v>20</v>
      </c>
      <c r="F56" s="38"/>
      <c r="G56" s="35" t="s">
        <v>511</v>
      </c>
      <c r="H56" s="27"/>
      <c r="I56" s="27"/>
      <c r="J56" s="27"/>
      <c r="K56" s="27"/>
      <c r="L56" s="27"/>
      <c r="M56" s="27"/>
      <c r="N56" s="27"/>
      <c r="O56" s="27"/>
      <c r="P56" s="27"/>
      <c r="Q56" s="27"/>
      <c r="R56" s="27"/>
    </row>
    <row r="57" spans="1:18" x14ac:dyDescent="0.2">
      <c r="A57" s="27"/>
      <c r="B57" s="35">
        <v>10</v>
      </c>
      <c r="C57" s="36" t="s">
        <v>13</v>
      </c>
      <c r="D57" s="37">
        <v>0.25</v>
      </c>
      <c r="E57" s="38" t="s">
        <v>14</v>
      </c>
      <c r="F57" s="38"/>
      <c r="G57" s="35" t="s">
        <v>511</v>
      </c>
      <c r="H57" s="27"/>
      <c r="I57" s="27"/>
      <c r="J57" s="27"/>
      <c r="K57" s="27"/>
      <c r="L57" s="27"/>
      <c r="M57" s="27"/>
      <c r="N57" s="27"/>
      <c r="O57" s="27"/>
      <c r="P57" s="27"/>
      <c r="Q57" s="27"/>
      <c r="R57" s="27"/>
    </row>
    <row r="58" spans="1:18" x14ac:dyDescent="0.2">
      <c r="A58" s="27"/>
      <c r="B58" s="35">
        <v>11</v>
      </c>
      <c r="C58" s="36" t="s">
        <v>39</v>
      </c>
      <c r="D58" s="37">
        <v>0.15</v>
      </c>
      <c r="E58" s="38" t="s">
        <v>40</v>
      </c>
      <c r="F58" s="38" t="s">
        <v>518</v>
      </c>
      <c r="G58" s="35" t="s">
        <v>515</v>
      </c>
      <c r="H58" s="27"/>
      <c r="I58" s="27"/>
      <c r="J58" s="27"/>
      <c r="K58" s="27"/>
      <c r="L58" s="27"/>
      <c r="M58" s="27"/>
      <c r="N58" s="27"/>
      <c r="O58" s="27"/>
      <c r="P58" s="27"/>
      <c r="Q58" s="27"/>
      <c r="R58" s="27"/>
    </row>
    <row r="59" spans="1:18" x14ac:dyDescent="0.2">
      <c r="A59" s="27"/>
      <c r="B59" s="35">
        <v>11</v>
      </c>
      <c r="C59" s="36" t="s">
        <v>29</v>
      </c>
      <c r="D59" s="37">
        <v>0.5</v>
      </c>
      <c r="E59" s="38" t="s">
        <v>30</v>
      </c>
      <c r="F59" s="38"/>
      <c r="G59" s="35" t="s">
        <v>511</v>
      </c>
      <c r="H59" s="27"/>
      <c r="I59" s="27"/>
      <c r="J59" s="27"/>
      <c r="K59" s="27"/>
      <c r="L59" s="27"/>
      <c r="M59" s="27"/>
      <c r="N59" s="27"/>
      <c r="O59" s="27"/>
      <c r="P59" s="27"/>
      <c r="Q59" s="27"/>
      <c r="R59" s="27"/>
    </row>
    <row r="60" spans="1:18" x14ac:dyDescent="0.2">
      <c r="A60" s="27"/>
      <c r="B60" s="35">
        <v>11</v>
      </c>
      <c r="C60" s="36" t="s">
        <v>32</v>
      </c>
      <c r="D60" s="37">
        <v>0.25</v>
      </c>
      <c r="E60" s="38" t="s">
        <v>33</v>
      </c>
      <c r="F60" s="38" t="s">
        <v>519</v>
      </c>
      <c r="G60" s="35" t="s">
        <v>515</v>
      </c>
      <c r="H60" s="27"/>
      <c r="I60" s="27"/>
      <c r="J60" s="27"/>
      <c r="K60" s="27"/>
      <c r="L60" s="27"/>
      <c r="M60" s="27"/>
      <c r="N60" s="27"/>
      <c r="O60" s="27"/>
      <c r="P60" s="27"/>
      <c r="Q60" s="27"/>
      <c r="R60" s="27"/>
    </row>
    <row r="61" spans="1:18" x14ac:dyDescent="0.2">
      <c r="A61" s="27"/>
      <c r="B61" s="35">
        <v>11</v>
      </c>
      <c r="C61" s="36" t="s">
        <v>35</v>
      </c>
      <c r="D61" s="37" t="s">
        <v>36</v>
      </c>
      <c r="E61" s="38" t="s">
        <v>37</v>
      </c>
      <c r="F61" s="38"/>
      <c r="G61" s="35" t="s">
        <v>511</v>
      </c>
      <c r="H61" s="27"/>
      <c r="I61" s="27"/>
      <c r="J61" s="27"/>
      <c r="K61" s="27"/>
      <c r="L61" s="27"/>
      <c r="M61" s="27"/>
      <c r="N61" s="27"/>
      <c r="O61" s="27"/>
      <c r="P61" s="27"/>
      <c r="Q61" s="27"/>
      <c r="R61" s="27"/>
    </row>
    <row r="62" spans="1:18" x14ac:dyDescent="0.2">
      <c r="A62" s="27"/>
      <c r="B62" s="35">
        <v>11</v>
      </c>
      <c r="C62" s="36" t="s">
        <v>25</v>
      </c>
      <c r="D62" s="37">
        <v>0.25</v>
      </c>
      <c r="E62" s="38" t="s">
        <v>27</v>
      </c>
      <c r="F62" s="38"/>
      <c r="G62" s="35" t="s">
        <v>511</v>
      </c>
      <c r="H62" s="27"/>
      <c r="I62" s="27"/>
      <c r="J62" s="27"/>
      <c r="K62" s="27"/>
      <c r="L62" s="27"/>
      <c r="M62" s="27"/>
      <c r="N62" s="27"/>
      <c r="O62" s="27"/>
      <c r="P62" s="27"/>
      <c r="Q62" s="27"/>
      <c r="R62" s="27"/>
    </row>
    <row r="63" spans="1:18" x14ac:dyDescent="0.2">
      <c r="A63" s="27"/>
      <c r="B63" s="35">
        <v>11</v>
      </c>
      <c r="C63" s="36" t="s">
        <v>42</v>
      </c>
      <c r="D63" s="37">
        <v>0.5</v>
      </c>
      <c r="E63" s="38" t="s">
        <v>43</v>
      </c>
      <c r="F63" s="38"/>
      <c r="G63" s="35" t="s">
        <v>511</v>
      </c>
      <c r="H63" s="27"/>
      <c r="I63" s="27"/>
      <c r="J63" s="27"/>
      <c r="K63" s="27"/>
      <c r="L63" s="27"/>
      <c r="M63" s="27"/>
      <c r="N63" s="27"/>
      <c r="O63" s="27"/>
      <c r="P63" s="27"/>
      <c r="Q63" s="27"/>
      <c r="R63" s="27"/>
    </row>
    <row r="64" spans="1:18" x14ac:dyDescent="0.2">
      <c r="A64" s="27"/>
      <c r="B64" s="35">
        <v>12</v>
      </c>
      <c r="C64" s="36" t="s">
        <v>53</v>
      </c>
      <c r="D64" s="37">
        <v>0.25</v>
      </c>
      <c r="E64" s="38" t="s">
        <v>54</v>
      </c>
      <c r="F64" s="38" t="s">
        <v>520</v>
      </c>
      <c r="G64" s="35" t="s">
        <v>513</v>
      </c>
      <c r="H64" s="27"/>
      <c r="I64" s="27"/>
      <c r="J64" s="27"/>
      <c r="K64" s="27"/>
      <c r="L64" s="27"/>
      <c r="M64" s="27"/>
      <c r="N64" s="27"/>
      <c r="O64" s="27"/>
      <c r="P64" s="27"/>
      <c r="Q64" s="27"/>
      <c r="R64" s="27"/>
    </row>
    <row r="65" spans="1:18" x14ac:dyDescent="0.2">
      <c r="A65" s="27"/>
      <c r="B65" s="35">
        <v>12</v>
      </c>
      <c r="C65" s="36" t="s">
        <v>56</v>
      </c>
      <c r="D65" s="37">
        <v>0.25</v>
      </c>
      <c r="E65" s="38" t="s">
        <v>57</v>
      </c>
      <c r="F65" s="38"/>
      <c r="G65" s="35" t="s">
        <v>513</v>
      </c>
      <c r="H65" s="27"/>
      <c r="I65" s="27"/>
      <c r="J65" s="27"/>
      <c r="K65" s="27"/>
      <c r="L65" s="27"/>
      <c r="M65" s="27"/>
      <c r="N65" s="27"/>
      <c r="O65" s="27"/>
      <c r="P65" s="27"/>
      <c r="Q65" s="27"/>
      <c r="R65" s="27"/>
    </row>
    <row r="66" spans="1:18" x14ac:dyDescent="0.2">
      <c r="A66" s="27"/>
      <c r="B66" s="35">
        <v>12</v>
      </c>
      <c r="C66" s="36" t="s">
        <v>45</v>
      </c>
      <c r="D66" s="37">
        <v>0.5</v>
      </c>
      <c r="E66" s="38" t="s">
        <v>47</v>
      </c>
      <c r="F66" s="38"/>
      <c r="G66" s="35" t="s">
        <v>511</v>
      </c>
      <c r="H66" s="27"/>
      <c r="I66" s="27"/>
      <c r="J66" s="27"/>
      <c r="K66" s="27"/>
      <c r="L66" s="27"/>
      <c r="M66" s="27"/>
      <c r="N66" s="27"/>
      <c r="O66" s="27"/>
      <c r="P66" s="27"/>
      <c r="Q66" s="27"/>
      <c r="R66" s="27"/>
    </row>
    <row r="67" spans="1:18" x14ac:dyDescent="0.2">
      <c r="A67" s="27"/>
      <c r="B67" s="35">
        <v>12</v>
      </c>
      <c r="C67" s="36" t="s">
        <v>49</v>
      </c>
      <c r="D67" s="37" t="s">
        <v>50</v>
      </c>
      <c r="E67" s="38" t="s">
        <v>51</v>
      </c>
      <c r="F67" s="38" t="s">
        <v>521</v>
      </c>
      <c r="G67" s="35" t="s">
        <v>511</v>
      </c>
      <c r="H67" s="27"/>
      <c r="I67" s="27"/>
      <c r="J67" s="27"/>
      <c r="K67" s="27"/>
      <c r="L67" s="27"/>
      <c r="M67" s="27"/>
      <c r="N67" s="27"/>
      <c r="O67" s="27"/>
      <c r="P67" s="27"/>
      <c r="Q67" s="27"/>
      <c r="R67" s="27"/>
    </row>
    <row r="68" spans="1:18" x14ac:dyDescent="0.2">
      <c r="A68" s="27"/>
      <c r="B68" s="35">
        <v>12</v>
      </c>
      <c r="C68" s="36" t="s">
        <v>522</v>
      </c>
      <c r="D68" s="37" t="s">
        <v>516</v>
      </c>
      <c r="E68" s="38" t="s">
        <v>516</v>
      </c>
      <c r="F68" s="38"/>
      <c r="G68" s="35" t="s">
        <v>511</v>
      </c>
      <c r="H68" s="27"/>
      <c r="I68" s="27"/>
      <c r="J68" s="27"/>
      <c r="K68" s="27"/>
      <c r="L68" s="27"/>
      <c r="M68" s="27"/>
      <c r="N68" s="27"/>
      <c r="O68" s="27"/>
      <c r="P68" s="27"/>
      <c r="Q68" s="27"/>
      <c r="R68" s="27"/>
    </row>
    <row r="69" spans="1:18" x14ac:dyDescent="0.2">
      <c r="A69" s="27"/>
      <c r="B69" s="35">
        <v>13</v>
      </c>
      <c r="C69" s="36" t="s">
        <v>72</v>
      </c>
      <c r="D69" s="37">
        <v>0.25</v>
      </c>
      <c r="E69" s="38" t="s">
        <v>73</v>
      </c>
      <c r="F69" s="38"/>
      <c r="G69" s="35" t="s">
        <v>511</v>
      </c>
      <c r="H69" s="27"/>
      <c r="I69" s="27"/>
      <c r="J69" s="27"/>
      <c r="K69" s="27"/>
      <c r="L69" s="27"/>
      <c r="M69" s="27"/>
      <c r="N69" s="27"/>
      <c r="O69" s="27"/>
      <c r="P69" s="27"/>
      <c r="Q69" s="27"/>
      <c r="R69" s="27"/>
    </row>
    <row r="70" spans="1:18" x14ac:dyDescent="0.2">
      <c r="A70" s="27"/>
      <c r="B70" s="35">
        <v>13</v>
      </c>
      <c r="C70" s="36" t="s">
        <v>59</v>
      </c>
      <c r="D70" s="37">
        <v>0.5</v>
      </c>
      <c r="E70" s="38" t="s">
        <v>61</v>
      </c>
      <c r="F70" s="38"/>
      <c r="G70" s="35" t="s">
        <v>511</v>
      </c>
      <c r="H70" s="27"/>
      <c r="I70" s="27"/>
      <c r="J70" s="27"/>
      <c r="K70" s="27"/>
      <c r="L70" s="27"/>
      <c r="M70" s="27"/>
      <c r="N70" s="27"/>
      <c r="O70" s="27"/>
      <c r="P70" s="27"/>
      <c r="Q70" s="27"/>
      <c r="R70" s="27"/>
    </row>
    <row r="71" spans="1:18" x14ac:dyDescent="0.2">
      <c r="A71" s="27"/>
      <c r="B71" s="35">
        <v>13</v>
      </c>
      <c r="C71" s="36" t="s">
        <v>66</v>
      </c>
      <c r="D71" s="37">
        <v>0.25</v>
      </c>
      <c r="E71" s="38" t="s">
        <v>67</v>
      </c>
      <c r="F71" s="38"/>
      <c r="G71" s="35" t="s">
        <v>511</v>
      </c>
      <c r="H71" s="27"/>
      <c r="I71" s="27"/>
      <c r="J71" s="27"/>
      <c r="K71" s="27"/>
      <c r="L71" s="27"/>
      <c r="M71" s="27"/>
      <c r="N71" s="27"/>
      <c r="O71" s="27"/>
      <c r="P71" s="27"/>
      <c r="Q71" s="27"/>
      <c r="R71" s="27"/>
    </row>
    <row r="72" spans="1:18" x14ac:dyDescent="0.2">
      <c r="A72" s="27"/>
      <c r="B72" s="35">
        <v>13</v>
      </c>
      <c r="C72" s="36" t="s">
        <v>69</v>
      </c>
      <c r="D72" s="37">
        <v>0.25</v>
      </c>
      <c r="E72" s="38" t="s">
        <v>70</v>
      </c>
      <c r="F72" s="38" t="s">
        <v>523</v>
      </c>
      <c r="G72" s="35" t="s">
        <v>513</v>
      </c>
      <c r="H72" s="27"/>
      <c r="I72" s="27"/>
      <c r="J72" s="27"/>
      <c r="K72" s="27"/>
      <c r="L72" s="27"/>
      <c r="M72" s="27"/>
      <c r="N72" s="27"/>
      <c r="O72" s="27"/>
      <c r="P72" s="27"/>
      <c r="Q72" s="27"/>
      <c r="R72" s="27"/>
    </row>
    <row r="73" spans="1:18" x14ac:dyDescent="0.2">
      <c r="A73" s="27"/>
      <c r="B73" s="35">
        <v>13</v>
      </c>
      <c r="C73" s="36" t="s">
        <v>63</v>
      </c>
      <c r="D73" s="37">
        <v>0.5</v>
      </c>
      <c r="E73" s="38" t="s">
        <v>64</v>
      </c>
      <c r="F73" s="38"/>
      <c r="G73" s="35" t="s">
        <v>511</v>
      </c>
      <c r="H73" s="27"/>
      <c r="I73" s="27"/>
      <c r="J73" s="27"/>
      <c r="K73" s="27"/>
      <c r="L73" s="27"/>
      <c r="M73" s="27"/>
      <c r="N73" s="27"/>
      <c r="O73" s="27"/>
      <c r="P73" s="27"/>
      <c r="Q73" s="27"/>
      <c r="R73" s="27"/>
    </row>
    <row r="74" spans="1:18" x14ac:dyDescent="0.2">
      <c r="A74" s="27"/>
      <c r="B74" s="35">
        <v>14</v>
      </c>
      <c r="C74" s="36" t="s">
        <v>83</v>
      </c>
      <c r="D74" s="37">
        <v>1</v>
      </c>
      <c r="E74" s="38" t="s">
        <v>84</v>
      </c>
      <c r="F74" s="38" t="s">
        <v>524</v>
      </c>
      <c r="G74" s="35" t="s">
        <v>511</v>
      </c>
      <c r="H74" s="27"/>
      <c r="I74" s="27"/>
      <c r="J74" s="27"/>
      <c r="K74" s="27"/>
      <c r="L74" s="27"/>
      <c r="M74" s="27"/>
      <c r="N74" s="27"/>
      <c r="O74" s="27"/>
      <c r="P74" s="27"/>
      <c r="Q74" s="27"/>
      <c r="R74" s="27"/>
    </row>
    <row r="75" spans="1:18" x14ac:dyDescent="0.2">
      <c r="A75" s="27"/>
      <c r="B75" s="35">
        <v>14</v>
      </c>
      <c r="C75" s="36" t="s">
        <v>269</v>
      </c>
      <c r="D75" s="37" t="s">
        <v>516</v>
      </c>
      <c r="E75" s="38" t="s">
        <v>516</v>
      </c>
      <c r="F75" s="38"/>
      <c r="G75" s="35" t="s">
        <v>511</v>
      </c>
      <c r="H75" s="27"/>
      <c r="I75" s="27"/>
      <c r="J75" s="27"/>
      <c r="K75" s="27"/>
      <c r="L75" s="27"/>
      <c r="M75" s="27"/>
      <c r="N75" s="27"/>
      <c r="O75" s="27"/>
      <c r="P75" s="27"/>
      <c r="Q75" s="27"/>
      <c r="R75" s="27"/>
    </row>
    <row r="76" spans="1:18" x14ac:dyDescent="0.2">
      <c r="A76" s="27"/>
      <c r="B76" s="35">
        <v>14</v>
      </c>
      <c r="C76" s="36" t="s">
        <v>75</v>
      </c>
      <c r="D76" s="37">
        <v>0.5</v>
      </c>
      <c r="E76" s="38" t="s">
        <v>77</v>
      </c>
      <c r="F76" s="38"/>
      <c r="G76" s="35" t="s">
        <v>511</v>
      </c>
      <c r="H76" s="27"/>
      <c r="I76" s="27"/>
      <c r="J76" s="27"/>
      <c r="K76" s="27"/>
      <c r="L76" s="27"/>
      <c r="M76" s="27"/>
      <c r="N76" s="27"/>
      <c r="O76" s="27"/>
      <c r="P76" s="27"/>
      <c r="Q76" s="27"/>
      <c r="R76" s="27"/>
    </row>
    <row r="77" spans="1:18" x14ac:dyDescent="0.2">
      <c r="A77" s="27"/>
      <c r="B77" s="35">
        <v>14</v>
      </c>
      <c r="C77" s="36" t="s">
        <v>79</v>
      </c>
      <c r="D77" s="37" t="s">
        <v>80</v>
      </c>
      <c r="E77" s="38" t="s">
        <v>81</v>
      </c>
      <c r="F77" s="38"/>
      <c r="G77" s="35" t="s">
        <v>511</v>
      </c>
      <c r="H77" s="27"/>
      <c r="I77" s="27"/>
      <c r="J77" s="27"/>
      <c r="K77" s="27"/>
      <c r="L77" s="27"/>
      <c r="M77" s="27"/>
      <c r="N77" s="27"/>
      <c r="O77" s="27"/>
      <c r="P77" s="27"/>
      <c r="Q77" s="27"/>
      <c r="R77" s="27"/>
    </row>
    <row r="78" spans="1:18" x14ac:dyDescent="0.2">
      <c r="A78" s="27"/>
      <c r="B78" s="35">
        <v>14</v>
      </c>
      <c r="C78" s="36" t="s">
        <v>256</v>
      </c>
      <c r="D78" s="37">
        <v>0.5</v>
      </c>
      <c r="E78" s="38" t="s">
        <v>257</v>
      </c>
      <c r="F78" s="38"/>
      <c r="G78" s="35" t="s">
        <v>511</v>
      </c>
      <c r="H78" s="27"/>
      <c r="I78" s="27"/>
      <c r="J78" s="27"/>
      <c r="K78" s="27"/>
      <c r="L78" s="27"/>
      <c r="M78" s="27"/>
      <c r="N78" s="27"/>
      <c r="O78" s="27"/>
      <c r="P78" s="27"/>
      <c r="Q78" s="27"/>
      <c r="R78" s="27"/>
    </row>
    <row r="79" spans="1:18" x14ac:dyDescent="0.2">
      <c r="A79" s="27"/>
      <c r="B79" s="35">
        <v>15</v>
      </c>
      <c r="C79" s="36" t="s">
        <v>91</v>
      </c>
      <c r="D79" s="37">
        <v>0.25</v>
      </c>
      <c r="E79" s="38" t="s">
        <v>92</v>
      </c>
      <c r="F79" s="38"/>
      <c r="G79" s="35" t="s">
        <v>511</v>
      </c>
      <c r="H79" s="27"/>
      <c r="I79" s="27"/>
      <c r="J79" s="27"/>
      <c r="K79" s="27"/>
      <c r="L79" s="27"/>
      <c r="M79" s="27"/>
      <c r="N79" s="27"/>
      <c r="O79" s="27"/>
      <c r="P79" s="27"/>
      <c r="Q79" s="27"/>
      <c r="R79" s="27"/>
    </row>
    <row r="80" spans="1:18" x14ac:dyDescent="0.2">
      <c r="A80" s="27"/>
      <c r="B80" s="35">
        <v>15</v>
      </c>
      <c r="C80" s="36" t="s">
        <v>94</v>
      </c>
      <c r="D80" s="37">
        <v>0.25</v>
      </c>
      <c r="E80" s="38" t="s">
        <v>95</v>
      </c>
      <c r="F80" s="38"/>
      <c r="G80" s="35" t="s">
        <v>511</v>
      </c>
      <c r="H80" s="27"/>
      <c r="I80" s="27"/>
      <c r="J80" s="27"/>
      <c r="K80" s="27"/>
      <c r="L80" s="27"/>
      <c r="M80" s="27"/>
      <c r="N80" s="27"/>
      <c r="O80" s="27"/>
      <c r="P80" s="27"/>
      <c r="Q80" s="27"/>
      <c r="R80" s="27"/>
    </row>
    <row r="81" spans="1:18" x14ac:dyDescent="0.2">
      <c r="A81" s="27"/>
      <c r="B81" s="35">
        <v>15</v>
      </c>
      <c r="C81" s="36" t="s">
        <v>100</v>
      </c>
      <c r="D81" s="37">
        <v>0.5</v>
      </c>
      <c r="E81" s="38" t="s">
        <v>101</v>
      </c>
      <c r="F81" s="38"/>
      <c r="G81" s="35" t="s">
        <v>511</v>
      </c>
      <c r="H81" s="27"/>
      <c r="I81" s="27"/>
      <c r="J81" s="27"/>
      <c r="K81" s="27"/>
      <c r="L81" s="27"/>
      <c r="M81" s="27"/>
      <c r="N81" s="27"/>
      <c r="O81" s="27"/>
      <c r="P81" s="27"/>
      <c r="Q81" s="27"/>
      <c r="R81" s="27"/>
    </row>
    <row r="82" spans="1:18" x14ac:dyDescent="0.2">
      <c r="A82" s="27"/>
      <c r="B82" s="35">
        <v>15</v>
      </c>
      <c r="C82" s="36" t="s">
        <v>86</v>
      </c>
      <c r="D82" s="37" t="s">
        <v>88</v>
      </c>
      <c r="E82" s="38" t="s">
        <v>89</v>
      </c>
      <c r="F82" s="38"/>
      <c r="G82" s="35" t="s">
        <v>511</v>
      </c>
      <c r="H82" s="27"/>
      <c r="I82" s="27"/>
      <c r="J82" s="27"/>
      <c r="K82" s="27"/>
      <c r="L82" s="27"/>
      <c r="M82" s="27"/>
      <c r="N82" s="27"/>
      <c r="O82" s="27"/>
      <c r="P82" s="27"/>
      <c r="Q82" s="27"/>
      <c r="R82" s="27"/>
    </row>
    <row r="83" spans="1:18" x14ac:dyDescent="0.2">
      <c r="A83" s="27"/>
      <c r="B83" s="35">
        <v>15</v>
      </c>
      <c r="C83" s="36" t="s">
        <v>97</v>
      </c>
      <c r="D83" s="37">
        <v>0.25</v>
      </c>
      <c r="E83" s="38" t="s">
        <v>98</v>
      </c>
      <c r="F83" s="38"/>
      <c r="G83" s="35" t="s">
        <v>511</v>
      </c>
      <c r="H83" s="27"/>
      <c r="I83" s="27"/>
      <c r="J83" s="27"/>
      <c r="K83" s="27"/>
      <c r="L83" s="27"/>
      <c r="M83" s="27"/>
      <c r="N83" s="27"/>
      <c r="O83" s="27"/>
      <c r="P83" s="27"/>
      <c r="Q83" s="27"/>
      <c r="R83" s="27"/>
    </row>
    <row r="84" spans="1:18" x14ac:dyDescent="0.2">
      <c r="A84" s="27"/>
      <c r="B84" s="27"/>
      <c r="C84" s="27"/>
      <c r="D84" s="28" t="s">
        <v>516</v>
      </c>
      <c r="E84" s="29" t="s">
        <v>516</v>
      </c>
      <c r="F84" s="29"/>
      <c r="G84" s="27"/>
      <c r="H84" s="27"/>
      <c r="I84" s="27"/>
      <c r="J84" s="27"/>
      <c r="K84" s="27"/>
      <c r="L84" s="27"/>
      <c r="M84" s="27"/>
      <c r="N84" s="27"/>
      <c r="O84" s="27"/>
      <c r="P84" s="27"/>
      <c r="Q84" s="27"/>
      <c r="R84" s="27"/>
    </row>
  </sheetData>
  <phoneticPr fontId="6" type="noConversion"/>
  <conditionalFormatting sqref="B5:G83">
    <cfRule type="expression" dxfId="16" priority="5">
      <formula>MOD($B5,2)&gt;0</formula>
    </cfRule>
  </conditionalFormatting>
  <conditionalFormatting sqref="C5:C83">
    <cfRule type="expression" dxfId="15" priority="1">
      <formula>$D5 = ""</formula>
    </cfRule>
  </conditionalFormatting>
  <conditionalFormatting sqref="E5:F83">
    <cfRule type="expression" dxfId="14" priority="2">
      <formula>($G5="비상")</formula>
    </cfRule>
    <cfRule type="expression" dxfId="13" priority="3">
      <formula>($G5="주의")</formula>
    </cfRule>
    <cfRule type="expression" dxfId="12" priority="4">
      <formula>($G5="양호")</formula>
    </cfRule>
  </conditionalFormatting>
  <dataValidations count="1">
    <dataValidation type="list" allowBlank="1" showErrorMessage="1" sqref="G5:G83" xr:uid="{00000000-0002-0000-0200-000000000000}">
      <formula1>"대기,양호,주의,비상"</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84"/>
  <sheetViews>
    <sheetView showGridLines="0" workbookViewId="0"/>
  </sheetViews>
  <sheetFormatPr defaultColWidth="12.5703125" defaultRowHeight="15.75" customHeight="1" x14ac:dyDescent="0.2"/>
  <cols>
    <col min="1" max="1" width="1.7109375" customWidth="1"/>
    <col min="2" max="2" width="6.28515625" customWidth="1"/>
    <col min="4" max="4" width="20" customWidth="1"/>
    <col min="5" max="5" width="123.42578125" customWidth="1"/>
    <col min="6" max="6" width="47.85546875" customWidth="1"/>
  </cols>
  <sheetData>
    <row r="1" spans="1:18" x14ac:dyDescent="0.2">
      <c r="A1" s="27"/>
      <c r="B1" s="27"/>
      <c r="C1" s="27"/>
      <c r="D1" s="28"/>
      <c r="E1" s="29"/>
      <c r="F1" s="29"/>
      <c r="G1" s="27"/>
      <c r="H1" s="27"/>
      <c r="I1" s="27"/>
      <c r="J1" s="27"/>
      <c r="K1" s="27"/>
      <c r="L1" s="27"/>
      <c r="M1" s="27"/>
      <c r="N1" s="27"/>
      <c r="O1" s="27"/>
      <c r="P1" s="27"/>
      <c r="Q1" s="27"/>
      <c r="R1" s="27"/>
    </row>
    <row r="2" spans="1:18" x14ac:dyDescent="0.2">
      <c r="A2" s="27"/>
      <c r="B2" s="30" t="s">
        <v>505</v>
      </c>
      <c r="C2" s="31">
        <v>46043</v>
      </c>
      <c r="D2" s="28"/>
      <c r="E2" s="29"/>
      <c r="F2" s="29"/>
      <c r="G2" s="27"/>
      <c r="H2" s="27"/>
      <c r="I2" s="27"/>
      <c r="J2" s="27"/>
      <c r="K2" s="27"/>
      <c r="L2" s="27"/>
      <c r="M2" s="27"/>
      <c r="N2" s="27"/>
      <c r="O2" s="27"/>
      <c r="P2" s="27"/>
      <c r="Q2" s="27"/>
      <c r="R2" s="27"/>
    </row>
    <row r="3" spans="1:18" x14ac:dyDescent="0.2">
      <c r="A3" s="27"/>
      <c r="B3" s="27"/>
      <c r="C3" s="27"/>
      <c r="D3" s="28"/>
      <c r="E3" s="29"/>
      <c r="F3" s="29"/>
      <c r="G3" s="27"/>
      <c r="H3" s="27"/>
      <c r="I3" s="27"/>
      <c r="J3" s="27"/>
      <c r="K3" s="27"/>
      <c r="L3" s="27"/>
      <c r="M3" s="27"/>
      <c r="N3" s="27"/>
      <c r="O3" s="27"/>
      <c r="P3" s="27"/>
      <c r="Q3" s="27"/>
      <c r="R3" s="27"/>
    </row>
    <row r="4" spans="1:18" x14ac:dyDescent="0.2">
      <c r="A4" s="27"/>
      <c r="B4" s="32" t="s">
        <v>499</v>
      </c>
      <c r="C4" s="32" t="s">
        <v>2</v>
      </c>
      <c r="D4" s="33" t="s">
        <v>506</v>
      </c>
      <c r="E4" s="34" t="s">
        <v>507</v>
      </c>
      <c r="F4" s="34" t="s">
        <v>508</v>
      </c>
      <c r="G4" s="32" t="s">
        <v>509</v>
      </c>
      <c r="H4" s="27"/>
      <c r="I4" s="27"/>
      <c r="J4" s="27"/>
      <c r="K4" s="27"/>
      <c r="L4" s="27"/>
      <c r="M4" s="27"/>
      <c r="N4" s="27"/>
      <c r="O4" s="27"/>
      <c r="P4" s="27"/>
      <c r="Q4" s="27"/>
      <c r="R4" s="27"/>
    </row>
    <row r="5" spans="1:18" x14ac:dyDescent="0.2">
      <c r="A5" s="27"/>
      <c r="B5" s="35">
        <v>1</v>
      </c>
      <c r="C5" s="36" t="s">
        <v>110</v>
      </c>
      <c r="D5" s="37">
        <v>1</v>
      </c>
      <c r="E5" s="38" t="s">
        <v>304</v>
      </c>
      <c r="F5" s="38"/>
      <c r="G5" s="35" t="s">
        <v>511</v>
      </c>
      <c r="H5" s="27"/>
      <c r="I5" s="27"/>
      <c r="J5" s="27"/>
      <c r="K5" s="27"/>
      <c r="L5" s="27"/>
      <c r="M5" s="27"/>
      <c r="N5" s="27"/>
      <c r="O5" s="27"/>
      <c r="P5" s="27"/>
      <c r="Q5" s="27"/>
      <c r="R5" s="27"/>
    </row>
    <row r="6" spans="1:18" x14ac:dyDescent="0.2">
      <c r="A6" s="27"/>
      <c r="B6" s="35">
        <v>1</v>
      </c>
      <c r="C6" s="36" t="s">
        <v>103</v>
      </c>
      <c r="D6" s="37">
        <v>0.5</v>
      </c>
      <c r="E6" s="38" t="s">
        <v>295</v>
      </c>
      <c r="F6" s="38"/>
      <c r="G6" s="35" t="s">
        <v>511</v>
      </c>
      <c r="H6" s="27"/>
      <c r="I6" s="27"/>
      <c r="J6" s="27"/>
      <c r="K6" s="27"/>
      <c r="L6" s="27"/>
      <c r="M6" s="27"/>
      <c r="N6" s="27"/>
      <c r="O6" s="27"/>
      <c r="P6" s="27"/>
      <c r="Q6" s="27"/>
      <c r="R6" s="27"/>
    </row>
    <row r="7" spans="1:18" x14ac:dyDescent="0.2">
      <c r="A7" s="27"/>
      <c r="B7" s="35">
        <v>1</v>
      </c>
      <c r="C7" s="36" t="s">
        <v>247</v>
      </c>
      <c r="D7" s="37">
        <v>0.5</v>
      </c>
      <c r="E7" s="38" t="s">
        <v>263</v>
      </c>
      <c r="F7" s="38"/>
      <c r="G7" s="35" t="s">
        <v>511</v>
      </c>
      <c r="H7" s="27"/>
      <c r="I7" s="27"/>
      <c r="J7" s="27"/>
      <c r="K7" s="27"/>
      <c r="L7" s="27"/>
      <c r="M7" s="27"/>
      <c r="N7" s="27"/>
      <c r="O7" s="27"/>
      <c r="P7" s="27"/>
      <c r="Q7" s="27"/>
      <c r="R7" s="27"/>
    </row>
    <row r="8" spans="1:18" x14ac:dyDescent="0.2">
      <c r="A8" s="27"/>
      <c r="B8" s="35">
        <v>1</v>
      </c>
      <c r="C8" s="36" t="s">
        <v>113</v>
      </c>
      <c r="D8" s="37">
        <v>0.5</v>
      </c>
      <c r="E8" s="38" t="s">
        <v>310</v>
      </c>
      <c r="F8" s="38"/>
      <c r="G8" s="35" t="s">
        <v>511</v>
      </c>
      <c r="H8" s="27"/>
      <c r="I8" s="27"/>
      <c r="J8" s="27"/>
      <c r="K8" s="27"/>
      <c r="L8" s="27"/>
      <c r="M8" s="27"/>
      <c r="N8" s="27"/>
      <c r="O8" s="27"/>
      <c r="P8" s="27"/>
      <c r="Q8" s="27"/>
      <c r="R8" s="27"/>
    </row>
    <row r="9" spans="1:18" x14ac:dyDescent="0.2">
      <c r="A9" s="27"/>
      <c r="B9" s="35">
        <v>1</v>
      </c>
      <c r="C9" s="36" t="s">
        <v>291</v>
      </c>
      <c r="D9" s="37" t="s">
        <v>516</v>
      </c>
      <c r="E9" s="38" t="s">
        <v>516</v>
      </c>
      <c r="F9" s="38"/>
      <c r="G9" s="35" t="s">
        <v>511</v>
      </c>
      <c r="H9" s="27"/>
      <c r="I9" s="27"/>
      <c r="J9" s="27"/>
      <c r="K9" s="27"/>
      <c r="L9" s="27"/>
      <c r="M9" s="27"/>
      <c r="N9" s="27"/>
      <c r="O9" s="27"/>
      <c r="P9" s="27"/>
      <c r="Q9" s="27"/>
      <c r="R9" s="27"/>
    </row>
    <row r="10" spans="1:18" x14ac:dyDescent="0.2">
      <c r="A10" s="27"/>
      <c r="B10" s="35">
        <v>1</v>
      </c>
      <c r="C10" s="36" t="s">
        <v>107</v>
      </c>
      <c r="D10" s="37">
        <v>0.5</v>
      </c>
      <c r="E10" s="38" t="s">
        <v>335</v>
      </c>
      <c r="F10" s="38"/>
      <c r="G10" s="35" t="s">
        <v>511</v>
      </c>
      <c r="H10" s="27"/>
      <c r="I10" s="27"/>
      <c r="J10" s="27"/>
      <c r="K10" s="27"/>
      <c r="L10" s="27"/>
      <c r="M10" s="27"/>
      <c r="N10" s="27"/>
      <c r="O10" s="27"/>
      <c r="P10" s="27"/>
      <c r="Q10" s="27"/>
      <c r="R10" s="27"/>
    </row>
    <row r="11" spans="1:18" x14ac:dyDescent="0.2">
      <c r="A11" s="27"/>
      <c r="B11" s="35">
        <v>2</v>
      </c>
      <c r="C11" s="36" t="s">
        <v>123</v>
      </c>
      <c r="D11" s="37">
        <v>0.15</v>
      </c>
      <c r="E11" s="38" t="s">
        <v>331</v>
      </c>
      <c r="F11" s="38" t="s">
        <v>525</v>
      </c>
      <c r="G11" s="35" t="s">
        <v>513</v>
      </c>
      <c r="H11" s="27"/>
      <c r="I11" s="27"/>
      <c r="J11" s="27"/>
      <c r="K11" s="27"/>
      <c r="L11" s="27"/>
      <c r="M11" s="27"/>
      <c r="N11" s="27"/>
      <c r="O11" s="27"/>
      <c r="P11" s="27"/>
      <c r="Q11" s="27"/>
      <c r="R11" s="27"/>
    </row>
    <row r="12" spans="1:18" x14ac:dyDescent="0.2">
      <c r="A12" s="27"/>
      <c r="B12" s="35">
        <v>2</v>
      </c>
      <c r="C12" s="36" t="s">
        <v>129</v>
      </c>
      <c r="D12" s="37" t="s">
        <v>276</v>
      </c>
      <c r="E12" s="38" t="s">
        <v>277</v>
      </c>
      <c r="F12" s="38"/>
      <c r="G12" s="35" t="s">
        <v>511</v>
      </c>
      <c r="H12" s="27"/>
      <c r="I12" s="27"/>
      <c r="J12" s="27"/>
      <c r="K12" s="27"/>
      <c r="L12" s="27"/>
      <c r="M12" s="27"/>
      <c r="N12" s="27"/>
      <c r="O12" s="27"/>
      <c r="P12" s="27"/>
      <c r="Q12" s="27"/>
      <c r="R12" s="27"/>
    </row>
    <row r="13" spans="1:18" x14ac:dyDescent="0.2">
      <c r="A13" s="27"/>
      <c r="B13" s="35">
        <v>2</v>
      </c>
      <c r="C13" s="36" t="s">
        <v>120</v>
      </c>
      <c r="D13" s="37">
        <v>0.25</v>
      </c>
      <c r="E13" s="38" t="s">
        <v>264</v>
      </c>
      <c r="F13" s="38"/>
      <c r="G13" s="35" t="s">
        <v>511</v>
      </c>
      <c r="H13" s="27"/>
      <c r="I13" s="27"/>
      <c r="J13" s="27"/>
      <c r="K13" s="27"/>
      <c r="L13" s="27"/>
      <c r="M13" s="27"/>
      <c r="N13" s="27"/>
      <c r="O13" s="27"/>
      <c r="P13" s="27"/>
      <c r="Q13" s="27"/>
      <c r="R13" s="27"/>
    </row>
    <row r="14" spans="1:18" x14ac:dyDescent="0.2">
      <c r="A14" s="27"/>
      <c r="B14" s="35">
        <v>2</v>
      </c>
      <c r="C14" s="36" t="s">
        <v>116</v>
      </c>
      <c r="D14" s="37">
        <v>0.25</v>
      </c>
      <c r="E14" s="38" t="s">
        <v>327</v>
      </c>
      <c r="F14" s="38"/>
      <c r="G14" s="35" t="s">
        <v>513</v>
      </c>
      <c r="H14" s="27"/>
      <c r="I14" s="27"/>
      <c r="J14" s="27"/>
      <c r="K14" s="27"/>
      <c r="L14" s="27"/>
      <c r="M14" s="27"/>
      <c r="N14" s="27"/>
      <c r="O14" s="27"/>
      <c r="P14" s="27"/>
      <c r="Q14" s="27"/>
      <c r="R14" s="27"/>
    </row>
    <row r="15" spans="1:18" x14ac:dyDescent="0.2">
      <c r="A15" s="27"/>
      <c r="B15" s="35">
        <v>2</v>
      </c>
      <c r="C15" s="36" t="s">
        <v>250</v>
      </c>
      <c r="D15" s="37">
        <v>0.5</v>
      </c>
      <c r="E15" s="38" t="s">
        <v>332</v>
      </c>
      <c r="F15" s="38"/>
      <c r="G15" s="35" t="s">
        <v>511</v>
      </c>
      <c r="H15" s="27"/>
      <c r="I15" s="27"/>
      <c r="J15" s="27"/>
      <c r="K15" s="27"/>
      <c r="L15" s="27"/>
      <c r="M15" s="27"/>
      <c r="N15" s="27"/>
      <c r="O15" s="27"/>
      <c r="P15" s="27"/>
      <c r="Q15" s="27"/>
      <c r="R15" s="27"/>
    </row>
    <row r="16" spans="1:18" x14ac:dyDescent="0.2">
      <c r="A16" s="27"/>
      <c r="B16" s="35">
        <v>2</v>
      </c>
      <c r="C16" s="36" t="s">
        <v>126</v>
      </c>
      <c r="D16" s="37" t="s">
        <v>516</v>
      </c>
      <c r="E16" s="38" t="s">
        <v>516</v>
      </c>
      <c r="F16" s="38"/>
      <c r="G16" s="35" t="s">
        <v>511</v>
      </c>
      <c r="H16" s="27"/>
      <c r="I16" s="27"/>
      <c r="J16" s="27"/>
      <c r="K16" s="27"/>
      <c r="L16" s="27"/>
      <c r="M16" s="27"/>
      <c r="N16" s="27"/>
      <c r="O16" s="27"/>
      <c r="P16" s="27"/>
      <c r="Q16" s="27"/>
      <c r="R16" s="27"/>
    </row>
    <row r="17" spans="1:18" x14ac:dyDescent="0.2">
      <c r="A17" s="27"/>
      <c r="B17" s="35">
        <v>3</v>
      </c>
      <c r="C17" s="36" t="s">
        <v>148</v>
      </c>
      <c r="D17" s="37">
        <v>1</v>
      </c>
      <c r="E17" s="38" t="s">
        <v>324</v>
      </c>
      <c r="F17" s="38"/>
      <c r="G17" s="35" t="s">
        <v>511</v>
      </c>
      <c r="H17" s="27"/>
      <c r="I17" s="27"/>
      <c r="J17" s="27"/>
      <c r="K17" s="27"/>
      <c r="L17" s="27"/>
      <c r="M17" s="27"/>
      <c r="N17" s="27"/>
      <c r="O17" s="27"/>
      <c r="P17" s="27"/>
      <c r="Q17" s="27"/>
      <c r="R17" s="27"/>
    </row>
    <row r="18" spans="1:18" x14ac:dyDescent="0.2">
      <c r="A18" s="27"/>
      <c r="B18" s="35">
        <v>3</v>
      </c>
      <c r="C18" s="36" t="s">
        <v>136</v>
      </c>
      <c r="D18" s="37">
        <v>1</v>
      </c>
      <c r="E18" s="38" t="s">
        <v>307</v>
      </c>
      <c r="F18" s="38"/>
      <c r="G18" s="35" t="s">
        <v>511</v>
      </c>
      <c r="H18" s="27"/>
      <c r="I18" s="27"/>
      <c r="J18" s="27"/>
      <c r="K18" s="27"/>
      <c r="L18" s="27"/>
      <c r="M18" s="27"/>
      <c r="N18" s="27"/>
      <c r="O18" s="27"/>
      <c r="P18" s="27"/>
      <c r="Q18" s="27"/>
      <c r="R18" s="27"/>
    </row>
    <row r="19" spans="1:18" x14ac:dyDescent="0.2">
      <c r="A19" s="27"/>
      <c r="B19" s="35">
        <v>3</v>
      </c>
      <c r="C19" s="36" t="s">
        <v>139</v>
      </c>
      <c r="D19" s="37" t="s">
        <v>516</v>
      </c>
      <c r="E19" s="38" t="s">
        <v>516</v>
      </c>
      <c r="F19" s="38"/>
      <c r="G19" s="35" t="s">
        <v>511</v>
      </c>
      <c r="H19" s="27"/>
      <c r="I19" s="27"/>
      <c r="J19" s="27"/>
      <c r="K19" s="27"/>
      <c r="L19" s="27"/>
      <c r="M19" s="27"/>
      <c r="N19" s="27"/>
      <c r="O19" s="27"/>
      <c r="P19" s="27"/>
      <c r="Q19" s="27"/>
      <c r="R19" s="27"/>
    </row>
    <row r="20" spans="1:18" x14ac:dyDescent="0.2">
      <c r="A20" s="27"/>
      <c r="B20" s="35">
        <v>3</v>
      </c>
      <c r="C20" s="36" t="s">
        <v>145</v>
      </c>
      <c r="D20" s="37">
        <v>0.5</v>
      </c>
      <c r="E20" s="38" t="s">
        <v>311</v>
      </c>
      <c r="F20" s="38"/>
      <c r="G20" s="35" t="s">
        <v>511</v>
      </c>
      <c r="H20" s="27"/>
      <c r="I20" s="27"/>
      <c r="J20" s="27"/>
      <c r="K20" s="27"/>
      <c r="L20" s="27"/>
      <c r="M20" s="27"/>
      <c r="N20" s="27"/>
      <c r="O20" s="27"/>
      <c r="P20" s="27"/>
      <c r="Q20" s="27"/>
      <c r="R20" s="27"/>
    </row>
    <row r="21" spans="1:18" x14ac:dyDescent="0.2">
      <c r="A21" s="27"/>
      <c r="B21" s="35">
        <v>3</v>
      </c>
      <c r="C21" s="36" t="s">
        <v>502</v>
      </c>
      <c r="D21" s="37" t="s">
        <v>516</v>
      </c>
      <c r="E21" s="38" t="s">
        <v>516</v>
      </c>
      <c r="F21" s="38"/>
      <c r="G21" s="35" t="s">
        <v>511</v>
      </c>
      <c r="H21" s="27"/>
      <c r="I21" s="27"/>
      <c r="J21" s="27"/>
      <c r="K21" s="27"/>
      <c r="L21" s="27"/>
      <c r="M21" s="27"/>
      <c r="N21" s="27"/>
      <c r="O21" s="27"/>
      <c r="P21" s="27"/>
      <c r="Q21" s="27"/>
      <c r="R21" s="27"/>
    </row>
    <row r="22" spans="1:18" x14ac:dyDescent="0.2">
      <c r="A22" s="27"/>
      <c r="B22" s="35">
        <v>3</v>
      </c>
      <c r="C22" s="36" t="s">
        <v>142</v>
      </c>
      <c r="D22" s="37" t="s">
        <v>516</v>
      </c>
      <c r="E22" s="38" t="s">
        <v>516</v>
      </c>
      <c r="F22" s="38"/>
      <c r="G22" s="35" t="s">
        <v>511</v>
      </c>
      <c r="H22" s="27"/>
      <c r="I22" s="27"/>
      <c r="J22" s="27"/>
      <c r="K22" s="27"/>
      <c r="L22" s="27"/>
      <c r="M22" s="27"/>
      <c r="N22" s="27"/>
      <c r="O22" s="27"/>
      <c r="P22" s="27"/>
      <c r="Q22" s="27"/>
      <c r="R22" s="27"/>
    </row>
    <row r="23" spans="1:18" x14ac:dyDescent="0.2">
      <c r="A23" s="27"/>
      <c r="B23" s="35">
        <v>4</v>
      </c>
      <c r="C23" s="36" t="s">
        <v>504</v>
      </c>
      <c r="D23" s="37" t="s">
        <v>516</v>
      </c>
      <c r="E23" s="38" t="s">
        <v>516</v>
      </c>
      <c r="F23" s="38"/>
      <c r="G23" s="35" t="s">
        <v>511</v>
      </c>
      <c r="H23" s="27"/>
      <c r="I23" s="27"/>
      <c r="J23" s="27"/>
      <c r="K23" s="27"/>
      <c r="L23" s="27"/>
      <c r="M23" s="27"/>
      <c r="N23" s="27"/>
      <c r="O23" s="27"/>
      <c r="P23" s="27"/>
      <c r="Q23" s="27"/>
      <c r="R23" s="27"/>
    </row>
    <row r="24" spans="1:18" x14ac:dyDescent="0.2">
      <c r="A24" s="27"/>
      <c r="B24" s="35">
        <v>4</v>
      </c>
      <c r="C24" s="36" t="s">
        <v>161</v>
      </c>
      <c r="D24" s="37">
        <v>0.75</v>
      </c>
      <c r="E24" s="38" t="s">
        <v>321</v>
      </c>
      <c r="F24" s="38"/>
      <c r="G24" s="35" t="s">
        <v>511</v>
      </c>
      <c r="H24" s="27"/>
      <c r="I24" s="27"/>
      <c r="J24" s="27"/>
      <c r="K24" s="27"/>
      <c r="L24" s="27"/>
      <c r="M24" s="27"/>
      <c r="N24" s="27"/>
      <c r="O24" s="27"/>
      <c r="P24" s="27"/>
      <c r="Q24" s="27"/>
      <c r="R24" s="27"/>
    </row>
    <row r="25" spans="1:18" x14ac:dyDescent="0.2">
      <c r="A25" s="27"/>
      <c r="B25" s="35">
        <v>4</v>
      </c>
      <c r="C25" s="36" t="s">
        <v>155</v>
      </c>
      <c r="D25" s="37">
        <v>0.5</v>
      </c>
      <c r="E25" s="38" t="s">
        <v>271</v>
      </c>
      <c r="F25" s="38"/>
      <c r="G25" s="35" t="s">
        <v>511</v>
      </c>
      <c r="H25" s="27"/>
      <c r="I25" s="27"/>
      <c r="J25" s="27"/>
      <c r="K25" s="27"/>
      <c r="L25" s="27"/>
      <c r="M25" s="27"/>
      <c r="N25" s="27"/>
      <c r="O25" s="27"/>
      <c r="P25" s="27"/>
      <c r="Q25" s="27"/>
      <c r="R25" s="27"/>
    </row>
    <row r="26" spans="1:18" x14ac:dyDescent="0.2">
      <c r="A26" s="27"/>
      <c r="B26" s="35">
        <v>4</v>
      </c>
      <c r="C26" s="36" t="s">
        <v>151</v>
      </c>
      <c r="D26" s="37">
        <v>0.75</v>
      </c>
      <c r="E26" s="38" t="s">
        <v>275</v>
      </c>
      <c r="F26" s="38"/>
      <c r="G26" s="35" t="s">
        <v>511</v>
      </c>
      <c r="H26" s="27"/>
      <c r="I26" s="27"/>
      <c r="J26" s="27"/>
      <c r="K26" s="27"/>
      <c r="L26" s="27"/>
      <c r="M26" s="27"/>
      <c r="N26" s="27"/>
      <c r="O26" s="27"/>
      <c r="P26" s="27"/>
      <c r="Q26" s="27"/>
      <c r="R26" s="27"/>
    </row>
    <row r="27" spans="1:18" x14ac:dyDescent="0.2">
      <c r="A27" s="27"/>
      <c r="B27" s="35">
        <v>4</v>
      </c>
      <c r="C27" s="36" t="s">
        <v>158</v>
      </c>
      <c r="D27" s="37">
        <v>1</v>
      </c>
      <c r="E27" s="38" t="s">
        <v>330</v>
      </c>
      <c r="F27" s="38"/>
      <c r="G27" s="35" t="s">
        <v>511</v>
      </c>
      <c r="H27" s="27"/>
      <c r="I27" s="27"/>
      <c r="J27" s="27"/>
      <c r="K27" s="27"/>
      <c r="L27" s="27"/>
      <c r="M27" s="27"/>
      <c r="N27" s="27"/>
      <c r="O27" s="27"/>
      <c r="P27" s="27"/>
      <c r="Q27" s="27"/>
      <c r="R27" s="27"/>
    </row>
    <row r="28" spans="1:18" x14ac:dyDescent="0.2">
      <c r="A28" s="27"/>
      <c r="B28" s="35">
        <v>5</v>
      </c>
      <c r="C28" s="36" t="s">
        <v>244</v>
      </c>
      <c r="D28" s="37">
        <v>0.75</v>
      </c>
      <c r="E28" s="38" t="s">
        <v>298</v>
      </c>
      <c r="F28" s="38"/>
      <c r="G28" s="35" t="s">
        <v>511</v>
      </c>
      <c r="H28" s="27"/>
      <c r="I28" s="27"/>
      <c r="J28" s="27"/>
      <c r="K28" s="27"/>
      <c r="L28" s="27"/>
      <c r="M28" s="27"/>
      <c r="N28" s="27"/>
      <c r="O28" s="27"/>
      <c r="P28" s="27"/>
      <c r="Q28" s="27"/>
      <c r="R28" s="27"/>
    </row>
    <row r="29" spans="1:18" x14ac:dyDescent="0.2">
      <c r="A29" s="27"/>
      <c r="B29" s="35">
        <v>5</v>
      </c>
      <c r="C29" s="36" t="s">
        <v>164</v>
      </c>
      <c r="D29" s="37">
        <v>1</v>
      </c>
      <c r="E29" s="38" t="s">
        <v>319</v>
      </c>
      <c r="F29" s="38"/>
      <c r="G29" s="35" t="s">
        <v>511</v>
      </c>
      <c r="H29" s="27"/>
      <c r="I29" s="27"/>
      <c r="J29" s="27"/>
      <c r="K29" s="27"/>
      <c r="L29" s="27"/>
      <c r="M29" s="27"/>
      <c r="N29" s="27"/>
      <c r="O29" s="27"/>
      <c r="P29" s="27"/>
      <c r="Q29" s="27"/>
      <c r="R29" s="27"/>
    </row>
    <row r="30" spans="1:18" x14ac:dyDescent="0.2">
      <c r="A30" s="27"/>
      <c r="B30" s="35">
        <v>5</v>
      </c>
      <c r="C30" s="36" t="s">
        <v>253</v>
      </c>
      <c r="D30" s="37">
        <v>0.75</v>
      </c>
      <c r="E30" s="38" t="s">
        <v>342</v>
      </c>
      <c r="F30" s="38"/>
      <c r="G30" s="35" t="s">
        <v>511</v>
      </c>
      <c r="H30" s="27"/>
      <c r="I30" s="27"/>
      <c r="J30" s="27"/>
      <c r="K30" s="27"/>
      <c r="L30" s="27"/>
      <c r="M30" s="27"/>
      <c r="N30" s="27"/>
      <c r="O30" s="27"/>
      <c r="P30" s="27"/>
      <c r="Q30" s="27"/>
      <c r="R30" s="27"/>
    </row>
    <row r="31" spans="1:18" x14ac:dyDescent="0.2">
      <c r="A31" s="27"/>
      <c r="B31" s="35">
        <v>5</v>
      </c>
      <c r="C31" s="36" t="s">
        <v>171</v>
      </c>
      <c r="D31" s="37">
        <v>0.75</v>
      </c>
      <c r="E31" s="38" t="s">
        <v>334</v>
      </c>
      <c r="F31" s="38"/>
      <c r="G31" s="35" t="s">
        <v>511</v>
      </c>
      <c r="H31" s="27"/>
      <c r="I31" s="27"/>
      <c r="J31" s="27"/>
      <c r="K31" s="27"/>
      <c r="L31" s="27"/>
      <c r="M31" s="27"/>
      <c r="N31" s="27"/>
      <c r="O31" s="27"/>
      <c r="P31" s="27"/>
      <c r="Q31" s="27"/>
      <c r="R31" s="27"/>
    </row>
    <row r="32" spans="1:18" x14ac:dyDescent="0.2">
      <c r="A32" s="27"/>
      <c r="B32" s="35">
        <v>5</v>
      </c>
      <c r="C32" s="36" t="s">
        <v>168</v>
      </c>
      <c r="D32" s="37">
        <v>1</v>
      </c>
      <c r="E32" s="38" t="s">
        <v>314</v>
      </c>
      <c r="F32" s="38"/>
      <c r="G32" s="35" t="s">
        <v>511</v>
      </c>
      <c r="H32" s="27"/>
      <c r="I32" s="27"/>
      <c r="J32" s="27"/>
      <c r="K32" s="27"/>
      <c r="L32" s="27"/>
      <c r="M32" s="27"/>
      <c r="N32" s="27"/>
      <c r="O32" s="27"/>
      <c r="P32" s="27"/>
      <c r="Q32" s="27"/>
      <c r="R32" s="27"/>
    </row>
    <row r="33" spans="1:18" x14ac:dyDescent="0.2">
      <c r="A33" s="27"/>
      <c r="B33" s="35">
        <v>6</v>
      </c>
      <c r="C33" s="36" t="s">
        <v>184</v>
      </c>
      <c r="D33" s="37">
        <v>0.5</v>
      </c>
      <c r="E33" s="38" t="s">
        <v>293</v>
      </c>
      <c r="F33" s="38" t="s">
        <v>526</v>
      </c>
      <c r="G33" s="35" t="s">
        <v>513</v>
      </c>
      <c r="H33" s="27"/>
      <c r="I33" s="27"/>
      <c r="J33" s="27"/>
      <c r="K33" s="27"/>
      <c r="L33" s="27"/>
      <c r="M33" s="27"/>
      <c r="N33" s="27"/>
      <c r="O33" s="27"/>
      <c r="P33" s="27"/>
      <c r="Q33" s="27"/>
      <c r="R33" s="27"/>
    </row>
    <row r="34" spans="1:18" x14ac:dyDescent="0.2">
      <c r="A34" s="27"/>
      <c r="B34" s="35">
        <v>6</v>
      </c>
      <c r="C34" s="36" t="s">
        <v>180</v>
      </c>
      <c r="D34" s="37" t="s">
        <v>325</v>
      </c>
      <c r="E34" s="38" t="s">
        <v>326</v>
      </c>
      <c r="F34" s="38"/>
      <c r="G34" s="35" t="s">
        <v>513</v>
      </c>
      <c r="H34" s="27"/>
      <c r="I34" s="27"/>
      <c r="J34" s="27"/>
      <c r="K34" s="27"/>
      <c r="L34" s="27"/>
      <c r="M34" s="27"/>
      <c r="N34" s="27"/>
      <c r="O34" s="27"/>
      <c r="P34" s="27"/>
      <c r="Q34" s="27"/>
      <c r="R34" s="27"/>
    </row>
    <row r="35" spans="1:18" x14ac:dyDescent="0.2">
      <c r="A35" s="27"/>
      <c r="B35" s="35">
        <v>6</v>
      </c>
      <c r="C35" s="36" t="s">
        <v>188</v>
      </c>
      <c r="D35" s="37">
        <v>0.5</v>
      </c>
      <c r="E35" s="38" t="s">
        <v>294</v>
      </c>
      <c r="F35" s="38"/>
      <c r="G35" s="35" t="s">
        <v>511</v>
      </c>
      <c r="H35" s="27"/>
      <c r="I35" s="27"/>
      <c r="J35" s="27"/>
      <c r="K35" s="27"/>
      <c r="L35" s="27"/>
      <c r="M35" s="27"/>
      <c r="N35" s="27"/>
      <c r="O35" s="27"/>
      <c r="P35" s="27"/>
      <c r="Q35" s="27"/>
      <c r="R35" s="27"/>
    </row>
    <row r="36" spans="1:18" x14ac:dyDescent="0.2">
      <c r="A36" s="27"/>
      <c r="B36" s="35">
        <v>6</v>
      </c>
      <c r="C36" s="36" t="s">
        <v>192</v>
      </c>
      <c r="D36" s="37">
        <v>0.5</v>
      </c>
      <c r="E36" s="38" t="s">
        <v>313</v>
      </c>
      <c r="F36" s="38"/>
      <c r="G36" s="35" t="s">
        <v>511</v>
      </c>
      <c r="H36" s="27"/>
      <c r="I36" s="27"/>
      <c r="J36" s="27"/>
      <c r="K36" s="27"/>
      <c r="L36" s="27"/>
      <c r="M36" s="27"/>
      <c r="N36" s="27"/>
      <c r="O36" s="27"/>
      <c r="P36" s="27"/>
      <c r="Q36" s="27"/>
      <c r="R36" s="27"/>
    </row>
    <row r="37" spans="1:18" x14ac:dyDescent="0.2">
      <c r="A37" s="27"/>
      <c r="B37" s="35">
        <v>6</v>
      </c>
      <c r="C37" s="36" t="s">
        <v>175</v>
      </c>
      <c r="D37" s="37">
        <v>0.5</v>
      </c>
      <c r="E37" s="38" t="s">
        <v>289</v>
      </c>
      <c r="F37" s="38"/>
      <c r="G37" s="35" t="s">
        <v>511</v>
      </c>
      <c r="H37" s="27"/>
      <c r="I37" s="27"/>
      <c r="J37" s="27"/>
      <c r="K37" s="27"/>
      <c r="L37" s="27"/>
      <c r="M37" s="27"/>
      <c r="N37" s="27"/>
      <c r="O37" s="27"/>
      <c r="P37" s="27"/>
      <c r="Q37" s="27"/>
      <c r="R37" s="27"/>
    </row>
    <row r="38" spans="1:18" x14ac:dyDescent="0.2">
      <c r="A38" s="27"/>
      <c r="B38" s="35">
        <v>7</v>
      </c>
      <c r="C38" s="36" t="s">
        <v>199</v>
      </c>
      <c r="D38" s="37">
        <v>0.25</v>
      </c>
      <c r="E38" s="38" t="s">
        <v>283</v>
      </c>
      <c r="F38" s="38"/>
      <c r="G38" s="35" t="s">
        <v>511</v>
      </c>
      <c r="H38" s="27"/>
      <c r="I38" s="27"/>
      <c r="J38" s="27"/>
      <c r="K38" s="27"/>
      <c r="L38" s="27"/>
      <c r="M38" s="27"/>
      <c r="N38" s="27"/>
      <c r="O38" s="27"/>
      <c r="P38" s="27"/>
      <c r="Q38" s="27"/>
      <c r="R38" s="27"/>
    </row>
    <row r="39" spans="1:18" x14ac:dyDescent="0.2">
      <c r="A39" s="27"/>
      <c r="B39" s="35">
        <v>7</v>
      </c>
      <c r="C39" s="36" t="s">
        <v>208</v>
      </c>
      <c r="D39" s="37">
        <v>0.5</v>
      </c>
      <c r="E39" s="38" t="s">
        <v>329</v>
      </c>
      <c r="F39" s="38" t="s">
        <v>527</v>
      </c>
      <c r="G39" s="35" t="s">
        <v>513</v>
      </c>
      <c r="H39" s="27"/>
      <c r="I39" s="27"/>
      <c r="J39" s="27"/>
      <c r="K39" s="27"/>
      <c r="L39" s="27"/>
      <c r="M39" s="27"/>
      <c r="N39" s="27"/>
      <c r="O39" s="27"/>
      <c r="P39" s="27"/>
      <c r="Q39" s="27"/>
      <c r="R39" s="27"/>
    </row>
    <row r="40" spans="1:18" x14ac:dyDescent="0.2">
      <c r="A40" s="27"/>
      <c r="B40" s="35">
        <v>7</v>
      </c>
      <c r="C40" s="36" t="s">
        <v>205</v>
      </c>
      <c r="D40" s="37">
        <v>0.5</v>
      </c>
      <c r="E40" s="38" t="s">
        <v>337</v>
      </c>
      <c r="F40" s="38"/>
      <c r="G40" s="35" t="s">
        <v>511</v>
      </c>
      <c r="H40" s="27"/>
      <c r="I40" s="27"/>
      <c r="J40" s="27"/>
      <c r="K40" s="27"/>
      <c r="L40" s="27"/>
      <c r="M40" s="27"/>
      <c r="N40" s="27"/>
      <c r="O40" s="27"/>
      <c r="P40" s="27"/>
      <c r="Q40" s="27"/>
      <c r="R40" s="27"/>
    </row>
    <row r="41" spans="1:18" x14ac:dyDescent="0.2">
      <c r="A41" s="27"/>
      <c r="B41" s="35">
        <v>7</v>
      </c>
      <c r="C41" s="36" t="s">
        <v>195</v>
      </c>
      <c r="D41" s="37" t="s">
        <v>516</v>
      </c>
      <c r="E41" s="38" t="s">
        <v>516</v>
      </c>
      <c r="F41" s="38"/>
      <c r="G41" s="35" t="s">
        <v>511</v>
      </c>
      <c r="H41" s="27"/>
      <c r="I41" s="27"/>
      <c r="J41" s="27"/>
      <c r="K41" s="27"/>
      <c r="L41" s="27"/>
      <c r="M41" s="27"/>
      <c r="N41" s="27"/>
      <c r="O41" s="27"/>
      <c r="P41" s="27"/>
      <c r="Q41" s="27"/>
      <c r="R41" s="27"/>
    </row>
    <row r="42" spans="1:18" x14ac:dyDescent="0.2">
      <c r="A42" s="27"/>
      <c r="B42" s="35">
        <v>7</v>
      </c>
      <c r="C42" s="36" t="s">
        <v>202</v>
      </c>
      <c r="D42" s="37">
        <v>0.5</v>
      </c>
      <c r="E42" s="38" t="s">
        <v>336</v>
      </c>
      <c r="F42" s="38"/>
      <c r="G42" s="35" t="s">
        <v>511</v>
      </c>
      <c r="H42" s="27"/>
      <c r="I42" s="27"/>
      <c r="J42" s="27"/>
      <c r="K42" s="27"/>
      <c r="L42" s="27"/>
      <c r="M42" s="27"/>
      <c r="N42" s="27"/>
      <c r="O42" s="27"/>
      <c r="P42" s="27"/>
      <c r="Q42" s="27"/>
      <c r="R42" s="27"/>
    </row>
    <row r="43" spans="1:18" x14ac:dyDescent="0.2">
      <c r="A43" s="27"/>
      <c r="B43" s="35">
        <v>8</v>
      </c>
      <c r="C43" s="36" t="s">
        <v>221</v>
      </c>
      <c r="D43" s="37">
        <v>0.5</v>
      </c>
      <c r="E43" s="38" t="s">
        <v>333</v>
      </c>
      <c r="F43" s="38"/>
      <c r="G43" s="35" t="s">
        <v>511</v>
      </c>
      <c r="H43" s="27"/>
      <c r="I43" s="27"/>
      <c r="J43" s="27"/>
      <c r="K43" s="27"/>
      <c r="L43" s="27"/>
      <c r="M43" s="27"/>
      <c r="N43" s="27"/>
      <c r="O43" s="27"/>
      <c r="P43" s="27"/>
      <c r="Q43" s="27"/>
      <c r="R43" s="27"/>
    </row>
    <row r="44" spans="1:18" x14ac:dyDescent="0.2">
      <c r="A44" s="27"/>
      <c r="B44" s="35">
        <v>8</v>
      </c>
      <c r="C44" s="36" t="s">
        <v>211</v>
      </c>
      <c r="D44" s="37" t="s">
        <v>516</v>
      </c>
      <c r="E44" s="38" t="s">
        <v>516</v>
      </c>
      <c r="F44" s="38"/>
      <c r="G44" s="35" t="s">
        <v>511</v>
      </c>
      <c r="H44" s="27"/>
      <c r="I44" s="27"/>
      <c r="J44" s="27"/>
      <c r="K44" s="27"/>
      <c r="L44" s="27"/>
      <c r="M44" s="27"/>
      <c r="N44" s="27"/>
      <c r="O44" s="27"/>
      <c r="P44" s="27"/>
      <c r="Q44" s="27"/>
      <c r="R44" s="27"/>
    </row>
    <row r="45" spans="1:18" x14ac:dyDescent="0.2">
      <c r="A45" s="27"/>
      <c r="B45" s="35">
        <v>8</v>
      </c>
      <c r="C45" s="36" t="s">
        <v>218</v>
      </c>
      <c r="D45" s="37" t="s">
        <v>317</v>
      </c>
      <c r="E45" s="38" t="s">
        <v>318</v>
      </c>
      <c r="F45" s="38"/>
      <c r="G45" s="35" t="s">
        <v>511</v>
      </c>
      <c r="H45" s="27"/>
      <c r="I45" s="27"/>
      <c r="J45" s="27"/>
      <c r="K45" s="27"/>
      <c r="L45" s="27"/>
      <c r="M45" s="27"/>
      <c r="N45" s="27"/>
      <c r="O45" s="27"/>
      <c r="P45" s="27"/>
      <c r="Q45" s="27"/>
      <c r="R45" s="27"/>
    </row>
    <row r="46" spans="1:18" x14ac:dyDescent="0.2">
      <c r="A46" s="27"/>
      <c r="B46" s="35">
        <v>8</v>
      </c>
      <c r="C46" s="36" t="s">
        <v>224</v>
      </c>
      <c r="D46" s="37">
        <v>0.5</v>
      </c>
      <c r="E46" s="38" t="s">
        <v>328</v>
      </c>
      <c r="F46" s="38"/>
      <c r="G46" s="35" t="s">
        <v>511</v>
      </c>
      <c r="H46" s="27"/>
      <c r="I46" s="27"/>
      <c r="J46" s="27"/>
      <c r="K46" s="27"/>
      <c r="L46" s="27"/>
      <c r="M46" s="27"/>
      <c r="N46" s="27"/>
      <c r="O46" s="27"/>
      <c r="P46" s="27"/>
      <c r="Q46" s="27"/>
      <c r="R46" s="27"/>
    </row>
    <row r="47" spans="1:18" x14ac:dyDescent="0.2">
      <c r="A47" s="27"/>
      <c r="B47" s="35">
        <v>8</v>
      </c>
      <c r="C47" s="36" t="s">
        <v>215</v>
      </c>
      <c r="D47" s="37">
        <v>0.5</v>
      </c>
      <c r="E47" s="38" t="s">
        <v>299</v>
      </c>
      <c r="F47" s="38"/>
      <c r="G47" s="35" t="s">
        <v>513</v>
      </c>
      <c r="H47" s="27"/>
      <c r="I47" s="27"/>
      <c r="J47" s="27"/>
      <c r="K47" s="27"/>
      <c r="L47" s="27"/>
      <c r="M47" s="27"/>
      <c r="N47" s="27"/>
      <c r="O47" s="27"/>
      <c r="P47" s="27"/>
      <c r="Q47" s="27"/>
      <c r="R47" s="27"/>
    </row>
    <row r="48" spans="1:18" x14ac:dyDescent="0.2">
      <c r="A48" s="27"/>
      <c r="B48" s="35">
        <v>9</v>
      </c>
      <c r="C48" s="36" t="s">
        <v>241</v>
      </c>
      <c r="D48" s="37">
        <v>0.75</v>
      </c>
      <c r="E48" s="38" t="s">
        <v>280</v>
      </c>
      <c r="F48" s="38"/>
      <c r="G48" s="35" t="s">
        <v>511</v>
      </c>
      <c r="H48" s="27"/>
      <c r="I48" s="27"/>
      <c r="J48" s="27"/>
      <c r="K48" s="27"/>
      <c r="L48" s="27"/>
      <c r="M48" s="27"/>
      <c r="N48" s="27"/>
      <c r="O48" s="27"/>
      <c r="P48" s="27"/>
      <c r="Q48" s="27"/>
      <c r="R48" s="27"/>
    </row>
    <row r="49" spans="1:18" x14ac:dyDescent="0.2">
      <c r="A49" s="27"/>
      <c r="B49" s="35">
        <v>9</v>
      </c>
      <c r="C49" s="36" t="s">
        <v>234</v>
      </c>
      <c r="D49" s="37">
        <v>0.75</v>
      </c>
      <c r="E49" s="38" t="s">
        <v>287</v>
      </c>
      <c r="F49" s="38"/>
      <c r="G49" s="35" t="s">
        <v>511</v>
      </c>
      <c r="H49" s="27"/>
      <c r="I49" s="27"/>
      <c r="J49" s="27"/>
      <c r="K49" s="27"/>
      <c r="L49" s="27"/>
      <c r="M49" s="27"/>
      <c r="N49" s="27"/>
      <c r="O49" s="27"/>
      <c r="P49" s="27"/>
      <c r="Q49" s="27"/>
      <c r="R49" s="27"/>
    </row>
    <row r="50" spans="1:18" x14ac:dyDescent="0.2">
      <c r="A50" s="27"/>
      <c r="B50" s="35">
        <v>9</v>
      </c>
      <c r="C50" s="36" t="s">
        <v>237</v>
      </c>
      <c r="D50" s="37">
        <v>0.75</v>
      </c>
      <c r="E50" s="38" t="s">
        <v>282</v>
      </c>
      <c r="F50" s="38"/>
      <c r="G50" s="35" t="s">
        <v>511</v>
      </c>
      <c r="H50" s="27"/>
      <c r="I50" s="27"/>
      <c r="J50" s="27"/>
      <c r="K50" s="27"/>
      <c r="L50" s="27"/>
      <c r="M50" s="27"/>
      <c r="N50" s="27"/>
      <c r="O50" s="27"/>
      <c r="P50" s="27"/>
      <c r="Q50" s="27"/>
      <c r="R50" s="27"/>
    </row>
    <row r="51" spans="1:18" x14ac:dyDescent="0.2">
      <c r="A51" s="27"/>
      <c r="B51" s="35">
        <v>9</v>
      </c>
      <c r="C51" s="36" t="s">
        <v>227</v>
      </c>
      <c r="D51" s="37">
        <v>0.5</v>
      </c>
      <c r="E51" s="38" t="s">
        <v>288</v>
      </c>
      <c r="F51" s="38"/>
      <c r="G51" s="35" t="s">
        <v>511</v>
      </c>
      <c r="H51" s="27"/>
      <c r="I51" s="27"/>
      <c r="J51" s="27"/>
      <c r="K51" s="27"/>
      <c r="L51" s="27"/>
      <c r="M51" s="27"/>
      <c r="N51" s="27"/>
      <c r="O51" s="27"/>
      <c r="P51" s="27"/>
      <c r="Q51" s="27"/>
      <c r="R51" s="27"/>
    </row>
    <row r="52" spans="1:18" x14ac:dyDescent="0.2">
      <c r="A52" s="27"/>
      <c r="B52" s="35">
        <v>9</v>
      </c>
      <c r="C52" s="36" t="s">
        <v>231</v>
      </c>
      <c r="D52" s="37">
        <v>0.75</v>
      </c>
      <c r="E52" s="38" t="s">
        <v>278</v>
      </c>
      <c r="F52" s="38"/>
      <c r="G52" s="35" t="s">
        <v>511</v>
      </c>
      <c r="H52" s="27"/>
      <c r="I52" s="27"/>
      <c r="J52" s="27"/>
      <c r="K52" s="27"/>
      <c r="L52" s="27"/>
      <c r="M52" s="27"/>
      <c r="N52" s="27"/>
      <c r="O52" s="27"/>
      <c r="P52" s="27"/>
      <c r="Q52" s="27"/>
      <c r="R52" s="27"/>
    </row>
    <row r="53" spans="1:18" x14ac:dyDescent="0.2">
      <c r="A53" s="27"/>
      <c r="B53" s="35">
        <v>10</v>
      </c>
      <c r="C53" s="36" t="s">
        <v>8</v>
      </c>
      <c r="D53" s="37">
        <v>0.5</v>
      </c>
      <c r="E53" s="38" t="s">
        <v>306</v>
      </c>
      <c r="F53" s="38"/>
      <c r="G53" s="35" t="s">
        <v>511</v>
      </c>
      <c r="H53" s="27"/>
      <c r="I53" s="27"/>
      <c r="J53" s="27"/>
      <c r="K53" s="27"/>
      <c r="L53" s="27"/>
      <c r="M53" s="27"/>
      <c r="N53" s="27"/>
      <c r="O53" s="27"/>
      <c r="P53" s="27"/>
      <c r="Q53" s="27"/>
      <c r="R53" s="27"/>
    </row>
    <row r="54" spans="1:18" x14ac:dyDescent="0.2">
      <c r="A54" s="27"/>
      <c r="B54" s="35">
        <v>10</v>
      </c>
      <c r="C54" s="36" t="s">
        <v>16</v>
      </c>
      <c r="D54" s="37">
        <v>0.5</v>
      </c>
      <c r="E54" s="38" t="s">
        <v>284</v>
      </c>
      <c r="F54" s="38"/>
      <c r="G54" s="35" t="s">
        <v>511</v>
      </c>
      <c r="H54" s="27"/>
      <c r="I54" s="27"/>
      <c r="J54" s="27"/>
      <c r="K54" s="27"/>
      <c r="L54" s="27"/>
      <c r="M54" s="27"/>
      <c r="N54" s="27"/>
      <c r="O54" s="27"/>
      <c r="P54" s="27"/>
      <c r="Q54" s="27"/>
      <c r="R54" s="27"/>
    </row>
    <row r="55" spans="1:18" x14ac:dyDescent="0.2">
      <c r="A55" s="27"/>
      <c r="B55" s="35">
        <v>10</v>
      </c>
      <c r="C55" s="36" t="s">
        <v>22</v>
      </c>
      <c r="D55" s="37">
        <v>0.5</v>
      </c>
      <c r="E55" s="38" t="s">
        <v>305</v>
      </c>
      <c r="F55" s="38"/>
      <c r="G55" s="35" t="s">
        <v>511</v>
      </c>
      <c r="H55" s="27"/>
      <c r="I55" s="27"/>
      <c r="J55" s="27"/>
      <c r="K55" s="27"/>
      <c r="L55" s="27"/>
      <c r="M55" s="27"/>
      <c r="N55" s="27"/>
      <c r="O55" s="27"/>
      <c r="P55" s="27"/>
      <c r="Q55" s="27"/>
      <c r="R55" s="27"/>
    </row>
    <row r="56" spans="1:18" x14ac:dyDescent="0.2">
      <c r="A56" s="27"/>
      <c r="B56" s="35">
        <v>10</v>
      </c>
      <c r="C56" s="36" t="s">
        <v>19</v>
      </c>
      <c r="D56" s="37">
        <v>0.75</v>
      </c>
      <c r="E56" s="38" t="s">
        <v>320</v>
      </c>
      <c r="F56" s="38"/>
      <c r="G56" s="35" t="s">
        <v>511</v>
      </c>
      <c r="H56" s="27"/>
      <c r="I56" s="27"/>
      <c r="J56" s="27"/>
      <c r="K56" s="27"/>
      <c r="L56" s="27"/>
      <c r="M56" s="27"/>
      <c r="N56" s="27"/>
      <c r="O56" s="27"/>
      <c r="P56" s="27"/>
      <c r="Q56" s="27"/>
      <c r="R56" s="27"/>
    </row>
    <row r="57" spans="1:18" x14ac:dyDescent="0.2">
      <c r="A57" s="27"/>
      <c r="B57" s="35">
        <v>10</v>
      </c>
      <c r="C57" s="36" t="s">
        <v>13</v>
      </c>
      <c r="D57" s="37">
        <v>0.25</v>
      </c>
      <c r="E57" s="38" t="s">
        <v>316</v>
      </c>
      <c r="F57" s="38"/>
      <c r="G57" s="35" t="s">
        <v>511</v>
      </c>
      <c r="H57" s="27"/>
      <c r="I57" s="27"/>
      <c r="J57" s="27"/>
      <c r="K57" s="27"/>
      <c r="L57" s="27"/>
      <c r="M57" s="27"/>
      <c r="N57" s="27"/>
      <c r="O57" s="27"/>
      <c r="P57" s="27"/>
      <c r="Q57" s="27"/>
      <c r="R57" s="27"/>
    </row>
    <row r="58" spans="1:18" x14ac:dyDescent="0.2">
      <c r="A58" s="27"/>
      <c r="B58" s="35">
        <v>11</v>
      </c>
      <c r="C58" s="36" t="s">
        <v>39</v>
      </c>
      <c r="D58" s="37">
        <v>0.25</v>
      </c>
      <c r="E58" s="38" t="s">
        <v>260</v>
      </c>
      <c r="F58" s="38"/>
      <c r="G58" s="35" t="s">
        <v>515</v>
      </c>
      <c r="H58" s="27"/>
      <c r="I58" s="27"/>
      <c r="J58" s="27"/>
      <c r="K58" s="27"/>
      <c r="L58" s="27"/>
      <c r="M58" s="27"/>
      <c r="N58" s="27"/>
      <c r="O58" s="27"/>
      <c r="P58" s="27"/>
      <c r="Q58" s="27"/>
      <c r="R58" s="27"/>
    </row>
    <row r="59" spans="1:18" x14ac:dyDescent="0.2">
      <c r="A59" s="27"/>
      <c r="B59" s="35">
        <v>11</v>
      </c>
      <c r="C59" s="36" t="s">
        <v>29</v>
      </c>
      <c r="D59" s="37">
        <v>0.5</v>
      </c>
      <c r="E59" s="38" t="s">
        <v>297</v>
      </c>
      <c r="F59" s="38"/>
      <c r="G59" s="35" t="s">
        <v>511</v>
      </c>
      <c r="H59" s="27"/>
      <c r="I59" s="27"/>
      <c r="J59" s="27"/>
      <c r="K59" s="27"/>
      <c r="L59" s="27"/>
      <c r="M59" s="27"/>
      <c r="N59" s="27"/>
      <c r="O59" s="27"/>
      <c r="P59" s="27"/>
      <c r="Q59" s="27"/>
      <c r="R59" s="27"/>
    </row>
    <row r="60" spans="1:18" x14ac:dyDescent="0.2">
      <c r="A60" s="27"/>
      <c r="B60" s="35">
        <v>11</v>
      </c>
      <c r="C60" s="36" t="s">
        <v>32</v>
      </c>
      <c r="D60" s="37">
        <v>1</v>
      </c>
      <c r="E60" s="38" t="s">
        <v>308</v>
      </c>
      <c r="F60" s="38"/>
      <c r="G60" s="35" t="s">
        <v>511</v>
      </c>
      <c r="H60" s="27"/>
      <c r="I60" s="27"/>
      <c r="J60" s="27"/>
      <c r="K60" s="27"/>
      <c r="L60" s="27"/>
      <c r="M60" s="27"/>
      <c r="N60" s="27"/>
      <c r="O60" s="27"/>
      <c r="P60" s="27"/>
      <c r="Q60" s="27"/>
      <c r="R60" s="27"/>
    </row>
    <row r="61" spans="1:18" x14ac:dyDescent="0.2">
      <c r="A61" s="27"/>
      <c r="B61" s="35">
        <v>11</v>
      </c>
      <c r="C61" s="36" t="s">
        <v>35</v>
      </c>
      <c r="D61" s="37" t="s">
        <v>285</v>
      </c>
      <c r="E61" s="38" t="s">
        <v>286</v>
      </c>
      <c r="F61" s="38"/>
      <c r="G61" s="35" t="s">
        <v>511</v>
      </c>
      <c r="H61" s="27"/>
      <c r="I61" s="27"/>
      <c r="J61" s="27"/>
      <c r="K61" s="27"/>
      <c r="L61" s="27"/>
      <c r="M61" s="27"/>
      <c r="N61" s="27"/>
      <c r="O61" s="27"/>
      <c r="P61" s="27"/>
      <c r="Q61" s="27"/>
      <c r="R61" s="27"/>
    </row>
    <row r="62" spans="1:18" x14ac:dyDescent="0.2">
      <c r="A62" s="27"/>
      <c r="B62" s="35">
        <v>11</v>
      </c>
      <c r="C62" s="36" t="s">
        <v>25</v>
      </c>
      <c r="D62" s="37">
        <v>0.5</v>
      </c>
      <c r="E62" s="38" t="s">
        <v>323</v>
      </c>
      <c r="F62" s="38"/>
      <c r="G62" s="35" t="s">
        <v>511</v>
      </c>
      <c r="H62" s="27"/>
      <c r="I62" s="27"/>
      <c r="J62" s="27"/>
      <c r="K62" s="27"/>
      <c r="L62" s="27"/>
      <c r="M62" s="27"/>
      <c r="N62" s="27"/>
      <c r="O62" s="27"/>
      <c r="P62" s="27"/>
      <c r="Q62" s="27"/>
      <c r="R62" s="27"/>
    </row>
    <row r="63" spans="1:18" x14ac:dyDescent="0.2">
      <c r="A63" s="27"/>
      <c r="B63" s="35">
        <v>11</v>
      </c>
      <c r="C63" s="36" t="s">
        <v>42</v>
      </c>
      <c r="D63" s="37">
        <v>0.75</v>
      </c>
      <c r="E63" s="38" t="s">
        <v>309</v>
      </c>
      <c r="F63" s="38"/>
      <c r="G63" s="35" t="s">
        <v>511</v>
      </c>
      <c r="H63" s="27"/>
      <c r="I63" s="27"/>
      <c r="J63" s="27"/>
      <c r="K63" s="27"/>
      <c r="L63" s="27"/>
      <c r="M63" s="27"/>
      <c r="N63" s="27"/>
      <c r="O63" s="27"/>
      <c r="P63" s="27"/>
      <c r="Q63" s="27"/>
      <c r="R63" s="27"/>
    </row>
    <row r="64" spans="1:18" x14ac:dyDescent="0.2">
      <c r="A64" s="27"/>
      <c r="B64" s="35">
        <v>12</v>
      </c>
      <c r="C64" s="36" t="s">
        <v>53</v>
      </c>
      <c r="D64" s="37">
        <v>0.75</v>
      </c>
      <c r="E64" s="38" t="s">
        <v>272</v>
      </c>
      <c r="F64" s="38"/>
      <c r="G64" s="35" t="s">
        <v>511</v>
      </c>
      <c r="H64" s="27"/>
      <c r="I64" s="27"/>
      <c r="J64" s="27"/>
      <c r="K64" s="27"/>
      <c r="L64" s="27"/>
      <c r="M64" s="27"/>
      <c r="N64" s="27"/>
      <c r="O64" s="27"/>
      <c r="P64" s="27"/>
      <c r="Q64" s="27"/>
      <c r="R64" s="27"/>
    </row>
    <row r="65" spans="1:18" x14ac:dyDescent="0.2">
      <c r="A65" s="27"/>
      <c r="B65" s="35">
        <v>12</v>
      </c>
      <c r="C65" s="36" t="s">
        <v>56</v>
      </c>
      <c r="D65" s="37">
        <v>1</v>
      </c>
      <c r="E65" s="38" t="s">
        <v>266</v>
      </c>
      <c r="F65" s="38"/>
      <c r="G65" s="35" t="s">
        <v>511</v>
      </c>
      <c r="H65" s="27"/>
      <c r="I65" s="27"/>
      <c r="J65" s="27"/>
      <c r="K65" s="27"/>
      <c r="L65" s="27"/>
      <c r="M65" s="27"/>
      <c r="N65" s="27"/>
      <c r="O65" s="27"/>
      <c r="P65" s="27"/>
      <c r="Q65" s="27"/>
      <c r="R65" s="27"/>
    </row>
    <row r="66" spans="1:18" x14ac:dyDescent="0.2">
      <c r="A66" s="27"/>
      <c r="B66" s="35">
        <v>12</v>
      </c>
      <c r="C66" s="36" t="s">
        <v>45</v>
      </c>
      <c r="D66" s="37">
        <v>1</v>
      </c>
      <c r="E66" s="38" t="s">
        <v>261</v>
      </c>
      <c r="F66" s="38"/>
      <c r="G66" s="35" t="s">
        <v>511</v>
      </c>
      <c r="H66" s="27"/>
      <c r="I66" s="27"/>
      <c r="J66" s="27"/>
      <c r="K66" s="27"/>
      <c r="L66" s="27"/>
      <c r="M66" s="27"/>
      <c r="N66" s="27"/>
      <c r="O66" s="27"/>
      <c r="P66" s="27"/>
      <c r="Q66" s="27"/>
      <c r="R66" s="27"/>
    </row>
    <row r="67" spans="1:18" x14ac:dyDescent="0.2">
      <c r="A67" s="27"/>
      <c r="B67" s="35">
        <v>12</v>
      </c>
      <c r="C67" s="36" t="s">
        <v>49</v>
      </c>
      <c r="D67" s="37">
        <v>0.5</v>
      </c>
      <c r="E67" s="38" t="s">
        <v>281</v>
      </c>
      <c r="F67" s="38"/>
      <c r="G67" s="35" t="s">
        <v>511</v>
      </c>
      <c r="H67" s="27"/>
      <c r="I67" s="27"/>
      <c r="J67" s="27"/>
      <c r="K67" s="27"/>
      <c r="L67" s="27"/>
      <c r="M67" s="27"/>
      <c r="N67" s="27"/>
      <c r="O67" s="27"/>
      <c r="P67" s="27"/>
      <c r="Q67" s="27"/>
      <c r="R67" s="27"/>
    </row>
    <row r="68" spans="1:18" x14ac:dyDescent="0.2">
      <c r="A68" s="27"/>
      <c r="B68" s="35">
        <v>12</v>
      </c>
      <c r="C68" s="36" t="s">
        <v>522</v>
      </c>
      <c r="D68" s="37" t="s">
        <v>516</v>
      </c>
      <c r="E68" s="38" t="s">
        <v>516</v>
      </c>
      <c r="F68" s="38"/>
      <c r="G68" s="35" t="s">
        <v>511</v>
      </c>
      <c r="H68" s="27"/>
      <c r="I68" s="27"/>
      <c r="J68" s="27"/>
      <c r="K68" s="27"/>
      <c r="L68" s="27"/>
      <c r="M68" s="27"/>
      <c r="N68" s="27"/>
      <c r="O68" s="27"/>
      <c r="P68" s="27"/>
      <c r="Q68" s="27"/>
      <c r="R68" s="27"/>
    </row>
    <row r="69" spans="1:18" x14ac:dyDescent="0.2">
      <c r="A69" s="27"/>
      <c r="B69" s="35">
        <v>13</v>
      </c>
      <c r="C69" s="36" t="s">
        <v>72</v>
      </c>
      <c r="D69" s="37">
        <v>0.5</v>
      </c>
      <c r="E69" s="38" t="s">
        <v>267</v>
      </c>
      <c r="F69" s="38"/>
      <c r="G69" s="35" t="s">
        <v>511</v>
      </c>
      <c r="H69" s="27"/>
      <c r="I69" s="27"/>
      <c r="J69" s="27"/>
      <c r="K69" s="27"/>
      <c r="L69" s="27"/>
      <c r="M69" s="27"/>
      <c r="N69" s="27"/>
      <c r="O69" s="27"/>
      <c r="P69" s="27"/>
      <c r="Q69" s="27"/>
      <c r="R69" s="27"/>
    </row>
    <row r="70" spans="1:18" x14ac:dyDescent="0.2">
      <c r="A70" s="27"/>
      <c r="B70" s="35">
        <v>13</v>
      </c>
      <c r="C70" s="36" t="s">
        <v>59</v>
      </c>
      <c r="D70" s="37">
        <v>0.5</v>
      </c>
      <c r="E70" s="38" t="s">
        <v>274</v>
      </c>
      <c r="F70" s="38"/>
      <c r="G70" s="35" t="s">
        <v>511</v>
      </c>
      <c r="H70" s="27"/>
      <c r="I70" s="27"/>
      <c r="J70" s="27"/>
      <c r="K70" s="27"/>
      <c r="L70" s="27"/>
      <c r="M70" s="27"/>
      <c r="N70" s="27"/>
      <c r="O70" s="27"/>
      <c r="P70" s="27"/>
      <c r="Q70" s="27"/>
      <c r="R70" s="27"/>
    </row>
    <row r="71" spans="1:18" x14ac:dyDescent="0.2">
      <c r="A71" s="27"/>
      <c r="B71" s="35">
        <v>13</v>
      </c>
      <c r="C71" s="36" t="s">
        <v>66</v>
      </c>
      <c r="D71" s="37">
        <v>0.75</v>
      </c>
      <c r="E71" s="38" t="s">
        <v>301</v>
      </c>
      <c r="F71" s="38"/>
      <c r="G71" s="35" t="s">
        <v>511</v>
      </c>
      <c r="H71" s="27"/>
      <c r="I71" s="27"/>
      <c r="J71" s="27"/>
      <c r="K71" s="27"/>
      <c r="L71" s="27"/>
      <c r="M71" s="27"/>
      <c r="N71" s="27"/>
      <c r="O71" s="27"/>
      <c r="P71" s="27"/>
      <c r="Q71" s="27"/>
      <c r="R71" s="27"/>
    </row>
    <row r="72" spans="1:18" x14ac:dyDescent="0.2">
      <c r="A72" s="27"/>
      <c r="B72" s="35">
        <v>13</v>
      </c>
      <c r="C72" s="36" t="s">
        <v>69</v>
      </c>
      <c r="D72" s="37">
        <v>0.5</v>
      </c>
      <c r="E72" s="38" t="s">
        <v>312</v>
      </c>
      <c r="F72" s="38"/>
      <c r="G72" s="35" t="s">
        <v>511</v>
      </c>
      <c r="H72" s="27"/>
      <c r="I72" s="27"/>
      <c r="J72" s="27"/>
      <c r="K72" s="27"/>
      <c r="L72" s="27"/>
      <c r="M72" s="27"/>
      <c r="N72" s="27"/>
      <c r="O72" s="27"/>
      <c r="P72" s="27"/>
      <c r="Q72" s="27"/>
      <c r="R72" s="27"/>
    </row>
    <row r="73" spans="1:18" x14ac:dyDescent="0.2">
      <c r="A73" s="27"/>
      <c r="B73" s="35">
        <v>13</v>
      </c>
      <c r="C73" s="36" t="s">
        <v>63</v>
      </c>
      <c r="D73" s="37">
        <v>0.75</v>
      </c>
      <c r="E73" s="38" t="s">
        <v>259</v>
      </c>
      <c r="F73" s="38"/>
      <c r="G73" s="35" t="s">
        <v>511</v>
      </c>
      <c r="H73" s="27"/>
      <c r="I73" s="27"/>
      <c r="J73" s="27"/>
      <c r="K73" s="27"/>
      <c r="L73" s="27"/>
      <c r="M73" s="27"/>
      <c r="N73" s="27"/>
      <c r="O73" s="27"/>
      <c r="P73" s="27"/>
      <c r="Q73" s="27"/>
      <c r="R73" s="27"/>
    </row>
    <row r="74" spans="1:18" x14ac:dyDescent="0.2">
      <c r="A74" s="27"/>
      <c r="B74" s="35">
        <v>14</v>
      </c>
      <c r="C74" s="36" t="s">
        <v>83</v>
      </c>
      <c r="D74" s="37">
        <v>1.2</v>
      </c>
      <c r="E74" s="38" t="s">
        <v>315</v>
      </c>
      <c r="F74" s="38"/>
      <c r="G74" s="35" t="s">
        <v>511</v>
      </c>
      <c r="H74" s="27"/>
      <c r="I74" s="27"/>
      <c r="J74" s="27"/>
      <c r="K74" s="27"/>
      <c r="L74" s="27"/>
      <c r="M74" s="27"/>
      <c r="N74" s="27"/>
      <c r="O74" s="27"/>
      <c r="P74" s="27"/>
      <c r="Q74" s="27"/>
      <c r="R74" s="27"/>
    </row>
    <row r="75" spans="1:18" x14ac:dyDescent="0.2">
      <c r="A75" s="27"/>
      <c r="B75" s="35">
        <v>14</v>
      </c>
      <c r="C75" s="36" t="s">
        <v>269</v>
      </c>
      <c r="D75" s="37">
        <v>0.75</v>
      </c>
      <c r="E75" s="38" t="s">
        <v>270</v>
      </c>
      <c r="F75" s="38"/>
      <c r="G75" s="35" t="s">
        <v>511</v>
      </c>
      <c r="H75" s="27"/>
      <c r="I75" s="27"/>
      <c r="J75" s="27"/>
      <c r="K75" s="27"/>
      <c r="L75" s="27"/>
      <c r="M75" s="27"/>
      <c r="N75" s="27"/>
      <c r="O75" s="27"/>
      <c r="P75" s="27"/>
      <c r="Q75" s="27"/>
      <c r="R75" s="27"/>
    </row>
    <row r="76" spans="1:18" x14ac:dyDescent="0.2">
      <c r="A76" s="27"/>
      <c r="B76" s="35">
        <v>14</v>
      </c>
      <c r="C76" s="36" t="s">
        <v>75</v>
      </c>
      <c r="D76" s="37">
        <v>1</v>
      </c>
      <c r="E76" s="38" t="s">
        <v>296</v>
      </c>
      <c r="F76" s="38"/>
      <c r="G76" s="35" t="s">
        <v>511</v>
      </c>
      <c r="H76" s="27"/>
      <c r="I76" s="27"/>
      <c r="J76" s="27"/>
      <c r="K76" s="27"/>
      <c r="L76" s="27"/>
      <c r="M76" s="27"/>
      <c r="N76" s="27"/>
      <c r="O76" s="27"/>
      <c r="P76" s="27"/>
      <c r="Q76" s="27"/>
      <c r="R76" s="27"/>
    </row>
    <row r="77" spans="1:18" x14ac:dyDescent="0.2">
      <c r="A77" s="27"/>
      <c r="B77" s="35">
        <v>14</v>
      </c>
      <c r="C77" s="36" t="s">
        <v>79</v>
      </c>
      <c r="D77" s="37">
        <v>0.75</v>
      </c>
      <c r="E77" s="38" t="s">
        <v>322</v>
      </c>
      <c r="F77" s="38"/>
      <c r="G77" s="35" t="s">
        <v>511</v>
      </c>
      <c r="H77" s="27"/>
      <c r="I77" s="27"/>
      <c r="J77" s="27"/>
      <c r="K77" s="27"/>
      <c r="L77" s="27"/>
      <c r="M77" s="27"/>
      <c r="N77" s="27"/>
      <c r="O77" s="27"/>
      <c r="P77" s="27"/>
      <c r="Q77" s="27"/>
      <c r="R77" s="27"/>
    </row>
    <row r="78" spans="1:18" x14ac:dyDescent="0.2">
      <c r="A78" s="27"/>
      <c r="B78" s="35">
        <v>14</v>
      </c>
      <c r="C78" s="36" t="s">
        <v>256</v>
      </c>
      <c r="D78" s="37">
        <v>0.75</v>
      </c>
      <c r="E78" s="38" t="s">
        <v>367</v>
      </c>
      <c r="F78" s="38"/>
      <c r="G78" s="35" t="s">
        <v>511</v>
      </c>
      <c r="H78" s="27"/>
      <c r="I78" s="27"/>
      <c r="J78" s="27"/>
      <c r="K78" s="27"/>
      <c r="L78" s="27"/>
      <c r="M78" s="27"/>
      <c r="N78" s="27"/>
      <c r="O78" s="27"/>
      <c r="P78" s="27"/>
      <c r="Q78" s="27"/>
      <c r="R78" s="27"/>
    </row>
    <row r="79" spans="1:18" x14ac:dyDescent="0.2">
      <c r="A79" s="27"/>
      <c r="B79" s="35">
        <v>15</v>
      </c>
      <c r="C79" s="36" t="s">
        <v>91</v>
      </c>
      <c r="D79" s="37">
        <v>0.5</v>
      </c>
      <c r="E79" s="38" t="s">
        <v>279</v>
      </c>
      <c r="F79" s="38"/>
      <c r="G79" s="35" t="s">
        <v>511</v>
      </c>
      <c r="H79" s="27"/>
      <c r="I79" s="27"/>
      <c r="J79" s="27"/>
      <c r="K79" s="27"/>
      <c r="L79" s="27"/>
      <c r="M79" s="27"/>
      <c r="N79" s="27"/>
      <c r="O79" s="27"/>
      <c r="P79" s="27"/>
      <c r="Q79" s="27"/>
      <c r="R79" s="27"/>
    </row>
    <row r="80" spans="1:18" x14ac:dyDescent="0.2">
      <c r="A80" s="27"/>
      <c r="B80" s="35">
        <v>15</v>
      </c>
      <c r="C80" s="36" t="s">
        <v>94</v>
      </c>
      <c r="D80" s="37">
        <v>0.5</v>
      </c>
      <c r="E80" s="38" t="s">
        <v>265</v>
      </c>
      <c r="F80" s="38"/>
      <c r="G80" s="35" t="s">
        <v>511</v>
      </c>
      <c r="H80" s="27"/>
      <c r="I80" s="27"/>
      <c r="J80" s="27"/>
      <c r="K80" s="27"/>
      <c r="L80" s="27"/>
      <c r="M80" s="27"/>
      <c r="N80" s="27"/>
      <c r="O80" s="27"/>
      <c r="P80" s="27"/>
      <c r="Q80" s="27"/>
      <c r="R80" s="27"/>
    </row>
    <row r="81" spans="1:18" x14ac:dyDescent="0.2">
      <c r="A81" s="27"/>
      <c r="B81" s="35">
        <v>15</v>
      </c>
      <c r="C81" s="36" t="s">
        <v>100</v>
      </c>
      <c r="D81" s="37">
        <v>0.61</v>
      </c>
      <c r="E81" s="38" t="s">
        <v>300</v>
      </c>
      <c r="F81" s="38" t="s">
        <v>528</v>
      </c>
      <c r="G81" s="35" t="s">
        <v>513</v>
      </c>
      <c r="H81" s="27"/>
      <c r="I81" s="27"/>
      <c r="J81" s="27"/>
      <c r="K81" s="27"/>
      <c r="L81" s="27"/>
      <c r="M81" s="27"/>
      <c r="N81" s="27"/>
      <c r="O81" s="27"/>
      <c r="P81" s="27"/>
      <c r="Q81" s="27"/>
      <c r="R81" s="27"/>
    </row>
    <row r="82" spans="1:18" x14ac:dyDescent="0.2">
      <c r="A82" s="27"/>
      <c r="B82" s="35">
        <v>15</v>
      </c>
      <c r="C82" s="36" t="s">
        <v>86</v>
      </c>
      <c r="D82" s="37">
        <v>0.5</v>
      </c>
      <c r="E82" s="38" t="s">
        <v>262</v>
      </c>
      <c r="F82" s="38"/>
      <c r="G82" s="35" t="s">
        <v>511</v>
      </c>
      <c r="H82" s="27"/>
      <c r="I82" s="27"/>
      <c r="J82" s="27"/>
      <c r="K82" s="27"/>
      <c r="L82" s="27"/>
      <c r="M82" s="27"/>
      <c r="N82" s="27"/>
      <c r="O82" s="27"/>
      <c r="P82" s="27"/>
      <c r="Q82" s="27"/>
      <c r="R82" s="27"/>
    </row>
    <row r="83" spans="1:18" x14ac:dyDescent="0.2">
      <c r="A83" s="27"/>
      <c r="B83" s="35">
        <v>15</v>
      </c>
      <c r="C83" s="36" t="s">
        <v>97</v>
      </c>
      <c r="D83" s="37">
        <v>0.5</v>
      </c>
      <c r="E83" s="38" t="s">
        <v>273</v>
      </c>
      <c r="F83" s="38"/>
      <c r="G83" s="35" t="s">
        <v>511</v>
      </c>
      <c r="H83" s="27"/>
      <c r="I83" s="27"/>
      <c r="J83" s="27"/>
      <c r="K83" s="27"/>
      <c r="L83" s="27"/>
      <c r="M83" s="27"/>
      <c r="N83" s="27"/>
      <c r="O83" s="27"/>
      <c r="P83" s="27"/>
      <c r="Q83" s="27"/>
      <c r="R83" s="27"/>
    </row>
    <row r="84" spans="1:18" x14ac:dyDescent="0.2">
      <c r="A84" s="27"/>
      <c r="B84" s="27"/>
      <c r="C84" s="27"/>
      <c r="D84" s="28" t="s">
        <v>516</v>
      </c>
      <c r="E84" s="29" t="s">
        <v>516</v>
      </c>
      <c r="F84" s="29"/>
      <c r="G84" s="27"/>
      <c r="H84" s="27"/>
      <c r="I84" s="27"/>
      <c r="J84" s="27"/>
      <c r="K84" s="27"/>
      <c r="L84" s="27"/>
      <c r="M84" s="27"/>
      <c r="N84" s="27"/>
      <c r="O84" s="27"/>
      <c r="P84" s="27"/>
      <c r="Q84" s="27"/>
      <c r="R84" s="27"/>
    </row>
  </sheetData>
  <phoneticPr fontId="6" type="noConversion"/>
  <conditionalFormatting sqref="B5:G83">
    <cfRule type="expression" dxfId="11" priority="4">
      <formula>MOD($B5,2)&gt;0</formula>
    </cfRule>
  </conditionalFormatting>
  <conditionalFormatting sqref="C5:C83">
    <cfRule type="expression" dxfId="10" priority="1">
      <formula>$D5 = ""</formula>
    </cfRule>
  </conditionalFormatting>
  <conditionalFormatting sqref="E5:F83">
    <cfRule type="expression" dxfId="9" priority="2">
      <formula>($G5="비상")</formula>
    </cfRule>
    <cfRule type="expression" dxfId="8" priority="3">
      <formula>($G5="주의")</formula>
    </cfRule>
  </conditionalFormatting>
  <dataValidations count="1">
    <dataValidation type="list" allowBlank="1" showErrorMessage="1" sqref="G5:G83" xr:uid="{00000000-0002-0000-0300-000000000000}">
      <formula1>"대기,양호,주의,비상"</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84"/>
  <sheetViews>
    <sheetView showGridLines="0" workbookViewId="0"/>
  </sheetViews>
  <sheetFormatPr defaultColWidth="12.5703125" defaultRowHeight="15.75" customHeight="1" x14ac:dyDescent="0.2"/>
  <cols>
    <col min="1" max="1" width="1.7109375" customWidth="1"/>
    <col min="2" max="2" width="6.28515625" customWidth="1"/>
    <col min="4" max="4" width="14.140625" customWidth="1"/>
    <col min="5" max="5" width="123.42578125" customWidth="1"/>
    <col min="6" max="6" width="47.85546875" customWidth="1"/>
  </cols>
  <sheetData>
    <row r="1" spans="1:18" x14ac:dyDescent="0.2">
      <c r="A1" s="27"/>
      <c r="B1" s="27"/>
      <c r="C1" s="27"/>
      <c r="D1" s="39"/>
      <c r="E1" s="29"/>
      <c r="F1" s="27"/>
      <c r="G1" s="27"/>
      <c r="H1" s="27"/>
      <c r="I1" s="27"/>
      <c r="J1" s="27"/>
      <c r="K1" s="27"/>
      <c r="L1" s="27"/>
      <c r="M1" s="27"/>
      <c r="N1" s="27"/>
      <c r="O1" s="27"/>
      <c r="P1" s="27"/>
      <c r="Q1" s="27"/>
      <c r="R1" s="27"/>
    </row>
    <row r="2" spans="1:18" x14ac:dyDescent="0.2">
      <c r="A2" s="27"/>
      <c r="B2" s="30" t="s">
        <v>505</v>
      </c>
      <c r="C2" s="31">
        <v>46044</v>
      </c>
      <c r="D2" s="39"/>
      <c r="E2" s="29"/>
      <c r="F2" s="27"/>
      <c r="G2" s="27"/>
      <c r="H2" s="27"/>
      <c r="I2" s="27"/>
      <c r="J2" s="27"/>
      <c r="K2" s="27"/>
      <c r="L2" s="27"/>
      <c r="M2" s="27"/>
      <c r="N2" s="27"/>
      <c r="O2" s="27"/>
      <c r="P2" s="27"/>
      <c r="Q2" s="27"/>
      <c r="R2" s="27"/>
    </row>
    <row r="3" spans="1:18" x14ac:dyDescent="0.2">
      <c r="A3" s="27"/>
      <c r="B3" s="27"/>
      <c r="C3" s="27"/>
      <c r="D3" s="39"/>
      <c r="E3" s="29"/>
      <c r="F3" s="27"/>
      <c r="G3" s="27"/>
      <c r="H3" s="27"/>
      <c r="I3" s="27"/>
      <c r="J3" s="27"/>
      <c r="K3" s="27"/>
      <c r="L3" s="27"/>
      <c r="M3" s="27"/>
      <c r="N3" s="27"/>
      <c r="O3" s="27"/>
      <c r="P3" s="27"/>
      <c r="Q3" s="27"/>
      <c r="R3" s="27"/>
    </row>
    <row r="4" spans="1:18" x14ac:dyDescent="0.2">
      <c r="A4" s="27"/>
      <c r="B4" s="32" t="s">
        <v>499</v>
      </c>
      <c r="C4" s="32" t="s">
        <v>2</v>
      </c>
      <c r="D4" s="40" t="s">
        <v>506</v>
      </c>
      <c r="E4" s="34" t="s">
        <v>507</v>
      </c>
      <c r="F4" s="32" t="s">
        <v>508</v>
      </c>
      <c r="G4" s="32" t="s">
        <v>509</v>
      </c>
      <c r="H4" s="27"/>
      <c r="I4" s="27"/>
      <c r="J4" s="27"/>
      <c r="K4" s="27"/>
      <c r="L4" s="27"/>
      <c r="M4" s="27"/>
      <c r="N4" s="27"/>
      <c r="O4" s="27"/>
      <c r="P4" s="27"/>
      <c r="Q4" s="27"/>
      <c r="R4" s="27"/>
    </row>
    <row r="5" spans="1:18" x14ac:dyDescent="0.2">
      <c r="A5" s="27"/>
      <c r="B5" s="35">
        <v>1</v>
      </c>
      <c r="C5" s="36" t="s">
        <v>110</v>
      </c>
      <c r="D5" s="41">
        <v>1</v>
      </c>
      <c r="E5" s="38" t="s">
        <v>536</v>
      </c>
      <c r="F5" s="42"/>
      <c r="G5" s="35" t="s">
        <v>511</v>
      </c>
      <c r="H5" s="27"/>
      <c r="I5" s="27"/>
      <c r="J5" s="27"/>
      <c r="K5" s="27"/>
      <c r="L5" s="27"/>
      <c r="M5" s="27"/>
      <c r="N5" s="27"/>
      <c r="O5" s="27"/>
      <c r="P5" s="27"/>
      <c r="Q5" s="27"/>
      <c r="R5" s="27"/>
    </row>
    <row r="6" spans="1:18" x14ac:dyDescent="0.2">
      <c r="A6" s="27"/>
      <c r="B6" s="35">
        <v>1</v>
      </c>
      <c r="C6" s="36" t="s">
        <v>103</v>
      </c>
      <c r="D6" s="41" t="s">
        <v>361</v>
      </c>
      <c r="E6" s="38" t="s">
        <v>362</v>
      </c>
      <c r="F6" s="42"/>
      <c r="G6" s="35" t="s">
        <v>511</v>
      </c>
      <c r="H6" s="27"/>
      <c r="I6" s="27"/>
      <c r="J6" s="27"/>
      <c r="K6" s="27"/>
      <c r="L6" s="27"/>
      <c r="M6" s="27"/>
      <c r="N6" s="27"/>
      <c r="O6" s="27"/>
      <c r="P6" s="27"/>
      <c r="Q6" s="27"/>
      <c r="R6" s="27"/>
    </row>
    <row r="7" spans="1:18" x14ac:dyDescent="0.2">
      <c r="A7" s="27"/>
      <c r="B7" s="35">
        <v>1</v>
      </c>
      <c r="C7" s="36" t="s">
        <v>247</v>
      </c>
      <c r="D7" s="41">
        <v>0.75</v>
      </c>
      <c r="E7" s="38" t="s">
        <v>354</v>
      </c>
      <c r="F7" s="42"/>
      <c r="G7" s="35" t="s">
        <v>511</v>
      </c>
      <c r="H7" s="27"/>
      <c r="I7" s="27"/>
      <c r="J7" s="27"/>
      <c r="K7" s="27"/>
      <c r="L7" s="27"/>
      <c r="M7" s="27"/>
      <c r="N7" s="27"/>
      <c r="O7" s="27"/>
      <c r="P7" s="27"/>
      <c r="Q7" s="27"/>
      <c r="R7" s="27"/>
    </row>
    <row r="8" spans="1:18" x14ac:dyDescent="0.2">
      <c r="A8" s="27"/>
      <c r="B8" s="35">
        <v>1</v>
      </c>
      <c r="C8" s="36" t="s">
        <v>113</v>
      </c>
      <c r="D8" s="41" t="s">
        <v>516</v>
      </c>
      <c r="E8" s="38" t="s">
        <v>516</v>
      </c>
      <c r="F8" s="42"/>
      <c r="G8" s="35" t="s">
        <v>511</v>
      </c>
      <c r="H8" s="27"/>
      <c r="I8" s="27"/>
      <c r="J8" s="27"/>
      <c r="K8" s="27"/>
      <c r="L8" s="27"/>
      <c r="M8" s="27"/>
      <c r="N8" s="27"/>
      <c r="O8" s="27"/>
      <c r="P8" s="27"/>
      <c r="Q8" s="27"/>
      <c r="R8" s="27"/>
    </row>
    <row r="9" spans="1:18" x14ac:dyDescent="0.2">
      <c r="A9" s="27"/>
      <c r="B9" s="35">
        <v>1</v>
      </c>
      <c r="C9" s="36" t="s">
        <v>291</v>
      </c>
      <c r="D9" s="41">
        <v>0.5</v>
      </c>
      <c r="E9" s="38" t="s">
        <v>394</v>
      </c>
      <c r="F9" s="42"/>
      <c r="G9" s="35" t="s">
        <v>511</v>
      </c>
      <c r="H9" s="27"/>
      <c r="I9" s="27"/>
      <c r="J9" s="27"/>
      <c r="K9" s="27"/>
      <c r="L9" s="27"/>
      <c r="M9" s="27"/>
      <c r="N9" s="27"/>
      <c r="O9" s="27"/>
      <c r="P9" s="27"/>
      <c r="Q9" s="27"/>
      <c r="R9" s="27"/>
    </row>
    <row r="10" spans="1:18" x14ac:dyDescent="0.2">
      <c r="A10" s="27"/>
      <c r="B10" s="35">
        <v>1</v>
      </c>
      <c r="C10" s="36" t="s">
        <v>107</v>
      </c>
      <c r="D10" s="41">
        <v>0.75</v>
      </c>
      <c r="E10" s="38" t="s">
        <v>383</v>
      </c>
      <c r="F10" s="42"/>
      <c r="G10" s="35" t="s">
        <v>511</v>
      </c>
      <c r="H10" s="27"/>
      <c r="I10" s="27"/>
      <c r="J10" s="27"/>
      <c r="K10" s="27"/>
      <c r="L10" s="27"/>
      <c r="M10" s="27"/>
      <c r="N10" s="27"/>
      <c r="O10" s="27"/>
      <c r="P10" s="27"/>
      <c r="Q10" s="27"/>
      <c r="R10" s="27"/>
    </row>
    <row r="11" spans="1:18" x14ac:dyDescent="0.2">
      <c r="A11" s="27"/>
      <c r="B11" s="35">
        <v>2</v>
      </c>
      <c r="C11" s="36" t="s">
        <v>123</v>
      </c>
      <c r="D11" s="41">
        <v>0.25</v>
      </c>
      <c r="E11" s="38" t="s">
        <v>404</v>
      </c>
      <c r="F11" s="42"/>
      <c r="G11" s="35" t="s">
        <v>511</v>
      </c>
      <c r="H11" s="27"/>
      <c r="I11" s="27"/>
      <c r="J11" s="27"/>
      <c r="K11" s="27"/>
      <c r="L11" s="27"/>
      <c r="M11" s="27"/>
      <c r="N11" s="27"/>
      <c r="O11" s="27"/>
      <c r="P11" s="27"/>
      <c r="Q11" s="27"/>
      <c r="R11" s="27"/>
    </row>
    <row r="12" spans="1:18" x14ac:dyDescent="0.2">
      <c r="A12" s="27"/>
      <c r="B12" s="35">
        <v>2</v>
      </c>
      <c r="C12" s="36" t="s">
        <v>129</v>
      </c>
      <c r="D12" s="41">
        <v>0.75</v>
      </c>
      <c r="E12" s="38" t="s">
        <v>375</v>
      </c>
      <c r="F12" s="42"/>
      <c r="G12" s="35" t="s">
        <v>511</v>
      </c>
      <c r="H12" s="27"/>
      <c r="I12" s="27"/>
      <c r="J12" s="27"/>
      <c r="K12" s="27"/>
      <c r="L12" s="27"/>
      <c r="M12" s="27"/>
      <c r="N12" s="27"/>
      <c r="O12" s="27"/>
      <c r="P12" s="27"/>
      <c r="Q12" s="27"/>
      <c r="R12" s="27"/>
    </row>
    <row r="13" spans="1:18" x14ac:dyDescent="0.2">
      <c r="A13" s="27"/>
      <c r="B13" s="35">
        <v>2</v>
      </c>
      <c r="C13" s="36" t="s">
        <v>120</v>
      </c>
      <c r="D13" s="41">
        <v>0.75</v>
      </c>
      <c r="E13" s="38" t="s">
        <v>352</v>
      </c>
      <c r="F13" s="42"/>
      <c r="G13" s="35" t="s">
        <v>511</v>
      </c>
      <c r="H13" s="27"/>
      <c r="I13" s="27"/>
      <c r="J13" s="27"/>
      <c r="K13" s="27"/>
      <c r="L13" s="27"/>
      <c r="M13" s="27"/>
      <c r="N13" s="27"/>
      <c r="O13" s="27"/>
      <c r="P13" s="27"/>
      <c r="Q13" s="27"/>
      <c r="R13" s="27"/>
    </row>
    <row r="14" spans="1:18" x14ac:dyDescent="0.2">
      <c r="A14" s="27"/>
      <c r="B14" s="35">
        <v>2</v>
      </c>
      <c r="C14" s="36" t="s">
        <v>116</v>
      </c>
      <c r="D14" s="41">
        <v>1</v>
      </c>
      <c r="E14" s="38" t="s">
        <v>366</v>
      </c>
      <c r="F14" s="42"/>
      <c r="G14" s="35" t="s">
        <v>511</v>
      </c>
      <c r="H14" s="27"/>
      <c r="I14" s="27"/>
      <c r="J14" s="27"/>
      <c r="K14" s="27"/>
      <c r="L14" s="27"/>
      <c r="M14" s="27"/>
      <c r="N14" s="27"/>
      <c r="O14" s="27"/>
      <c r="P14" s="27"/>
      <c r="Q14" s="27"/>
      <c r="R14" s="27"/>
    </row>
    <row r="15" spans="1:18" x14ac:dyDescent="0.2">
      <c r="A15" s="27"/>
      <c r="B15" s="35">
        <v>2</v>
      </c>
      <c r="C15" s="36" t="s">
        <v>250</v>
      </c>
      <c r="D15" s="41">
        <v>0.75</v>
      </c>
      <c r="E15" s="38" t="s">
        <v>406</v>
      </c>
      <c r="F15" s="42"/>
      <c r="G15" s="35" t="s">
        <v>511</v>
      </c>
      <c r="H15" s="27"/>
      <c r="I15" s="27"/>
      <c r="J15" s="27"/>
      <c r="K15" s="27"/>
      <c r="L15" s="27"/>
      <c r="M15" s="27"/>
      <c r="N15" s="27"/>
      <c r="O15" s="27"/>
      <c r="P15" s="27"/>
      <c r="Q15" s="27"/>
      <c r="R15" s="27"/>
    </row>
    <row r="16" spans="1:18" x14ac:dyDescent="0.2">
      <c r="A16" s="27"/>
      <c r="B16" s="35">
        <v>2</v>
      </c>
      <c r="C16" s="36" t="s">
        <v>126</v>
      </c>
      <c r="D16" s="41" t="s">
        <v>516</v>
      </c>
      <c r="E16" s="38" t="s">
        <v>516</v>
      </c>
      <c r="F16" s="42"/>
      <c r="G16" s="35" t="s">
        <v>511</v>
      </c>
      <c r="H16" s="27"/>
      <c r="I16" s="27"/>
      <c r="J16" s="27"/>
      <c r="K16" s="27"/>
      <c r="L16" s="27"/>
      <c r="M16" s="27"/>
      <c r="N16" s="27"/>
      <c r="O16" s="27"/>
      <c r="P16" s="27"/>
      <c r="Q16" s="27"/>
      <c r="R16" s="27"/>
    </row>
    <row r="17" spans="1:18" x14ac:dyDescent="0.2">
      <c r="A17" s="27"/>
      <c r="B17" s="35">
        <v>3</v>
      </c>
      <c r="C17" s="36" t="s">
        <v>148</v>
      </c>
      <c r="D17" s="41">
        <v>0.75</v>
      </c>
      <c r="E17" s="38" t="s">
        <v>409</v>
      </c>
      <c r="F17" s="42"/>
      <c r="G17" s="35" t="s">
        <v>511</v>
      </c>
      <c r="H17" s="27"/>
      <c r="I17" s="27"/>
      <c r="J17" s="27"/>
      <c r="K17" s="27"/>
      <c r="L17" s="27"/>
      <c r="M17" s="27"/>
      <c r="N17" s="27"/>
      <c r="O17" s="27"/>
      <c r="P17" s="27"/>
      <c r="Q17" s="27"/>
      <c r="R17" s="27"/>
    </row>
    <row r="18" spans="1:18" x14ac:dyDescent="0.2">
      <c r="A18" s="27"/>
      <c r="B18" s="35">
        <v>3</v>
      </c>
      <c r="C18" s="36" t="s">
        <v>136</v>
      </c>
      <c r="D18" s="41">
        <v>1</v>
      </c>
      <c r="E18" s="38" t="s">
        <v>397</v>
      </c>
      <c r="F18" s="42"/>
      <c r="G18" s="35" t="s">
        <v>511</v>
      </c>
      <c r="H18" s="27"/>
      <c r="I18" s="27"/>
      <c r="J18" s="27"/>
      <c r="K18" s="27"/>
      <c r="L18" s="27"/>
      <c r="M18" s="27"/>
      <c r="N18" s="27"/>
      <c r="O18" s="27"/>
      <c r="P18" s="27"/>
      <c r="Q18" s="27"/>
      <c r="R18" s="27"/>
    </row>
    <row r="19" spans="1:18" x14ac:dyDescent="0.2">
      <c r="A19" s="27"/>
      <c r="B19" s="35">
        <v>3</v>
      </c>
      <c r="C19" s="36" t="s">
        <v>139</v>
      </c>
      <c r="D19" s="41">
        <v>0.5</v>
      </c>
      <c r="E19" s="38" t="s">
        <v>402</v>
      </c>
      <c r="F19" s="42"/>
      <c r="G19" s="35" t="s">
        <v>511</v>
      </c>
      <c r="H19" s="27"/>
      <c r="I19" s="27"/>
      <c r="J19" s="27"/>
      <c r="K19" s="27"/>
      <c r="L19" s="27"/>
      <c r="M19" s="27"/>
      <c r="N19" s="27"/>
      <c r="O19" s="27"/>
      <c r="P19" s="27"/>
      <c r="Q19" s="27"/>
      <c r="R19" s="27"/>
    </row>
    <row r="20" spans="1:18" x14ac:dyDescent="0.2">
      <c r="A20" s="27"/>
      <c r="B20" s="35">
        <v>3</v>
      </c>
      <c r="C20" s="36" t="s">
        <v>145</v>
      </c>
      <c r="D20" s="41">
        <v>0.5</v>
      </c>
      <c r="E20" s="38" t="s">
        <v>386</v>
      </c>
      <c r="F20" s="42"/>
      <c r="G20" s="35" t="s">
        <v>511</v>
      </c>
      <c r="H20" s="27"/>
      <c r="I20" s="27"/>
      <c r="J20" s="27"/>
      <c r="K20" s="27"/>
      <c r="L20" s="27"/>
      <c r="M20" s="27"/>
      <c r="N20" s="27"/>
      <c r="O20" s="27"/>
      <c r="P20" s="27"/>
      <c r="Q20" s="27"/>
      <c r="R20" s="27"/>
    </row>
    <row r="21" spans="1:18" x14ac:dyDescent="0.2">
      <c r="A21" s="27"/>
      <c r="B21" s="35">
        <v>3</v>
      </c>
      <c r="C21" s="36" t="s">
        <v>502</v>
      </c>
      <c r="D21" s="41" t="s">
        <v>516</v>
      </c>
      <c r="E21" s="38" t="s">
        <v>516</v>
      </c>
      <c r="F21" s="42"/>
      <c r="G21" s="35" t="s">
        <v>511</v>
      </c>
      <c r="H21" s="27"/>
      <c r="I21" s="27"/>
      <c r="J21" s="27"/>
      <c r="K21" s="27"/>
      <c r="L21" s="27"/>
      <c r="M21" s="27"/>
      <c r="N21" s="27"/>
      <c r="O21" s="27"/>
      <c r="P21" s="27"/>
      <c r="Q21" s="27"/>
      <c r="R21" s="27"/>
    </row>
    <row r="22" spans="1:18" x14ac:dyDescent="0.2">
      <c r="A22" s="27"/>
      <c r="B22" s="35">
        <v>3</v>
      </c>
      <c r="C22" s="36" t="s">
        <v>142</v>
      </c>
      <c r="D22" s="41">
        <v>0.75</v>
      </c>
      <c r="E22" s="38" t="s">
        <v>405</v>
      </c>
      <c r="F22" s="42"/>
      <c r="G22" s="35" t="s">
        <v>511</v>
      </c>
      <c r="H22" s="27"/>
      <c r="I22" s="27"/>
      <c r="J22" s="27"/>
      <c r="K22" s="27"/>
      <c r="L22" s="27"/>
      <c r="M22" s="27"/>
      <c r="N22" s="27"/>
      <c r="O22" s="27"/>
      <c r="P22" s="27"/>
      <c r="Q22" s="27"/>
      <c r="R22" s="27"/>
    </row>
    <row r="23" spans="1:18" x14ac:dyDescent="0.2">
      <c r="A23" s="27"/>
      <c r="B23" s="35">
        <v>4</v>
      </c>
      <c r="C23" s="36" t="s">
        <v>504</v>
      </c>
      <c r="D23" s="41" t="s">
        <v>516</v>
      </c>
      <c r="E23" s="38" t="s">
        <v>516</v>
      </c>
      <c r="F23" s="42"/>
      <c r="G23" s="35" t="s">
        <v>511</v>
      </c>
      <c r="H23" s="27"/>
      <c r="I23" s="27"/>
      <c r="J23" s="27"/>
      <c r="K23" s="27"/>
      <c r="L23" s="27"/>
      <c r="M23" s="27"/>
      <c r="N23" s="27"/>
      <c r="O23" s="27"/>
      <c r="P23" s="27"/>
      <c r="Q23" s="27"/>
      <c r="R23" s="27"/>
    </row>
    <row r="24" spans="1:18" x14ac:dyDescent="0.2">
      <c r="A24" s="27"/>
      <c r="B24" s="35">
        <v>4</v>
      </c>
      <c r="C24" s="36" t="s">
        <v>161</v>
      </c>
      <c r="D24" s="41">
        <v>0.75</v>
      </c>
      <c r="E24" s="38" t="s">
        <v>353</v>
      </c>
      <c r="F24" s="42"/>
      <c r="G24" s="35" t="s">
        <v>511</v>
      </c>
      <c r="H24" s="27"/>
      <c r="I24" s="27"/>
      <c r="J24" s="27"/>
      <c r="K24" s="27"/>
      <c r="L24" s="27"/>
      <c r="M24" s="27"/>
      <c r="N24" s="27"/>
      <c r="O24" s="27"/>
      <c r="P24" s="27"/>
      <c r="Q24" s="27"/>
      <c r="R24" s="27"/>
    </row>
    <row r="25" spans="1:18" x14ac:dyDescent="0.2">
      <c r="A25" s="27"/>
      <c r="B25" s="35">
        <v>4</v>
      </c>
      <c r="C25" s="36" t="s">
        <v>155</v>
      </c>
      <c r="D25" s="41">
        <v>0.75</v>
      </c>
      <c r="E25" s="38" t="s">
        <v>346</v>
      </c>
      <c r="F25" s="42"/>
      <c r="G25" s="35" t="s">
        <v>511</v>
      </c>
      <c r="H25" s="27"/>
      <c r="I25" s="27"/>
      <c r="J25" s="27"/>
      <c r="K25" s="27"/>
      <c r="L25" s="27"/>
      <c r="M25" s="27"/>
      <c r="N25" s="27"/>
      <c r="O25" s="27"/>
      <c r="P25" s="27"/>
      <c r="Q25" s="27"/>
      <c r="R25" s="27"/>
    </row>
    <row r="26" spans="1:18" x14ac:dyDescent="0.2">
      <c r="A26" s="27"/>
      <c r="B26" s="35">
        <v>4</v>
      </c>
      <c r="C26" s="36" t="s">
        <v>151</v>
      </c>
      <c r="D26" s="41" t="s">
        <v>339</v>
      </c>
      <c r="E26" s="38" t="s">
        <v>340</v>
      </c>
      <c r="F26" s="42"/>
      <c r="G26" s="35" t="s">
        <v>511</v>
      </c>
      <c r="H26" s="27"/>
      <c r="I26" s="27"/>
      <c r="J26" s="27"/>
      <c r="K26" s="27"/>
      <c r="L26" s="27"/>
      <c r="M26" s="27"/>
      <c r="N26" s="27"/>
      <c r="O26" s="27"/>
      <c r="P26" s="27"/>
      <c r="Q26" s="27"/>
      <c r="R26" s="27"/>
    </row>
    <row r="27" spans="1:18" x14ac:dyDescent="0.2">
      <c r="A27" s="27"/>
      <c r="B27" s="35">
        <v>4</v>
      </c>
      <c r="C27" s="36" t="s">
        <v>158</v>
      </c>
      <c r="D27" s="41">
        <v>1</v>
      </c>
      <c r="E27" s="38" t="s">
        <v>364</v>
      </c>
      <c r="F27" s="42"/>
      <c r="G27" s="35" t="s">
        <v>511</v>
      </c>
      <c r="H27" s="27"/>
      <c r="I27" s="27"/>
      <c r="J27" s="27"/>
      <c r="K27" s="27"/>
      <c r="L27" s="27"/>
      <c r="M27" s="27"/>
      <c r="N27" s="27"/>
      <c r="O27" s="27"/>
      <c r="P27" s="27"/>
      <c r="Q27" s="27"/>
      <c r="R27" s="27"/>
    </row>
    <row r="28" spans="1:18" x14ac:dyDescent="0.2">
      <c r="A28" s="27"/>
      <c r="B28" s="35">
        <v>5</v>
      </c>
      <c r="C28" s="36" t="s">
        <v>244</v>
      </c>
      <c r="D28" s="41">
        <v>0.5</v>
      </c>
      <c r="E28" s="38" t="s">
        <v>399</v>
      </c>
      <c r="F28" s="42"/>
      <c r="G28" s="35" t="s">
        <v>511</v>
      </c>
      <c r="H28" s="27"/>
      <c r="I28" s="27"/>
      <c r="J28" s="27"/>
      <c r="K28" s="27"/>
      <c r="L28" s="27"/>
      <c r="M28" s="27"/>
      <c r="N28" s="27"/>
      <c r="O28" s="27"/>
      <c r="P28" s="27"/>
      <c r="Q28" s="27"/>
      <c r="R28" s="27"/>
    </row>
    <row r="29" spans="1:18" x14ac:dyDescent="0.2">
      <c r="A29" s="27"/>
      <c r="B29" s="35">
        <v>5</v>
      </c>
      <c r="C29" s="36" t="s">
        <v>164</v>
      </c>
      <c r="D29" s="41">
        <v>0.75</v>
      </c>
      <c r="E29" s="38" t="s">
        <v>392</v>
      </c>
      <c r="F29" s="42" t="s">
        <v>529</v>
      </c>
      <c r="G29" s="35" t="s">
        <v>513</v>
      </c>
      <c r="H29" s="27"/>
      <c r="I29" s="27"/>
      <c r="J29" s="27"/>
      <c r="K29" s="27"/>
      <c r="L29" s="27"/>
      <c r="M29" s="27"/>
      <c r="N29" s="27"/>
      <c r="O29" s="27"/>
      <c r="P29" s="27"/>
      <c r="Q29" s="27"/>
      <c r="R29" s="27"/>
    </row>
    <row r="30" spans="1:18" x14ac:dyDescent="0.2">
      <c r="A30" s="27"/>
      <c r="B30" s="35">
        <v>5</v>
      </c>
      <c r="C30" s="36" t="s">
        <v>253</v>
      </c>
      <c r="D30" s="41">
        <v>1</v>
      </c>
      <c r="E30" s="38" t="s">
        <v>345</v>
      </c>
      <c r="F30" s="42"/>
      <c r="G30" s="35" t="s">
        <v>511</v>
      </c>
      <c r="H30" s="27"/>
      <c r="I30" s="27"/>
      <c r="J30" s="27"/>
      <c r="K30" s="27"/>
      <c r="L30" s="27"/>
      <c r="M30" s="27"/>
      <c r="N30" s="27"/>
      <c r="O30" s="27"/>
      <c r="P30" s="27"/>
      <c r="Q30" s="27"/>
      <c r="R30" s="27"/>
    </row>
    <row r="31" spans="1:18" x14ac:dyDescent="0.2">
      <c r="A31" s="27"/>
      <c r="B31" s="35">
        <v>5</v>
      </c>
      <c r="C31" s="36" t="s">
        <v>171</v>
      </c>
      <c r="D31" s="41" t="s">
        <v>516</v>
      </c>
      <c r="E31" s="38" t="s">
        <v>516</v>
      </c>
      <c r="F31" s="42"/>
      <c r="G31" s="35" t="s">
        <v>511</v>
      </c>
      <c r="H31" s="27"/>
      <c r="I31" s="27"/>
      <c r="J31" s="27"/>
      <c r="K31" s="27"/>
      <c r="L31" s="27"/>
      <c r="M31" s="27"/>
      <c r="N31" s="27"/>
      <c r="O31" s="27"/>
      <c r="P31" s="27"/>
      <c r="Q31" s="27"/>
      <c r="R31" s="27"/>
    </row>
    <row r="32" spans="1:18" x14ac:dyDescent="0.2">
      <c r="A32" s="27"/>
      <c r="B32" s="35">
        <v>5</v>
      </c>
      <c r="C32" s="36" t="s">
        <v>168</v>
      </c>
      <c r="D32" s="41">
        <v>1</v>
      </c>
      <c r="E32" s="38" t="s">
        <v>343</v>
      </c>
      <c r="F32" s="42"/>
      <c r="G32" s="35" t="s">
        <v>511</v>
      </c>
      <c r="H32" s="27"/>
      <c r="I32" s="27"/>
      <c r="J32" s="27"/>
      <c r="K32" s="27"/>
      <c r="L32" s="27"/>
      <c r="M32" s="27"/>
      <c r="N32" s="27"/>
      <c r="O32" s="27"/>
      <c r="P32" s="27"/>
      <c r="Q32" s="27"/>
      <c r="R32" s="27"/>
    </row>
    <row r="33" spans="1:18" x14ac:dyDescent="0.2">
      <c r="A33" s="27"/>
      <c r="B33" s="35">
        <v>6</v>
      </c>
      <c r="C33" s="36" t="s">
        <v>184</v>
      </c>
      <c r="D33" s="41">
        <v>0.75</v>
      </c>
      <c r="E33" s="38" t="s">
        <v>412</v>
      </c>
      <c r="F33" s="42"/>
      <c r="G33" s="35" t="s">
        <v>511</v>
      </c>
      <c r="H33" s="27"/>
      <c r="I33" s="27"/>
      <c r="J33" s="27"/>
      <c r="K33" s="27"/>
      <c r="L33" s="27"/>
      <c r="M33" s="27"/>
      <c r="N33" s="27"/>
      <c r="O33" s="27"/>
      <c r="P33" s="27"/>
      <c r="Q33" s="27"/>
      <c r="R33" s="27"/>
    </row>
    <row r="34" spans="1:18" x14ac:dyDescent="0.2">
      <c r="A34" s="27"/>
      <c r="B34" s="35">
        <v>6</v>
      </c>
      <c r="C34" s="36" t="s">
        <v>180</v>
      </c>
      <c r="D34" s="41">
        <v>0.5</v>
      </c>
      <c r="E34" s="38" t="s">
        <v>395</v>
      </c>
      <c r="F34" s="42"/>
      <c r="G34" s="35" t="s">
        <v>511</v>
      </c>
      <c r="H34" s="27"/>
      <c r="I34" s="27"/>
      <c r="J34" s="27"/>
      <c r="K34" s="27"/>
      <c r="L34" s="27"/>
      <c r="M34" s="27"/>
      <c r="N34" s="27"/>
      <c r="O34" s="27"/>
      <c r="P34" s="27"/>
      <c r="Q34" s="27"/>
      <c r="R34" s="27"/>
    </row>
    <row r="35" spans="1:18" x14ac:dyDescent="0.2">
      <c r="A35" s="27"/>
      <c r="B35" s="35">
        <v>6</v>
      </c>
      <c r="C35" s="36" t="s">
        <v>188</v>
      </c>
      <c r="D35" s="41">
        <v>0.75</v>
      </c>
      <c r="E35" s="38" t="s">
        <v>408</v>
      </c>
      <c r="F35" s="42"/>
      <c r="G35" s="35" t="s">
        <v>511</v>
      </c>
      <c r="H35" s="27"/>
      <c r="I35" s="27"/>
      <c r="J35" s="27"/>
      <c r="K35" s="27"/>
      <c r="L35" s="27"/>
      <c r="M35" s="27"/>
      <c r="N35" s="27"/>
      <c r="O35" s="27"/>
      <c r="P35" s="27"/>
      <c r="Q35" s="27"/>
      <c r="R35" s="27"/>
    </row>
    <row r="36" spans="1:18" x14ac:dyDescent="0.2">
      <c r="A36" s="27"/>
      <c r="B36" s="35">
        <v>6</v>
      </c>
      <c r="C36" s="36" t="s">
        <v>192</v>
      </c>
      <c r="D36" s="41">
        <v>0.75</v>
      </c>
      <c r="E36" s="38" t="s">
        <v>400</v>
      </c>
      <c r="F36" s="42"/>
      <c r="G36" s="35" t="s">
        <v>511</v>
      </c>
      <c r="H36" s="27"/>
      <c r="I36" s="27"/>
      <c r="J36" s="27"/>
      <c r="K36" s="27"/>
      <c r="L36" s="27"/>
      <c r="M36" s="27"/>
      <c r="N36" s="27"/>
      <c r="O36" s="27"/>
      <c r="P36" s="27"/>
      <c r="Q36" s="27"/>
      <c r="R36" s="27"/>
    </row>
    <row r="37" spans="1:18" x14ac:dyDescent="0.2">
      <c r="A37" s="27"/>
      <c r="B37" s="35">
        <v>6</v>
      </c>
      <c r="C37" s="36" t="s">
        <v>175</v>
      </c>
      <c r="D37" s="41">
        <v>0.75</v>
      </c>
      <c r="E37" s="38" t="s">
        <v>380</v>
      </c>
      <c r="F37" s="42"/>
      <c r="G37" s="35" t="s">
        <v>511</v>
      </c>
      <c r="H37" s="27"/>
      <c r="I37" s="27"/>
      <c r="J37" s="27"/>
      <c r="K37" s="27"/>
      <c r="L37" s="27"/>
      <c r="M37" s="27"/>
      <c r="N37" s="27"/>
      <c r="O37" s="27"/>
      <c r="P37" s="27"/>
      <c r="Q37" s="27"/>
      <c r="R37" s="27"/>
    </row>
    <row r="38" spans="1:18" x14ac:dyDescent="0.2">
      <c r="A38" s="27"/>
      <c r="B38" s="35">
        <v>7</v>
      </c>
      <c r="C38" s="36" t="s">
        <v>199</v>
      </c>
      <c r="D38" s="41">
        <v>0.5</v>
      </c>
      <c r="E38" s="38" t="s">
        <v>357</v>
      </c>
      <c r="F38" s="42"/>
      <c r="G38" s="35" t="s">
        <v>513</v>
      </c>
      <c r="H38" s="27"/>
      <c r="I38" s="27"/>
      <c r="J38" s="27"/>
      <c r="K38" s="27"/>
      <c r="L38" s="27"/>
      <c r="M38" s="27"/>
      <c r="N38" s="27"/>
      <c r="O38" s="27"/>
      <c r="P38" s="27"/>
      <c r="Q38" s="27"/>
      <c r="R38" s="27"/>
    </row>
    <row r="39" spans="1:18" x14ac:dyDescent="0.2">
      <c r="A39" s="27"/>
      <c r="B39" s="35">
        <v>7</v>
      </c>
      <c r="C39" s="36" t="s">
        <v>208</v>
      </c>
      <c r="D39" s="41">
        <v>0.75</v>
      </c>
      <c r="E39" s="38" t="s">
        <v>391</v>
      </c>
      <c r="F39" s="42"/>
      <c r="G39" s="35" t="s">
        <v>511</v>
      </c>
      <c r="H39" s="27"/>
      <c r="I39" s="27"/>
      <c r="J39" s="27"/>
      <c r="K39" s="27"/>
      <c r="L39" s="27"/>
      <c r="M39" s="27"/>
      <c r="N39" s="27"/>
      <c r="O39" s="27"/>
      <c r="P39" s="27"/>
      <c r="Q39" s="27"/>
      <c r="R39" s="27"/>
    </row>
    <row r="40" spans="1:18" x14ac:dyDescent="0.2">
      <c r="A40" s="27"/>
      <c r="B40" s="35">
        <v>7</v>
      </c>
      <c r="C40" s="36" t="s">
        <v>205</v>
      </c>
      <c r="D40" s="41">
        <v>0.6</v>
      </c>
      <c r="E40" s="38" t="s">
        <v>416</v>
      </c>
      <c r="F40" s="42"/>
      <c r="G40" s="35" t="s">
        <v>511</v>
      </c>
      <c r="H40" s="27"/>
      <c r="I40" s="27"/>
      <c r="J40" s="27"/>
      <c r="K40" s="27"/>
      <c r="L40" s="27"/>
      <c r="M40" s="27"/>
      <c r="N40" s="27"/>
      <c r="O40" s="27"/>
      <c r="P40" s="27"/>
      <c r="Q40" s="27"/>
      <c r="R40" s="27"/>
    </row>
    <row r="41" spans="1:18" x14ac:dyDescent="0.2">
      <c r="A41" s="27"/>
      <c r="B41" s="35">
        <v>7</v>
      </c>
      <c r="C41" s="36" t="s">
        <v>195</v>
      </c>
      <c r="D41" s="41" t="s">
        <v>516</v>
      </c>
      <c r="E41" s="38" t="s">
        <v>516</v>
      </c>
      <c r="F41" s="42"/>
      <c r="G41" s="35" t="s">
        <v>511</v>
      </c>
      <c r="H41" s="27"/>
      <c r="I41" s="27"/>
      <c r="J41" s="27"/>
      <c r="K41" s="27"/>
      <c r="L41" s="27"/>
      <c r="M41" s="27"/>
      <c r="N41" s="27"/>
      <c r="O41" s="27"/>
      <c r="P41" s="27"/>
      <c r="Q41" s="27"/>
      <c r="R41" s="27"/>
    </row>
    <row r="42" spans="1:18" x14ac:dyDescent="0.2">
      <c r="A42" s="27"/>
      <c r="B42" s="35">
        <v>7</v>
      </c>
      <c r="C42" s="36" t="s">
        <v>202</v>
      </c>
      <c r="D42" s="41">
        <v>0.75</v>
      </c>
      <c r="E42" s="38" t="s">
        <v>368</v>
      </c>
      <c r="F42" s="42"/>
      <c r="G42" s="35" t="s">
        <v>511</v>
      </c>
      <c r="H42" s="27"/>
      <c r="I42" s="27"/>
      <c r="J42" s="27"/>
      <c r="K42" s="27"/>
      <c r="L42" s="27"/>
      <c r="M42" s="27"/>
      <c r="N42" s="27"/>
      <c r="O42" s="27"/>
      <c r="P42" s="27"/>
      <c r="Q42" s="27"/>
      <c r="R42" s="27"/>
    </row>
    <row r="43" spans="1:18" x14ac:dyDescent="0.2">
      <c r="A43" s="27"/>
      <c r="B43" s="35">
        <v>8</v>
      </c>
      <c r="C43" s="36" t="s">
        <v>221</v>
      </c>
      <c r="D43" s="41">
        <v>0.5</v>
      </c>
      <c r="E43" s="38" t="s">
        <v>389</v>
      </c>
      <c r="F43" s="42"/>
      <c r="G43" s="35" t="s">
        <v>511</v>
      </c>
      <c r="H43" s="27"/>
      <c r="I43" s="27"/>
      <c r="J43" s="27"/>
      <c r="K43" s="27"/>
      <c r="L43" s="27"/>
      <c r="M43" s="27"/>
      <c r="N43" s="27"/>
      <c r="O43" s="27"/>
      <c r="P43" s="27"/>
      <c r="Q43" s="27"/>
      <c r="R43" s="27"/>
    </row>
    <row r="44" spans="1:18" x14ac:dyDescent="0.2">
      <c r="A44" s="27"/>
      <c r="B44" s="35">
        <v>8</v>
      </c>
      <c r="C44" s="36" t="s">
        <v>211</v>
      </c>
      <c r="D44" s="41">
        <v>0.5</v>
      </c>
      <c r="E44" s="38" t="s">
        <v>363</v>
      </c>
      <c r="F44" s="42"/>
      <c r="G44" s="35" t="s">
        <v>511</v>
      </c>
      <c r="H44" s="27"/>
      <c r="I44" s="27"/>
      <c r="J44" s="27"/>
      <c r="K44" s="27"/>
      <c r="L44" s="27"/>
      <c r="M44" s="27"/>
      <c r="N44" s="27"/>
      <c r="O44" s="27"/>
      <c r="P44" s="27"/>
      <c r="Q44" s="27"/>
      <c r="R44" s="27"/>
    </row>
    <row r="45" spans="1:18" x14ac:dyDescent="0.2">
      <c r="A45" s="27"/>
      <c r="B45" s="35">
        <v>8</v>
      </c>
      <c r="C45" s="36" t="s">
        <v>218</v>
      </c>
      <c r="D45" s="41">
        <v>0.5</v>
      </c>
      <c r="E45" s="38" t="s">
        <v>396</v>
      </c>
      <c r="F45" s="42"/>
      <c r="G45" s="35" t="s">
        <v>511</v>
      </c>
      <c r="H45" s="27"/>
      <c r="I45" s="27"/>
      <c r="J45" s="27"/>
      <c r="K45" s="27"/>
      <c r="L45" s="27"/>
      <c r="M45" s="27"/>
      <c r="N45" s="27"/>
      <c r="O45" s="27"/>
      <c r="P45" s="27"/>
      <c r="Q45" s="27"/>
      <c r="R45" s="27"/>
    </row>
    <row r="46" spans="1:18" x14ac:dyDescent="0.2">
      <c r="A46" s="27"/>
      <c r="B46" s="35">
        <v>8</v>
      </c>
      <c r="C46" s="36" t="s">
        <v>224</v>
      </c>
      <c r="D46" s="41">
        <v>0.5</v>
      </c>
      <c r="E46" s="38" t="s">
        <v>398</v>
      </c>
      <c r="F46" s="42"/>
      <c r="G46" s="35" t="s">
        <v>511</v>
      </c>
      <c r="H46" s="27"/>
      <c r="I46" s="27"/>
      <c r="J46" s="27"/>
      <c r="K46" s="27"/>
      <c r="L46" s="27"/>
      <c r="M46" s="27"/>
      <c r="N46" s="27"/>
      <c r="O46" s="27"/>
      <c r="P46" s="27"/>
      <c r="Q46" s="27"/>
      <c r="R46" s="27"/>
    </row>
    <row r="47" spans="1:18" x14ac:dyDescent="0.2">
      <c r="A47" s="27"/>
      <c r="B47" s="35">
        <v>8</v>
      </c>
      <c r="C47" s="36" t="s">
        <v>215</v>
      </c>
      <c r="D47" s="41">
        <v>0.5</v>
      </c>
      <c r="E47" s="38" t="s">
        <v>344</v>
      </c>
      <c r="F47" s="42"/>
      <c r="G47" s="35" t="s">
        <v>511</v>
      </c>
      <c r="H47" s="27"/>
      <c r="I47" s="27"/>
      <c r="J47" s="27"/>
      <c r="K47" s="27"/>
      <c r="L47" s="27"/>
      <c r="M47" s="27"/>
      <c r="N47" s="27"/>
      <c r="O47" s="27"/>
      <c r="P47" s="27"/>
      <c r="Q47" s="27"/>
      <c r="R47" s="27"/>
    </row>
    <row r="48" spans="1:18" x14ac:dyDescent="0.2">
      <c r="A48" s="27"/>
      <c r="B48" s="35">
        <v>9</v>
      </c>
      <c r="C48" s="36" t="s">
        <v>241</v>
      </c>
      <c r="D48" s="41">
        <v>0.75</v>
      </c>
      <c r="E48" s="38" t="s">
        <v>390</v>
      </c>
      <c r="F48" s="42"/>
      <c r="G48" s="35" t="s">
        <v>511</v>
      </c>
      <c r="H48" s="27"/>
      <c r="I48" s="27"/>
      <c r="J48" s="27"/>
      <c r="K48" s="27"/>
      <c r="L48" s="27"/>
      <c r="M48" s="27"/>
      <c r="N48" s="27"/>
      <c r="O48" s="27"/>
      <c r="P48" s="27"/>
      <c r="Q48" s="27"/>
      <c r="R48" s="27"/>
    </row>
    <row r="49" spans="1:18" x14ac:dyDescent="0.2">
      <c r="A49" s="27"/>
      <c r="B49" s="35">
        <v>9</v>
      </c>
      <c r="C49" s="36" t="s">
        <v>234</v>
      </c>
      <c r="D49" s="41" t="s">
        <v>516</v>
      </c>
      <c r="E49" s="38" t="s">
        <v>516</v>
      </c>
      <c r="F49" s="42"/>
      <c r="G49" s="35" t="s">
        <v>511</v>
      </c>
      <c r="H49" s="27"/>
      <c r="I49" s="27"/>
      <c r="J49" s="27"/>
      <c r="K49" s="27"/>
      <c r="L49" s="27"/>
      <c r="M49" s="27"/>
      <c r="N49" s="27"/>
      <c r="O49" s="27"/>
      <c r="P49" s="27"/>
      <c r="Q49" s="27"/>
      <c r="R49" s="27"/>
    </row>
    <row r="50" spans="1:18" x14ac:dyDescent="0.2">
      <c r="A50" s="27"/>
      <c r="B50" s="35">
        <v>9</v>
      </c>
      <c r="C50" s="36" t="s">
        <v>237</v>
      </c>
      <c r="D50" s="41">
        <v>0.75</v>
      </c>
      <c r="E50" s="38" t="s">
        <v>388</v>
      </c>
      <c r="F50" s="42"/>
      <c r="G50" s="35" t="s">
        <v>511</v>
      </c>
      <c r="H50" s="27"/>
      <c r="I50" s="27"/>
      <c r="J50" s="27"/>
      <c r="K50" s="27"/>
      <c r="L50" s="27"/>
      <c r="M50" s="27"/>
      <c r="N50" s="27"/>
      <c r="O50" s="27"/>
      <c r="P50" s="27"/>
      <c r="Q50" s="27"/>
      <c r="R50" s="27"/>
    </row>
    <row r="51" spans="1:18" x14ac:dyDescent="0.2">
      <c r="A51" s="27"/>
      <c r="B51" s="35">
        <v>9</v>
      </c>
      <c r="C51" s="36" t="s">
        <v>227</v>
      </c>
      <c r="D51" s="41">
        <v>0.75</v>
      </c>
      <c r="E51" s="38" t="s">
        <v>360</v>
      </c>
      <c r="F51" s="42"/>
      <c r="G51" s="35" t="s">
        <v>511</v>
      </c>
      <c r="H51" s="27"/>
      <c r="I51" s="27"/>
      <c r="J51" s="27"/>
      <c r="K51" s="27"/>
      <c r="L51" s="27"/>
      <c r="M51" s="27"/>
      <c r="N51" s="27"/>
      <c r="O51" s="27"/>
      <c r="P51" s="27"/>
      <c r="Q51" s="27"/>
      <c r="R51" s="27"/>
    </row>
    <row r="52" spans="1:18" x14ac:dyDescent="0.2">
      <c r="A52" s="27"/>
      <c r="B52" s="35">
        <v>9</v>
      </c>
      <c r="C52" s="36" t="s">
        <v>231</v>
      </c>
      <c r="D52" s="41">
        <v>0.75</v>
      </c>
      <c r="E52" s="38" t="s">
        <v>407</v>
      </c>
      <c r="F52" s="42"/>
      <c r="G52" s="35" t="s">
        <v>511</v>
      </c>
      <c r="H52" s="27"/>
      <c r="I52" s="27"/>
      <c r="J52" s="27"/>
      <c r="K52" s="27"/>
      <c r="L52" s="27"/>
      <c r="M52" s="27"/>
      <c r="N52" s="27"/>
      <c r="O52" s="27"/>
      <c r="P52" s="27"/>
      <c r="Q52" s="27"/>
      <c r="R52" s="27"/>
    </row>
    <row r="53" spans="1:18" x14ac:dyDescent="0.2">
      <c r="A53" s="27"/>
      <c r="B53" s="35">
        <v>10</v>
      </c>
      <c r="C53" s="36" t="s">
        <v>8</v>
      </c>
      <c r="D53" s="41">
        <v>0.75</v>
      </c>
      <c r="E53" s="38" t="s">
        <v>365</v>
      </c>
      <c r="F53" s="42"/>
      <c r="G53" s="35" t="s">
        <v>511</v>
      </c>
      <c r="H53" s="27"/>
      <c r="I53" s="27"/>
      <c r="J53" s="27"/>
      <c r="K53" s="27"/>
      <c r="L53" s="27"/>
      <c r="M53" s="27"/>
      <c r="N53" s="27"/>
      <c r="O53" s="27"/>
      <c r="P53" s="27"/>
      <c r="Q53" s="27"/>
      <c r="R53" s="27"/>
    </row>
    <row r="54" spans="1:18" x14ac:dyDescent="0.2">
      <c r="A54" s="27"/>
      <c r="B54" s="35">
        <v>10</v>
      </c>
      <c r="C54" s="36" t="s">
        <v>16</v>
      </c>
      <c r="D54" s="41">
        <v>0.75</v>
      </c>
      <c r="E54" s="38" t="s">
        <v>373</v>
      </c>
      <c r="F54" s="42"/>
      <c r="G54" s="35" t="s">
        <v>511</v>
      </c>
      <c r="H54" s="27"/>
      <c r="I54" s="27"/>
      <c r="J54" s="27"/>
      <c r="K54" s="27"/>
      <c r="L54" s="27"/>
      <c r="M54" s="27"/>
      <c r="N54" s="27"/>
      <c r="O54" s="27"/>
      <c r="P54" s="27"/>
      <c r="Q54" s="27"/>
      <c r="R54" s="27"/>
    </row>
    <row r="55" spans="1:18" x14ac:dyDescent="0.2">
      <c r="A55" s="27"/>
      <c r="B55" s="35">
        <v>10</v>
      </c>
      <c r="C55" s="36" t="s">
        <v>22</v>
      </c>
      <c r="D55" s="41">
        <v>0.75</v>
      </c>
      <c r="E55" s="38" t="s">
        <v>385</v>
      </c>
      <c r="F55" s="42"/>
      <c r="G55" s="35" t="s">
        <v>511</v>
      </c>
      <c r="H55" s="27"/>
      <c r="I55" s="27"/>
      <c r="J55" s="27"/>
      <c r="K55" s="27"/>
      <c r="L55" s="27"/>
      <c r="M55" s="27"/>
      <c r="N55" s="27"/>
      <c r="O55" s="27"/>
      <c r="P55" s="27"/>
      <c r="Q55" s="27"/>
      <c r="R55" s="27"/>
    </row>
    <row r="56" spans="1:18" x14ac:dyDescent="0.2">
      <c r="A56" s="27"/>
      <c r="B56" s="35">
        <v>10</v>
      </c>
      <c r="C56" s="36" t="s">
        <v>19</v>
      </c>
      <c r="D56" s="41">
        <v>1</v>
      </c>
      <c r="E56" s="38" t="s">
        <v>393</v>
      </c>
      <c r="F56" s="42"/>
      <c r="G56" s="35" t="s">
        <v>511</v>
      </c>
      <c r="H56" s="27"/>
      <c r="I56" s="27"/>
      <c r="J56" s="27"/>
      <c r="K56" s="27"/>
      <c r="L56" s="27"/>
      <c r="M56" s="27"/>
      <c r="N56" s="27"/>
      <c r="O56" s="27"/>
      <c r="P56" s="27"/>
      <c r="Q56" s="27"/>
      <c r="R56" s="27"/>
    </row>
    <row r="57" spans="1:18" x14ac:dyDescent="0.2">
      <c r="A57" s="27"/>
      <c r="B57" s="35">
        <v>10</v>
      </c>
      <c r="C57" s="36" t="s">
        <v>13</v>
      </c>
      <c r="D57" s="41" t="s">
        <v>516</v>
      </c>
      <c r="E57" s="38" t="s">
        <v>516</v>
      </c>
      <c r="F57" s="42"/>
      <c r="G57" s="35" t="s">
        <v>511</v>
      </c>
      <c r="H57" s="27"/>
      <c r="I57" s="27"/>
      <c r="J57" s="27"/>
      <c r="K57" s="27"/>
      <c r="L57" s="27"/>
      <c r="M57" s="27"/>
      <c r="N57" s="27"/>
      <c r="O57" s="27"/>
      <c r="P57" s="27"/>
      <c r="Q57" s="27"/>
      <c r="R57" s="27"/>
    </row>
    <row r="58" spans="1:18" x14ac:dyDescent="0.2">
      <c r="A58" s="27"/>
      <c r="B58" s="35">
        <v>11</v>
      </c>
      <c r="C58" s="36" t="s">
        <v>39</v>
      </c>
      <c r="D58" s="41">
        <v>0.5</v>
      </c>
      <c r="E58" s="38" t="s">
        <v>384</v>
      </c>
      <c r="F58" s="42" t="s">
        <v>530</v>
      </c>
      <c r="G58" s="35" t="s">
        <v>513</v>
      </c>
      <c r="H58" s="27"/>
      <c r="I58" s="27"/>
      <c r="J58" s="27"/>
      <c r="K58" s="27"/>
      <c r="L58" s="27"/>
      <c r="M58" s="27"/>
      <c r="N58" s="27"/>
      <c r="O58" s="27"/>
      <c r="P58" s="27"/>
      <c r="Q58" s="27"/>
      <c r="R58" s="27"/>
    </row>
    <row r="59" spans="1:18" x14ac:dyDescent="0.2">
      <c r="A59" s="27"/>
      <c r="B59" s="35">
        <v>11</v>
      </c>
      <c r="C59" s="36" t="s">
        <v>29</v>
      </c>
      <c r="D59" s="41">
        <v>0.75</v>
      </c>
      <c r="E59" s="38" t="s">
        <v>382</v>
      </c>
      <c r="F59" s="42"/>
      <c r="G59" s="35" t="s">
        <v>511</v>
      </c>
      <c r="H59" s="27"/>
      <c r="I59" s="27"/>
      <c r="J59" s="27"/>
      <c r="K59" s="27"/>
      <c r="L59" s="27"/>
      <c r="M59" s="27"/>
      <c r="N59" s="27"/>
      <c r="O59" s="27"/>
      <c r="P59" s="27"/>
      <c r="Q59" s="27"/>
      <c r="R59" s="27"/>
    </row>
    <row r="60" spans="1:18" x14ac:dyDescent="0.2">
      <c r="A60" s="27"/>
      <c r="B60" s="35">
        <v>11</v>
      </c>
      <c r="C60" s="36" t="s">
        <v>32</v>
      </c>
      <c r="D60" s="41" t="s">
        <v>410</v>
      </c>
      <c r="E60" s="38" t="s">
        <v>411</v>
      </c>
      <c r="F60" s="42"/>
      <c r="G60" s="35" t="s">
        <v>511</v>
      </c>
      <c r="H60" s="27"/>
      <c r="I60" s="27"/>
      <c r="J60" s="27"/>
      <c r="K60" s="27"/>
      <c r="L60" s="27"/>
      <c r="M60" s="27"/>
      <c r="N60" s="27"/>
      <c r="O60" s="27"/>
      <c r="P60" s="27"/>
      <c r="Q60" s="27"/>
      <c r="R60" s="27"/>
    </row>
    <row r="61" spans="1:18" x14ac:dyDescent="0.2">
      <c r="A61" s="27"/>
      <c r="B61" s="35">
        <v>11</v>
      </c>
      <c r="C61" s="36" t="s">
        <v>35</v>
      </c>
      <c r="D61" s="41" t="s">
        <v>378</v>
      </c>
      <c r="E61" s="38" t="s">
        <v>379</v>
      </c>
      <c r="F61" s="42" t="s">
        <v>531</v>
      </c>
      <c r="G61" s="35" t="s">
        <v>513</v>
      </c>
      <c r="H61" s="27"/>
      <c r="I61" s="27"/>
      <c r="J61" s="27"/>
      <c r="K61" s="27"/>
      <c r="L61" s="27"/>
      <c r="M61" s="27"/>
      <c r="N61" s="27"/>
      <c r="O61" s="27"/>
      <c r="P61" s="27"/>
      <c r="Q61" s="27"/>
      <c r="R61" s="27"/>
    </row>
    <row r="62" spans="1:18" x14ac:dyDescent="0.2">
      <c r="A62" s="27"/>
      <c r="B62" s="35">
        <v>11</v>
      </c>
      <c r="C62" s="36" t="s">
        <v>25</v>
      </c>
      <c r="D62" s="41">
        <v>0.75</v>
      </c>
      <c r="E62" s="38" t="s">
        <v>341</v>
      </c>
      <c r="F62" s="42"/>
      <c r="G62" s="35" t="s">
        <v>511</v>
      </c>
      <c r="H62" s="27"/>
      <c r="I62" s="27"/>
      <c r="J62" s="27"/>
      <c r="K62" s="27"/>
      <c r="L62" s="27"/>
      <c r="M62" s="27"/>
      <c r="N62" s="27"/>
      <c r="O62" s="27"/>
      <c r="P62" s="27"/>
      <c r="Q62" s="27"/>
      <c r="R62" s="27"/>
    </row>
    <row r="63" spans="1:18" x14ac:dyDescent="0.2">
      <c r="A63" s="27"/>
      <c r="B63" s="35">
        <v>11</v>
      </c>
      <c r="C63" s="36" t="s">
        <v>42</v>
      </c>
      <c r="D63" s="41">
        <v>0.75</v>
      </c>
      <c r="E63" s="38" t="s">
        <v>415</v>
      </c>
      <c r="F63" s="42" t="s">
        <v>532</v>
      </c>
      <c r="G63" s="35" t="s">
        <v>513</v>
      </c>
      <c r="H63" s="27"/>
      <c r="I63" s="27"/>
      <c r="J63" s="27"/>
      <c r="K63" s="27"/>
      <c r="L63" s="27"/>
      <c r="M63" s="27"/>
      <c r="N63" s="27"/>
      <c r="O63" s="27"/>
      <c r="P63" s="27"/>
      <c r="Q63" s="27"/>
      <c r="R63" s="27"/>
    </row>
    <row r="64" spans="1:18" x14ac:dyDescent="0.2">
      <c r="A64" s="27"/>
      <c r="B64" s="35">
        <v>12</v>
      </c>
      <c r="C64" s="36" t="s">
        <v>53</v>
      </c>
      <c r="D64" s="41">
        <v>0.75</v>
      </c>
      <c r="E64" s="38" t="s">
        <v>355</v>
      </c>
      <c r="F64" s="42"/>
      <c r="G64" s="35" t="s">
        <v>511</v>
      </c>
      <c r="H64" s="27"/>
      <c r="I64" s="27"/>
      <c r="J64" s="27"/>
      <c r="K64" s="27"/>
      <c r="L64" s="27"/>
      <c r="M64" s="27"/>
      <c r="N64" s="27"/>
      <c r="O64" s="27"/>
      <c r="P64" s="27"/>
      <c r="Q64" s="27"/>
      <c r="R64" s="27"/>
    </row>
    <row r="65" spans="1:18" x14ac:dyDescent="0.2">
      <c r="A65" s="27"/>
      <c r="B65" s="35">
        <v>12</v>
      </c>
      <c r="C65" s="36" t="s">
        <v>56</v>
      </c>
      <c r="D65" s="41">
        <v>1</v>
      </c>
      <c r="E65" s="38" t="s">
        <v>347</v>
      </c>
      <c r="F65" s="42"/>
      <c r="G65" s="35" t="s">
        <v>511</v>
      </c>
      <c r="H65" s="27"/>
      <c r="I65" s="27"/>
      <c r="J65" s="27"/>
      <c r="K65" s="27"/>
      <c r="L65" s="27"/>
      <c r="M65" s="27"/>
      <c r="N65" s="27"/>
      <c r="O65" s="27"/>
      <c r="P65" s="27"/>
      <c r="Q65" s="27"/>
      <c r="R65" s="27"/>
    </row>
    <row r="66" spans="1:18" x14ac:dyDescent="0.2">
      <c r="A66" s="27"/>
      <c r="B66" s="35">
        <v>12</v>
      </c>
      <c r="C66" s="36" t="s">
        <v>45</v>
      </c>
      <c r="D66" s="41">
        <v>1</v>
      </c>
      <c r="E66" s="38" t="s">
        <v>414</v>
      </c>
      <c r="F66" s="42"/>
      <c r="G66" s="35" t="s">
        <v>511</v>
      </c>
      <c r="H66" s="27"/>
      <c r="I66" s="27"/>
      <c r="J66" s="27"/>
      <c r="K66" s="27"/>
      <c r="L66" s="27"/>
      <c r="M66" s="27"/>
      <c r="N66" s="27"/>
      <c r="O66" s="27"/>
      <c r="P66" s="27"/>
      <c r="Q66" s="27"/>
      <c r="R66" s="27"/>
    </row>
    <row r="67" spans="1:18" x14ac:dyDescent="0.2">
      <c r="A67" s="27"/>
      <c r="B67" s="35">
        <v>12</v>
      </c>
      <c r="C67" s="36" t="s">
        <v>49</v>
      </c>
      <c r="D67" s="41">
        <v>0.75</v>
      </c>
      <c r="E67" s="38" t="s">
        <v>369</v>
      </c>
      <c r="F67" s="42"/>
      <c r="G67" s="35" t="s">
        <v>511</v>
      </c>
      <c r="H67" s="27"/>
      <c r="I67" s="27"/>
      <c r="J67" s="27"/>
      <c r="K67" s="27"/>
      <c r="L67" s="27"/>
      <c r="M67" s="27"/>
      <c r="N67" s="27"/>
      <c r="O67" s="27"/>
      <c r="P67" s="27"/>
      <c r="Q67" s="27"/>
      <c r="R67" s="27"/>
    </row>
    <row r="68" spans="1:18" x14ac:dyDescent="0.2">
      <c r="A68" s="27"/>
      <c r="B68" s="35">
        <v>12</v>
      </c>
      <c r="C68" s="36" t="s">
        <v>522</v>
      </c>
      <c r="D68" s="41" t="s">
        <v>516</v>
      </c>
      <c r="E68" s="38" t="s">
        <v>516</v>
      </c>
      <c r="F68" s="42"/>
      <c r="G68" s="35" t="s">
        <v>511</v>
      </c>
      <c r="H68" s="27"/>
      <c r="I68" s="27"/>
      <c r="J68" s="27"/>
      <c r="K68" s="27"/>
      <c r="L68" s="27"/>
      <c r="M68" s="27"/>
      <c r="N68" s="27"/>
      <c r="O68" s="27"/>
      <c r="P68" s="27"/>
      <c r="Q68" s="27"/>
      <c r="R68" s="27"/>
    </row>
    <row r="69" spans="1:18" x14ac:dyDescent="0.2">
      <c r="A69" s="27"/>
      <c r="B69" s="35">
        <v>13</v>
      </c>
      <c r="C69" s="36" t="s">
        <v>72</v>
      </c>
      <c r="D69" s="41">
        <v>0.75</v>
      </c>
      <c r="E69" s="38" t="s">
        <v>348</v>
      </c>
      <c r="F69" s="42"/>
      <c r="G69" s="35" t="s">
        <v>511</v>
      </c>
      <c r="H69" s="27"/>
      <c r="I69" s="27"/>
      <c r="J69" s="27"/>
      <c r="K69" s="27"/>
      <c r="L69" s="27"/>
      <c r="M69" s="27"/>
      <c r="N69" s="27"/>
      <c r="O69" s="27"/>
      <c r="P69" s="27"/>
      <c r="Q69" s="27"/>
      <c r="R69" s="27"/>
    </row>
    <row r="70" spans="1:18" x14ac:dyDescent="0.2">
      <c r="A70" s="27"/>
      <c r="B70" s="35">
        <v>13</v>
      </c>
      <c r="C70" s="36" t="s">
        <v>59</v>
      </c>
      <c r="D70" s="41">
        <v>0.75</v>
      </c>
      <c r="E70" s="38" t="s">
        <v>356</v>
      </c>
      <c r="F70" s="42"/>
      <c r="G70" s="35" t="s">
        <v>511</v>
      </c>
      <c r="H70" s="27"/>
      <c r="I70" s="27"/>
      <c r="J70" s="27"/>
      <c r="K70" s="27"/>
      <c r="L70" s="27"/>
      <c r="M70" s="27"/>
      <c r="N70" s="27"/>
      <c r="O70" s="27"/>
      <c r="P70" s="27"/>
      <c r="Q70" s="27"/>
      <c r="R70" s="27"/>
    </row>
    <row r="71" spans="1:18" x14ac:dyDescent="0.2">
      <c r="A71" s="27"/>
      <c r="B71" s="35">
        <v>13</v>
      </c>
      <c r="C71" s="36" t="s">
        <v>66</v>
      </c>
      <c r="D71" s="41">
        <v>0.75</v>
      </c>
      <c r="E71" s="38" t="s">
        <v>372</v>
      </c>
      <c r="F71" s="42"/>
      <c r="G71" s="35" t="s">
        <v>511</v>
      </c>
      <c r="H71" s="27"/>
      <c r="I71" s="27"/>
      <c r="J71" s="27"/>
      <c r="K71" s="27"/>
      <c r="L71" s="27"/>
      <c r="M71" s="27"/>
      <c r="N71" s="27"/>
      <c r="O71" s="27"/>
      <c r="P71" s="27"/>
      <c r="Q71" s="27"/>
      <c r="R71" s="27"/>
    </row>
    <row r="72" spans="1:18" x14ac:dyDescent="0.2">
      <c r="A72" s="27"/>
      <c r="B72" s="35">
        <v>13</v>
      </c>
      <c r="C72" s="36" t="s">
        <v>69</v>
      </c>
      <c r="D72" s="41">
        <v>0.75</v>
      </c>
      <c r="E72" s="38" t="s">
        <v>387</v>
      </c>
      <c r="F72" s="42"/>
      <c r="G72" s="35" t="s">
        <v>511</v>
      </c>
      <c r="H72" s="27"/>
      <c r="I72" s="27"/>
      <c r="J72" s="27"/>
      <c r="K72" s="27"/>
      <c r="L72" s="27"/>
      <c r="M72" s="27"/>
      <c r="N72" s="27"/>
      <c r="O72" s="27"/>
      <c r="P72" s="27"/>
      <c r="Q72" s="27"/>
      <c r="R72" s="27"/>
    </row>
    <row r="73" spans="1:18" x14ac:dyDescent="0.2">
      <c r="A73" s="27"/>
      <c r="B73" s="35">
        <v>13</v>
      </c>
      <c r="C73" s="36" t="s">
        <v>63</v>
      </c>
      <c r="D73" s="41">
        <v>0.75</v>
      </c>
      <c r="E73" s="38" t="s">
        <v>358</v>
      </c>
      <c r="F73" s="42"/>
      <c r="G73" s="35" t="s">
        <v>511</v>
      </c>
      <c r="H73" s="27"/>
      <c r="I73" s="27"/>
      <c r="J73" s="27"/>
      <c r="K73" s="27"/>
      <c r="L73" s="27"/>
      <c r="M73" s="27"/>
      <c r="N73" s="27"/>
      <c r="O73" s="27"/>
      <c r="P73" s="27"/>
      <c r="Q73" s="27"/>
      <c r="R73" s="27"/>
    </row>
    <row r="74" spans="1:18" x14ac:dyDescent="0.2">
      <c r="A74" s="27"/>
      <c r="B74" s="35">
        <v>14</v>
      </c>
      <c r="C74" s="36" t="s">
        <v>83</v>
      </c>
      <c r="D74" s="41">
        <v>0.75</v>
      </c>
      <c r="E74" s="38" t="s">
        <v>401</v>
      </c>
      <c r="F74" s="42"/>
      <c r="G74" s="35" t="s">
        <v>511</v>
      </c>
      <c r="H74" s="27"/>
      <c r="I74" s="27"/>
      <c r="J74" s="27"/>
      <c r="K74" s="27"/>
      <c r="L74" s="27"/>
      <c r="M74" s="27"/>
      <c r="N74" s="27"/>
      <c r="O74" s="27"/>
      <c r="P74" s="27"/>
      <c r="Q74" s="27"/>
      <c r="R74" s="27"/>
    </row>
    <row r="75" spans="1:18" x14ac:dyDescent="0.2">
      <c r="A75" s="27"/>
      <c r="B75" s="35">
        <v>14</v>
      </c>
      <c r="C75" s="36" t="s">
        <v>269</v>
      </c>
      <c r="D75" s="41">
        <v>1</v>
      </c>
      <c r="E75" s="38" t="s">
        <v>351</v>
      </c>
      <c r="F75" s="42"/>
      <c r="G75" s="35" t="s">
        <v>511</v>
      </c>
      <c r="H75" s="27"/>
      <c r="I75" s="27"/>
      <c r="J75" s="27"/>
      <c r="K75" s="27"/>
      <c r="L75" s="27"/>
      <c r="M75" s="27"/>
      <c r="N75" s="27"/>
      <c r="O75" s="27"/>
      <c r="P75" s="27"/>
      <c r="Q75" s="27"/>
      <c r="R75" s="27"/>
    </row>
    <row r="76" spans="1:18" x14ac:dyDescent="0.2">
      <c r="A76" s="27"/>
      <c r="B76" s="35">
        <v>14</v>
      </c>
      <c r="C76" s="36" t="s">
        <v>75</v>
      </c>
      <c r="D76" s="41">
        <v>1</v>
      </c>
      <c r="E76" s="38" t="s">
        <v>403</v>
      </c>
      <c r="F76" s="42"/>
      <c r="G76" s="35" t="s">
        <v>511</v>
      </c>
      <c r="H76" s="27"/>
      <c r="I76" s="27"/>
      <c r="J76" s="27"/>
      <c r="K76" s="27"/>
      <c r="L76" s="27"/>
      <c r="M76" s="27"/>
      <c r="N76" s="27"/>
      <c r="O76" s="27"/>
      <c r="P76" s="27"/>
      <c r="Q76" s="27"/>
      <c r="R76" s="27"/>
    </row>
    <row r="77" spans="1:18" x14ac:dyDescent="0.2">
      <c r="A77" s="27"/>
      <c r="B77" s="35">
        <v>14</v>
      </c>
      <c r="C77" s="36" t="s">
        <v>79</v>
      </c>
      <c r="D77" s="41" t="s">
        <v>376</v>
      </c>
      <c r="E77" s="38" t="s">
        <v>377</v>
      </c>
      <c r="F77" s="42"/>
      <c r="G77" s="35" t="s">
        <v>511</v>
      </c>
      <c r="H77" s="27"/>
      <c r="I77" s="27"/>
      <c r="J77" s="27"/>
      <c r="K77" s="27"/>
      <c r="L77" s="27"/>
      <c r="M77" s="27"/>
      <c r="N77" s="27"/>
      <c r="O77" s="27"/>
      <c r="P77" s="27"/>
      <c r="Q77" s="27"/>
      <c r="R77" s="27"/>
    </row>
    <row r="78" spans="1:18" x14ac:dyDescent="0.2">
      <c r="A78" s="27"/>
      <c r="B78" s="35">
        <v>14</v>
      </c>
      <c r="C78" s="36" t="s">
        <v>256</v>
      </c>
      <c r="D78" s="41">
        <v>0.75</v>
      </c>
      <c r="E78" s="38" t="s">
        <v>359</v>
      </c>
      <c r="F78" s="42" t="s">
        <v>533</v>
      </c>
      <c r="G78" s="35" t="s">
        <v>513</v>
      </c>
      <c r="H78" s="27"/>
      <c r="I78" s="27"/>
      <c r="J78" s="27"/>
      <c r="K78" s="27"/>
      <c r="L78" s="27"/>
      <c r="M78" s="27"/>
      <c r="N78" s="27"/>
      <c r="O78" s="27"/>
      <c r="P78" s="27"/>
      <c r="Q78" s="27"/>
      <c r="R78" s="27"/>
    </row>
    <row r="79" spans="1:18" x14ac:dyDescent="0.2">
      <c r="A79" s="27"/>
      <c r="B79" s="35">
        <v>15</v>
      </c>
      <c r="C79" s="36" t="s">
        <v>91</v>
      </c>
      <c r="D79" s="41">
        <v>0.75</v>
      </c>
      <c r="E79" s="38" t="s">
        <v>374</v>
      </c>
      <c r="F79" s="42"/>
      <c r="G79" s="35" t="s">
        <v>511</v>
      </c>
      <c r="H79" s="27"/>
      <c r="I79" s="27"/>
      <c r="J79" s="27"/>
      <c r="K79" s="27"/>
      <c r="L79" s="27"/>
      <c r="M79" s="27"/>
      <c r="N79" s="27"/>
      <c r="O79" s="27"/>
      <c r="P79" s="27"/>
      <c r="Q79" s="27"/>
      <c r="R79" s="27"/>
    </row>
    <row r="80" spans="1:18" x14ac:dyDescent="0.2">
      <c r="A80" s="27"/>
      <c r="B80" s="35">
        <v>15</v>
      </c>
      <c r="C80" s="36" t="s">
        <v>94</v>
      </c>
      <c r="D80" s="41">
        <v>0.75</v>
      </c>
      <c r="E80" s="38" t="s">
        <v>370</v>
      </c>
      <c r="F80" s="42"/>
      <c r="G80" s="35" t="s">
        <v>511</v>
      </c>
      <c r="H80" s="27"/>
      <c r="I80" s="27"/>
      <c r="J80" s="27"/>
      <c r="K80" s="27"/>
      <c r="L80" s="27"/>
      <c r="M80" s="27"/>
      <c r="N80" s="27"/>
      <c r="O80" s="27"/>
      <c r="P80" s="27"/>
      <c r="Q80" s="27"/>
      <c r="R80" s="27"/>
    </row>
    <row r="81" spans="1:18" x14ac:dyDescent="0.2">
      <c r="A81" s="27"/>
      <c r="B81" s="35">
        <v>15</v>
      </c>
      <c r="C81" s="36" t="s">
        <v>100</v>
      </c>
      <c r="D81" s="41" t="s">
        <v>349</v>
      </c>
      <c r="E81" s="38" t="s">
        <v>350</v>
      </c>
      <c r="F81" s="42"/>
      <c r="G81" s="35" t="s">
        <v>511</v>
      </c>
      <c r="H81" s="27"/>
      <c r="I81" s="27"/>
      <c r="J81" s="27"/>
      <c r="K81" s="27"/>
      <c r="L81" s="27"/>
      <c r="M81" s="27"/>
      <c r="N81" s="27"/>
      <c r="O81" s="27"/>
      <c r="P81" s="27"/>
      <c r="Q81" s="27"/>
      <c r="R81" s="27"/>
    </row>
    <row r="82" spans="1:18" x14ac:dyDescent="0.2">
      <c r="A82" s="27"/>
      <c r="B82" s="35">
        <v>15</v>
      </c>
      <c r="C82" s="36" t="s">
        <v>86</v>
      </c>
      <c r="D82" s="41">
        <v>0.75</v>
      </c>
      <c r="E82" s="38" t="s">
        <v>371</v>
      </c>
      <c r="F82" s="42"/>
      <c r="G82" s="35" t="s">
        <v>511</v>
      </c>
      <c r="H82" s="27"/>
      <c r="I82" s="27"/>
      <c r="J82" s="27"/>
      <c r="K82" s="27"/>
      <c r="L82" s="27"/>
      <c r="M82" s="27"/>
      <c r="N82" s="27"/>
      <c r="O82" s="27"/>
      <c r="P82" s="27"/>
      <c r="Q82" s="27"/>
      <c r="R82" s="27"/>
    </row>
    <row r="83" spans="1:18" x14ac:dyDescent="0.2">
      <c r="A83" s="27"/>
      <c r="B83" s="35">
        <v>15</v>
      </c>
      <c r="C83" s="36" t="s">
        <v>97</v>
      </c>
      <c r="D83" s="41" t="s">
        <v>516</v>
      </c>
      <c r="E83" s="38" t="s">
        <v>516</v>
      </c>
      <c r="F83" s="42"/>
      <c r="G83" s="35" t="s">
        <v>511</v>
      </c>
      <c r="H83" s="27"/>
      <c r="I83" s="27"/>
      <c r="J83" s="27"/>
      <c r="K83" s="27"/>
      <c r="L83" s="27"/>
      <c r="M83" s="27"/>
      <c r="N83" s="27"/>
      <c r="O83" s="27"/>
      <c r="P83" s="27"/>
      <c r="Q83" s="27"/>
      <c r="R83" s="27"/>
    </row>
    <row r="84" spans="1:18" x14ac:dyDescent="0.2">
      <c r="A84" s="27"/>
      <c r="B84" s="27"/>
      <c r="C84" s="27"/>
      <c r="D84" s="39" t="s">
        <v>516</v>
      </c>
      <c r="E84" s="29" t="s">
        <v>516</v>
      </c>
      <c r="F84" s="27"/>
      <c r="G84" s="27"/>
      <c r="H84" s="27"/>
      <c r="I84" s="27"/>
      <c r="J84" s="27"/>
      <c r="K84" s="27"/>
      <c r="L84" s="27"/>
      <c r="M84" s="27"/>
      <c r="N84" s="27"/>
      <c r="O84" s="27"/>
      <c r="P84" s="27"/>
      <c r="Q84" s="27"/>
      <c r="R84" s="27"/>
    </row>
  </sheetData>
  <phoneticPr fontId="6" type="noConversion"/>
  <conditionalFormatting sqref="B5:G83">
    <cfRule type="expression" dxfId="7" priority="4">
      <formula>MOD($B5,2)&gt;0</formula>
    </cfRule>
  </conditionalFormatting>
  <conditionalFormatting sqref="C5:C83">
    <cfRule type="expression" dxfId="6" priority="1">
      <formula>$D5 = ""</formula>
    </cfRule>
  </conditionalFormatting>
  <conditionalFormatting sqref="E5:F83">
    <cfRule type="expression" dxfId="5" priority="2">
      <formula>($G5="비상")</formula>
    </cfRule>
    <cfRule type="expression" dxfId="4" priority="3">
      <formula>($G5="주의")</formula>
    </cfRule>
  </conditionalFormatting>
  <dataValidations count="1">
    <dataValidation type="list" allowBlank="1" showErrorMessage="1" sqref="G5:G83" xr:uid="{00000000-0002-0000-0400-000000000000}">
      <formula1>"대기,양호,주의,비상"</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84"/>
  <sheetViews>
    <sheetView showGridLines="0" workbookViewId="0"/>
  </sheetViews>
  <sheetFormatPr defaultColWidth="12.5703125" defaultRowHeight="15.75" customHeight="1" x14ac:dyDescent="0.2"/>
  <cols>
    <col min="1" max="1" width="1.7109375" customWidth="1"/>
    <col min="2" max="2" width="6.28515625" customWidth="1"/>
    <col min="4" max="4" width="14.140625" customWidth="1"/>
    <col min="5" max="5" width="123.42578125" customWidth="1"/>
    <col min="6" max="6" width="47.85546875" customWidth="1"/>
  </cols>
  <sheetData>
    <row r="1" spans="1:18" x14ac:dyDescent="0.2">
      <c r="A1" s="27"/>
      <c r="B1" s="27"/>
      <c r="C1" s="27"/>
      <c r="D1" s="39"/>
      <c r="E1" s="29"/>
      <c r="F1" s="29"/>
      <c r="G1" s="27"/>
      <c r="H1" s="27"/>
      <c r="I1" s="27"/>
      <c r="J1" s="27"/>
      <c r="K1" s="27"/>
      <c r="L1" s="27"/>
      <c r="M1" s="27"/>
      <c r="N1" s="27"/>
      <c r="O1" s="27"/>
      <c r="P1" s="27"/>
      <c r="Q1" s="27"/>
      <c r="R1" s="27"/>
    </row>
    <row r="2" spans="1:18" x14ac:dyDescent="0.2">
      <c r="A2" s="27"/>
      <c r="B2" s="30" t="s">
        <v>505</v>
      </c>
      <c r="C2" s="31">
        <v>46045</v>
      </c>
      <c r="D2" s="39"/>
      <c r="E2" s="29"/>
      <c r="F2" s="29"/>
      <c r="G2" s="27"/>
      <c r="H2" s="27"/>
      <c r="I2" s="27"/>
      <c r="J2" s="27"/>
      <c r="K2" s="27"/>
      <c r="L2" s="27"/>
      <c r="M2" s="27"/>
      <c r="N2" s="27"/>
      <c r="O2" s="27"/>
      <c r="P2" s="27"/>
      <c r="Q2" s="27"/>
      <c r="R2" s="27"/>
    </row>
    <row r="3" spans="1:18" x14ac:dyDescent="0.2">
      <c r="A3" s="27"/>
      <c r="B3" s="27"/>
      <c r="C3" s="27"/>
      <c r="D3" s="39"/>
      <c r="E3" s="29"/>
      <c r="F3" s="29"/>
      <c r="G3" s="27"/>
      <c r="H3" s="27"/>
      <c r="I3" s="27"/>
      <c r="J3" s="27"/>
      <c r="K3" s="27"/>
      <c r="L3" s="27"/>
      <c r="M3" s="27"/>
      <c r="N3" s="27"/>
      <c r="O3" s="27"/>
      <c r="P3" s="27"/>
      <c r="Q3" s="27"/>
      <c r="R3" s="27"/>
    </row>
    <row r="4" spans="1:18" x14ac:dyDescent="0.2">
      <c r="A4" s="27"/>
      <c r="B4" s="32" t="s">
        <v>499</v>
      </c>
      <c r="C4" s="32" t="s">
        <v>2</v>
      </c>
      <c r="D4" s="40" t="s">
        <v>506</v>
      </c>
      <c r="E4" s="34" t="s">
        <v>507</v>
      </c>
      <c r="F4" s="34" t="s">
        <v>508</v>
      </c>
      <c r="G4" s="32" t="s">
        <v>509</v>
      </c>
      <c r="H4" s="27"/>
      <c r="I4" s="27"/>
      <c r="J4" s="27"/>
      <c r="K4" s="27"/>
      <c r="L4" s="27"/>
      <c r="M4" s="27"/>
      <c r="N4" s="27"/>
      <c r="O4" s="27"/>
      <c r="P4" s="27"/>
      <c r="Q4" s="27"/>
      <c r="R4" s="27"/>
    </row>
    <row r="5" spans="1:18" x14ac:dyDescent="0.2">
      <c r="A5" s="27"/>
      <c r="B5" s="35">
        <v>1</v>
      </c>
      <c r="C5" s="36" t="s">
        <v>110</v>
      </c>
      <c r="D5" s="41">
        <v>0.75</v>
      </c>
      <c r="E5" s="38" t="s">
        <v>490</v>
      </c>
      <c r="F5" s="38"/>
      <c r="G5" s="35" t="s">
        <v>511</v>
      </c>
      <c r="H5" s="27"/>
      <c r="I5" s="27"/>
      <c r="J5" s="27"/>
      <c r="K5" s="27"/>
      <c r="L5" s="27"/>
      <c r="M5" s="27"/>
      <c r="N5" s="27"/>
      <c r="O5" s="27"/>
      <c r="P5" s="27"/>
      <c r="Q5" s="27"/>
      <c r="R5" s="27"/>
    </row>
    <row r="6" spans="1:18" x14ac:dyDescent="0.2">
      <c r="A6" s="27"/>
      <c r="B6" s="35">
        <v>1</v>
      </c>
      <c r="C6" s="36" t="s">
        <v>103</v>
      </c>
      <c r="D6" s="41">
        <v>0.75</v>
      </c>
      <c r="E6" s="38" t="s">
        <v>452</v>
      </c>
      <c r="F6" s="38"/>
      <c r="G6" s="35" t="s">
        <v>511</v>
      </c>
      <c r="H6" s="27"/>
      <c r="I6" s="27"/>
      <c r="J6" s="27"/>
      <c r="K6" s="27"/>
      <c r="L6" s="27"/>
      <c r="M6" s="27"/>
      <c r="N6" s="27"/>
      <c r="O6" s="27"/>
      <c r="P6" s="27"/>
      <c r="Q6" s="27"/>
      <c r="R6" s="27"/>
    </row>
    <row r="7" spans="1:18" x14ac:dyDescent="0.2">
      <c r="A7" s="27"/>
      <c r="B7" s="35">
        <v>1</v>
      </c>
      <c r="C7" s="36" t="s">
        <v>247</v>
      </c>
      <c r="D7" s="41">
        <v>1</v>
      </c>
      <c r="E7" s="38" t="s">
        <v>438</v>
      </c>
      <c r="F7" s="38"/>
      <c r="G7" s="35" t="s">
        <v>511</v>
      </c>
      <c r="H7" s="27"/>
      <c r="I7" s="27"/>
      <c r="J7" s="27"/>
      <c r="K7" s="27"/>
      <c r="L7" s="27"/>
      <c r="M7" s="27"/>
      <c r="N7" s="27"/>
      <c r="O7" s="27"/>
      <c r="P7" s="27"/>
      <c r="Q7" s="27"/>
      <c r="R7" s="27"/>
    </row>
    <row r="8" spans="1:18" x14ac:dyDescent="0.2">
      <c r="A8" s="27"/>
      <c r="B8" s="35">
        <v>1</v>
      </c>
      <c r="C8" s="36" t="s">
        <v>113</v>
      </c>
      <c r="D8" s="41">
        <v>0.75</v>
      </c>
      <c r="E8" s="38" t="s">
        <v>496</v>
      </c>
      <c r="F8" s="38"/>
      <c r="G8" s="35" t="s">
        <v>511</v>
      </c>
      <c r="H8" s="27"/>
      <c r="I8" s="27"/>
      <c r="J8" s="27"/>
      <c r="K8" s="27"/>
      <c r="L8" s="27"/>
      <c r="M8" s="27"/>
      <c r="N8" s="27"/>
      <c r="O8" s="27"/>
      <c r="P8" s="27"/>
      <c r="Q8" s="27"/>
      <c r="R8" s="27"/>
    </row>
    <row r="9" spans="1:18" x14ac:dyDescent="0.2">
      <c r="A9" s="27"/>
      <c r="B9" s="35">
        <v>1</v>
      </c>
      <c r="C9" s="36" t="s">
        <v>291</v>
      </c>
      <c r="D9" s="41">
        <v>0.75</v>
      </c>
      <c r="E9" s="38" t="s">
        <v>431</v>
      </c>
      <c r="F9" s="38"/>
      <c r="G9" s="35" t="s">
        <v>511</v>
      </c>
      <c r="H9" s="27"/>
      <c r="I9" s="27"/>
      <c r="J9" s="27"/>
      <c r="K9" s="27"/>
      <c r="L9" s="27"/>
      <c r="M9" s="27"/>
      <c r="N9" s="27"/>
      <c r="O9" s="27"/>
      <c r="P9" s="27"/>
      <c r="Q9" s="27"/>
      <c r="R9" s="27"/>
    </row>
    <row r="10" spans="1:18" x14ac:dyDescent="0.2">
      <c r="A10" s="27"/>
      <c r="B10" s="35">
        <v>1</v>
      </c>
      <c r="C10" s="36" t="s">
        <v>107</v>
      </c>
      <c r="D10" s="41">
        <v>0.9</v>
      </c>
      <c r="E10" s="38" t="s">
        <v>455</v>
      </c>
      <c r="F10" s="38"/>
      <c r="G10" s="35" t="s">
        <v>511</v>
      </c>
      <c r="H10" s="27"/>
      <c r="I10" s="27"/>
      <c r="J10" s="27"/>
      <c r="K10" s="27"/>
      <c r="L10" s="27"/>
      <c r="M10" s="27"/>
      <c r="N10" s="27"/>
      <c r="O10" s="27"/>
      <c r="P10" s="27"/>
      <c r="Q10" s="27"/>
      <c r="R10" s="27"/>
    </row>
    <row r="11" spans="1:18" x14ac:dyDescent="0.2">
      <c r="A11" s="27"/>
      <c r="B11" s="35">
        <v>2</v>
      </c>
      <c r="C11" s="36" t="s">
        <v>123</v>
      </c>
      <c r="D11" s="41">
        <v>1</v>
      </c>
      <c r="E11" s="38" t="s">
        <v>472</v>
      </c>
      <c r="F11" s="38"/>
      <c r="G11" s="35" t="s">
        <v>511</v>
      </c>
      <c r="H11" s="27"/>
      <c r="I11" s="27"/>
      <c r="J11" s="27"/>
      <c r="K11" s="27"/>
      <c r="L11" s="27"/>
      <c r="M11" s="27"/>
      <c r="N11" s="27"/>
      <c r="O11" s="27"/>
      <c r="P11" s="27"/>
      <c r="Q11" s="27"/>
      <c r="R11" s="27"/>
    </row>
    <row r="12" spans="1:18" x14ac:dyDescent="0.2">
      <c r="A12" s="27"/>
      <c r="B12" s="35">
        <v>2</v>
      </c>
      <c r="C12" s="36" t="s">
        <v>129</v>
      </c>
      <c r="D12" s="41" t="s">
        <v>444</v>
      </c>
      <c r="E12" s="38" t="s">
        <v>445</v>
      </c>
      <c r="F12" s="38"/>
      <c r="G12" s="35" t="s">
        <v>511</v>
      </c>
      <c r="H12" s="27"/>
      <c r="I12" s="27"/>
      <c r="J12" s="27"/>
      <c r="K12" s="27"/>
      <c r="L12" s="27"/>
      <c r="M12" s="27"/>
      <c r="N12" s="27"/>
      <c r="O12" s="27"/>
      <c r="P12" s="27"/>
      <c r="Q12" s="27"/>
      <c r="R12" s="27"/>
    </row>
    <row r="13" spans="1:18" x14ac:dyDescent="0.2">
      <c r="A13" s="27"/>
      <c r="B13" s="35">
        <v>2</v>
      </c>
      <c r="C13" s="36" t="s">
        <v>120</v>
      </c>
      <c r="D13" s="41">
        <v>0.5</v>
      </c>
      <c r="E13" s="38" t="s">
        <v>470</v>
      </c>
      <c r="F13" s="38"/>
      <c r="G13" s="35" t="s">
        <v>511</v>
      </c>
      <c r="H13" s="27"/>
      <c r="I13" s="27"/>
      <c r="J13" s="27"/>
      <c r="K13" s="27"/>
      <c r="L13" s="27"/>
      <c r="M13" s="27"/>
      <c r="N13" s="27"/>
      <c r="O13" s="27"/>
      <c r="P13" s="27"/>
      <c r="Q13" s="27"/>
      <c r="R13" s="27"/>
    </row>
    <row r="14" spans="1:18" x14ac:dyDescent="0.2">
      <c r="A14" s="27"/>
      <c r="B14" s="35">
        <v>2</v>
      </c>
      <c r="C14" s="36" t="s">
        <v>116</v>
      </c>
      <c r="D14" s="41">
        <v>1</v>
      </c>
      <c r="E14" s="38" t="s">
        <v>423</v>
      </c>
      <c r="F14" s="38"/>
      <c r="G14" s="35" t="s">
        <v>511</v>
      </c>
      <c r="H14" s="27"/>
      <c r="I14" s="27"/>
      <c r="J14" s="27"/>
      <c r="K14" s="27"/>
      <c r="L14" s="27"/>
      <c r="M14" s="27"/>
      <c r="N14" s="27"/>
      <c r="O14" s="27"/>
      <c r="P14" s="27"/>
      <c r="Q14" s="27"/>
      <c r="R14" s="27"/>
    </row>
    <row r="15" spans="1:18" x14ac:dyDescent="0.2">
      <c r="A15" s="27"/>
      <c r="B15" s="35">
        <v>2</v>
      </c>
      <c r="C15" s="36" t="s">
        <v>250</v>
      </c>
      <c r="D15" s="41">
        <v>0.75</v>
      </c>
      <c r="E15" s="38" t="s">
        <v>495</v>
      </c>
      <c r="F15" s="38"/>
      <c r="G15" s="35" t="s">
        <v>511</v>
      </c>
      <c r="H15" s="27"/>
      <c r="I15" s="27"/>
      <c r="J15" s="27"/>
      <c r="K15" s="27"/>
      <c r="L15" s="27"/>
      <c r="M15" s="27"/>
      <c r="N15" s="27"/>
      <c r="O15" s="27"/>
      <c r="P15" s="27"/>
      <c r="Q15" s="27"/>
      <c r="R15" s="27"/>
    </row>
    <row r="16" spans="1:18" x14ac:dyDescent="0.2">
      <c r="A16" s="27"/>
      <c r="B16" s="35">
        <v>2</v>
      </c>
      <c r="C16" s="36" t="s">
        <v>126</v>
      </c>
      <c r="D16" s="41" t="s">
        <v>516</v>
      </c>
      <c r="E16" s="38" t="s">
        <v>516</v>
      </c>
      <c r="F16" s="38"/>
      <c r="G16" s="35" t="s">
        <v>511</v>
      </c>
      <c r="H16" s="27"/>
      <c r="I16" s="27"/>
      <c r="J16" s="27"/>
      <c r="K16" s="27"/>
      <c r="L16" s="27"/>
      <c r="M16" s="27"/>
      <c r="N16" s="27"/>
      <c r="O16" s="27"/>
      <c r="P16" s="27"/>
      <c r="Q16" s="27"/>
      <c r="R16" s="27"/>
    </row>
    <row r="17" spans="1:18" x14ac:dyDescent="0.2">
      <c r="A17" s="27"/>
      <c r="B17" s="35">
        <v>3</v>
      </c>
      <c r="C17" s="36" t="s">
        <v>148</v>
      </c>
      <c r="D17" s="41">
        <v>0.5</v>
      </c>
      <c r="E17" s="38" t="s">
        <v>459</v>
      </c>
      <c r="F17" s="38"/>
      <c r="G17" s="35" t="s">
        <v>511</v>
      </c>
      <c r="H17" s="27"/>
      <c r="I17" s="27"/>
      <c r="J17" s="27"/>
      <c r="K17" s="27"/>
      <c r="L17" s="27"/>
      <c r="M17" s="27"/>
      <c r="N17" s="27"/>
      <c r="O17" s="27"/>
      <c r="P17" s="27"/>
      <c r="Q17" s="27"/>
      <c r="R17" s="27"/>
    </row>
    <row r="18" spans="1:18" x14ac:dyDescent="0.2">
      <c r="A18" s="27"/>
      <c r="B18" s="35">
        <v>3</v>
      </c>
      <c r="C18" s="36" t="s">
        <v>136</v>
      </c>
      <c r="D18" s="41">
        <v>0.75</v>
      </c>
      <c r="E18" s="38" t="s">
        <v>458</v>
      </c>
      <c r="F18" s="38"/>
      <c r="G18" s="35" t="s">
        <v>511</v>
      </c>
      <c r="H18" s="27"/>
      <c r="I18" s="27"/>
      <c r="J18" s="27"/>
      <c r="K18" s="27"/>
      <c r="L18" s="27"/>
      <c r="M18" s="27"/>
      <c r="N18" s="27"/>
      <c r="O18" s="27"/>
      <c r="P18" s="27"/>
      <c r="Q18" s="27"/>
      <c r="R18" s="27"/>
    </row>
    <row r="19" spans="1:18" x14ac:dyDescent="0.2">
      <c r="A19" s="27"/>
      <c r="B19" s="35">
        <v>3</v>
      </c>
      <c r="C19" s="36" t="s">
        <v>139</v>
      </c>
      <c r="D19" s="41">
        <v>0.75</v>
      </c>
      <c r="E19" s="38" t="s">
        <v>465</v>
      </c>
      <c r="F19" s="38"/>
      <c r="G19" s="35" t="s">
        <v>511</v>
      </c>
      <c r="H19" s="27"/>
      <c r="I19" s="27"/>
      <c r="J19" s="27"/>
      <c r="K19" s="27"/>
      <c r="L19" s="27"/>
      <c r="M19" s="27"/>
      <c r="N19" s="27"/>
      <c r="O19" s="27"/>
      <c r="P19" s="27"/>
      <c r="Q19" s="27"/>
      <c r="R19" s="27"/>
    </row>
    <row r="20" spans="1:18" x14ac:dyDescent="0.2">
      <c r="A20" s="27"/>
      <c r="B20" s="35">
        <v>3</v>
      </c>
      <c r="C20" s="36" t="s">
        <v>145</v>
      </c>
      <c r="D20" s="41">
        <v>0.75</v>
      </c>
      <c r="E20" s="38" t="s">
        <v>493</v>
      </c>
      <c r="F20" s="38"/>
      <c r="G20" s="35" t="s">
        <v>511</v>
      </c>
      <c r="H20" s="27"/>
      <c r="I20" s="27"/>
      <c r="J20" s="27"/>
      <c r="K20" s="27"/>
      <c r="L20" s="27"/>
      <c r="M20" s="27"/>
      <c r="N20" s="27"/>
      <c r="O20" s="27"/>
      <c r="P20" s="27"/>
      <c r="Q20" s="27"/>
      <c r="R20" s="27"/>
    </row>
    <row r="21" spans="1:18" x14ac:dyDescent="0.2">
      <c r="A21" s="27"/>
      <c r="B21" s="35">
        <v>3</v>
      </c>
      <c r="C21" s="36" t="s">
        <v>502</v>
      </c>
      <c r="D21" s="41" t="s">
        <v>516</v>
      </c>
      <c r="E21" s="38" t="s">
        <v>516</v>
      </c>
      <c r="F21" s="38"/>
      <c r="G21" s="35" t="s">
        <v>511</v>
      </c>
      <c r="H21" s="27"/>
      <c r="I21" s="27"/>
      <c r="J21" s="27"/>
      <c r="K21" s="27"/>
      <c r="L21" s="27"/>
      <c r="M21" s="27"/>
      <c r="N21" s="27"/>
      <c r="O21" s="27"/>
      <c r="P21" s="27"/>
      <c r="Q21" s="27"/>
      <c r="R21" s="27"/>
    </row>
    <row r="22" spans="1:18" x14ac:dyDescent="0.2">
      <c r="A22" s="27"/>
      <c r="B22" s="35">
        <v>3</v>
      </c>
      <c r="C22" s="36" t="s">
        <v>142</v>
      </c>
      <c r="D22" s="41">
        <v>0.75</v>
      </c>
      <c r="E22" s="38" t="s">
        <v>469</v>
      </c>
      <c r="F22" s="38"/>
      <c r="G22" s="35" t="s">
        <v>511</v>
      </c>
      <c r="H22" s="27"/>
      <c r="I22" s="27"/>
      <c r="J22" s="27"/>
      <c r="K22" s="27"/>
      <c r="L22" s="27"/>
      <c r="M22" s="27"/>
      <c r="N22" s="27"/>
      <c r="O22" s="27"/>
      <c r="P22" s="27"/>
      <c r="Q22" s="27"/>
      <c r="R22" s="27"/>
    </row>
    <row r="23" spans="1:18" x14ac:dyDescent="0.2">
      <c r="A23" s="27"/>
      <c r="B23" s="35">
        <v>4</v>
      </c>
      <c r="C23" s="36" t="s">
        <v>504</v>
      </c>
      <c r="D23" s="41" t="s">
        <v>516</v>
      </c>
      <c r="E23" s="38" t="s">
        <v>516</v>
      </c>
      <c r="F23" s="38"/>
      <c r="G23" s="35" t="s">
        <v>511</v>
      </c>
      <c r="H23" s="27"/>
      <c r="I23" s="27"/>
      <c r="J23" s="27"/>
      <c r="K23" s="27"/>
      <c r="L23" s="27"/>
      <c r="M23" s="27"/>
      <c r="N23" s="27"/>
      <c r="O23" s="27"/>
      <c r="P23" s="27"/>
      <c r="Q23" s="27"/>
      <c r="R23" s="27"/>
    </row>
    <row r="24" spans="1:18" x14ac:dyDescent="0.2">
      <c r="A24" s="27"/>
      <c r="B24" s="35">
        <v>4</v>
      </c>
      <c r="C24" s="36" t="s">
        <v>161</v>
      </c>
      <c r="D24" s="41">
        <v>1</v>
      </c>
      <c r="E24" s="38" t="s">
        <v>484</v>
      </c>
      <c r="F24" s="38"/>
      <c r="G24" s="35" t="s">
        <v>515</v>
      </c>
      <c r="H24" s="27"/>
      <c r="I24" s="27"/>
      <c r="J24" s="27"/>
      <c r="K24" s="27"/>
      <c r="L24" s="27"/>
      <c r="M24" s="27"/>
      <c r="N24" s="27"/>
      <c r="O24" s="27"/>
      <c r="P24" s="27"/>
      <c r="Q24" s="27"/>
      <c r="R24" s="27"/>
    </row>
    <row r="25" spans="1:18" x14ac:dyDescent="0.2">
      <c r="A25" s="27"/>
      <c r="B25" s="35">
        <v>4</v>
      </c>
      <c r="C25" s="36" t="s">
        <v>155</v>
      </c>
      <c r="D25" s="41">
        <v>1</v>
      </c>
      <c r="E25" s="38" t="s">
        <v>420</v>
      </c>
      <c r="F25" s="38"/>
      <c r="G25" s="35" t="s">
        <v>511</v>
      </c>
      <c r="H25" s="27"/>
      <c r="I25" s="27"/>
      <c r="J25" s="27"/>
      <c r="K25" s="27"/>
      <c r="L25" s="27"/>
      <c r="M25" s="27"/>
      <c r="N25" s="27"/>
      <c r="O25" s="27"/>
      <c r="P25" s="27"/>
      <c r="Q25" s="27"/>
      <c r="R25" s="27"/>
    </row>
    <row r="26" spans="1:18" x14ac:dyDescent="0.2">
      <c r="A26" s="27"/>
      <c r="B26" s="35">
        <v>4</v>
      </c>
      <c r="C26" s="36" t="s">
        <v>151</v>
      </c>
      <c r="D26" s="41" t="s">
        <v>440</v>
      </c>
      <c r="E26" s="38" t="s">
        <v>441</v>
      </c>
      <c r="F26" s="38"/>
      <c r="G26" s="35" t="s">
        <v>513</v>
      </c>
      <c r="H26" s="27"/>
      <c r="I26" s="27"/>
      <c r="J26" s="27"/>
      <c r="K26" s="27"/>
      <c r="L26" s="27"/>
      <c r="M26" s="27"/>
      <c r="N26" s="27"/>
      <c r="O26" s="27"/>
      <c r="P26" s="27"/>
      <c r="Q26" s="27"/>
      <c r="R26" s="27"/>
    </row>
    <row r="27" spans="1:18" x14ac:dyDescent="0.2">
      <c r="A27" s="27"/>
      <c r="B27" s="35">
        <v>4</v>
      </c>
      <c r="C27" s="36" t="s">
        <v>158</v>
      </c>
      <c r="D27" s="41">
        <v>1</v>
      </c>
      <c r="E27" s="38" t="s">
        <v>453</v>
      </c>
      <c r="F27" s="38"/>
      <c r="G27" s="35" t="s">
        <v>511</v>
      </c>
      <c r="H27" s="27"/>
      <c r="I27" s="27"/>
      <c r="J27" s="27"/>
      <c r="K27" s="27"/>
      <c r="L27" s="27"/>
      <c r="M27" s="27"/>
      <c r="N27" s="27"/>
      <c r="O27" s="27"/>
      <c r="P27" s="27"/>
      <c r="Q27" s="27"/>
      <c r="R27" s="27"/>
    </row>
    <row r="28" spans="1:18" x14ac:dyDescent="0.2">
      <c r="A28" s="27"/>
      <c r="B28" s="35">
        <v>5</v>
      </c>
      <c r="C28" s="36" t="s">
        <v>244</v>
      </c>
      <c r="D28" s="41">
        <v>1</v>
      </c>
      <c r="E28" s="38" t="s">
        <v>482</v>
      </c>
      <c r="F28" s="38"/>
      <c r="G28" s="35" t="s">
        <v>511</v>
      </c>
      <c r="H28" s="27"/>
      <c r="I28" s="27"/>
      <c r="J28" s="27"/>
      <c r="K28" s="27"/>
      <c r="L28" s="27"/>
      <c r="M28" s="27"/>
      <c r="N28" s="27"/>
      <c r="O28" s="27"/>
      <c r="P28" s="27"/>
      <c r="Q28" s="27"/>
      <c r="R28" s="27"/>
    </row>
    <row r="29" spans="1:18" x14ac:dyDescent="0.2">
      <c r="A29" s="27"/>
      <c r="B29" s="35">
        <v>5</v>
      </c>
      <c r="C29" s="36" t="s">
        <v>164</v>
      </c>
      <c r="D29" s="41">
        <v>1</v>
      </c>
      <c r="E29" s="38" t="s">
        <v>479</v>
      </c>
      <c r="F29" s="38"/>
      <c r="G29" s="35" t="s">
        <v>511</v>
      </c>
      <c r="H29" s="27"/>
      <c r="I29" s="27"/>
      <c r="J29" s="27"/>
      <c r="K29" s="27"/>
      <c r="L29" s="27"/>
      <c r="M29" s="27"/>
      <c r="N29" s="27"/>
      <c r="O29" s="27"/>
      <c r="P29" s="27"/>
      <c r="Q29" s="27"/>
      <c r="R29" s="27"/>
    </row>
    <row r="30" spans="1:18" x14ac:dyDescent="0.2">
      <c r="A30" s="27"/>
      <c r="B30" s="35">
        <v>5</v>
      </c>
      <c r="C30" s="36" t="s">
        <v>253</v>
      </c>
      <c r="D30" s="41">
        <v>1</v>
      </c>
      <c r="E30" s="38" t="s">
        <v>419</v>
      </c>
      <c r="F30" s="38"/>
      <c r="G30" s="35" t="s">
        <v>511</v>
      </c>
      <c r="H30" s="27"/>
      <c r="I30" s="27"/>
      <c r="J30" s="27"/>
      <c r="K30" s="27"/>
      <c r="L30" s="27"/>
      <c r="M30" s="27"/>
      <c r="N30" s="27"/>
      <c r="O30" s="27"/>
      <c r="P30" s="27"/>
      <c r="Q30" s="27"/>
      <c r="R30" s="27"/>
    </row>
    <row r="31" spans="1:18" x14ac:dyDescent="0.2">
      <c r="A31" s="27"/>
      <c r="B31" s="35">
        <v>5</v>
      </c>
      <c r="C31" s="36" t="s">
        <v>171</v>
      </c>
      <c r="D31" s="41">
        <v>1</v>
      </c>
      <c r="E31" s="38" t="s">
        <v>481</v>
      </c>
      <c r="F31" s="38" t="s">
        <v>534</v>
      </c>
      <c r="G31" s="35" t="s">
        <v>513</v>
      </c>
      <c r="H31" s="27"/>
      <c r="I31" s="27"/>
      <c r="J31" s="27"/>
      <c r="K31" s="27"/>
      <c r="L31" s="27"/>
      <c r="M31" s="27"/>
      <c r="N31" s="27"/>
      <c r="O31" s="27"/>
      <c r="P31" s="27"/>
      <c r="Q31" s="27"/>
      <c r="R31" s="27"/>
    </row>
    <row r="32" spans="1:18" x14ac:dyDescent="0.2">
      <c r="A32" s="27"/>
      <c r="B32" s="35">
        <v>5</v>
      </c>
      <c r="C32" s="36" t="s">
        <v>168</v>
      </c>
      <c r="D32" s="41">
        <v>1</v>
      </c>
      <c r="E32" s="38" t="s">
        <v>425</v>
      </c>
      <c r="F32" s="38"/>
      <c r="G32" s="35" t="s">
        <v>511</v>
      </c>
      <c r="H32" s="27"/>
      <c r="I32" s="27"/>
      <c r="J32" s="27"/>
      <c r="K32" s="27"/>
      <c r="L32" s="27"/>
      <c r="M32" s="27"/>
      <c r="N32" s="27"/>
      <c r="O32" s="27"/>
      <c r="P32" s="27"/>
      <c r="Q32" s="27"/>
      <c r="R32" s="27"/>
    </row>
    <row r="33" spans="1:18" x14ac:dyDescent="0.2">
      <c r="A33" s="27"/>
      <c r="B33" s="35">
        <v>6</v>
      </c>
      <c r="C33" s="36" t="s">
        <v>184</v>
      </c>
      <c r="D33" s="41" t="s">
        <v>516</v>
      </c>
      <c r="E33" s="38" t="s">
        <v>516</v>
      </c>
      <c r="F33" s="38"/>
      <c r="G33" s="35" t="s">
        <v>511</v>
      </c>
      <c r="H33" s="27"/>
      <c r="I33" s="27"/>
      <c r="J33" s="27"/>
      <c r="K33" s="27"/>
      <c r="L33" s="27"/>
      <c r="M33" s="27"/>
      <c r="N33" s="27"/>
      <c r="O33" s="27"/>
      <c r="P33" s="27"/>
      <c r="Q33" s="27"/>
      <c r="R33" s="27"/>
    </row>
    <row r="34" spans="1:18" x14ac:dyDescent="0.2">
      <c r="A34" s="27"/>
      <c r="B34" s="35">
        <v>6</v>
      </c>
      <c r="C34" s="36" t="s">
        <v>180</v>
      </c>
      <c r="D34" s="41">
        <v>1</v>
      </c>
      <c r="E34" s="38" t="s">
        <v>451</v>
      </c>
      <c r="F34" s="38"/>
      <c r="G34" s="35" t="s">
        <v>511</v>
      </c>
      <c r="H34" s="27"/>
      <c r="I34" s="27"/>
      <c r="J34" s="27"/>
      <c r="K34" s="27"/>
      <c r="L34" s="27"/>
      <c r="M34" s="27"/>
      <c r="N34" s="27"/>
      <c r="O34" s="27"/>
      <c r="P34" s="27"/>
      <c r="Q34" s="27"/>
      <c r="R34" s="27"/>
    </row>
    <row r="35" spans="1:18" x14ac:dyDescent="0.2">
      <c r="A35" s="27"/>
      <c r="B35" s="35">
        <v>6</v>
      </c>
      <c r="C35" s="36" t="s">
        <v>188</v>
      </c>
      <c r="D35" s="41" t="s">
        <v>516</v>
      </c>
      <c r="E35" s="38" t="s">
        <v>516</v>
      </c>
      <c r="F35" s="38"/>
      <c r="G35" s="35" t="s">
        <v>511</v>
      </c>
      <c r="H35" s="27"/>
      <c r="I35" s="27"/>
      <c r="J35" s="27"/>
      <c r="K35" s="27"/>
      <c r="L35" s="27"/>
      <c r="M35" s="27"/>
      <c r="N35" s="27"/>
      <c r="O35" s="27"/>
      <c r="P35" s="27"/>
      <c r="Q35" s="27"/>
      <c r="R35" s="27"/>
    </row>
    <row r="36" spans="1:18" x14ac:dyDescent="0.2">
      <c r="A36" s="27"/>
      <c r="B36" s="35">
        <v>6</v>
      </c>
      <c r="C36" s="36" t="s">
        <v>192</v>
      </c>
      <c r="D36" s="41">
        <v>1</v>
      </c>
      <c r="E36" s="38" t="s">
        <v>478</v>
      </c>
      <c r="F36" s="38"/>
      <c r="G36" s="35" t="s">
        <v>511</v>
      </c>
      <c r="H36" s="27"/>
      <c r="I36" s="27"/>
      <c r="J36" s="27"/>
      <c r="K36" s="27"/>
      <c r="L36" s="27"/>
      <c r="M36" s="27"/>
      <c r="N36" s="27"/>
      <c r="O36" s="27"/>
      <c r="P36" s="27"/>
      <c r="Q36" s="27"/>
      <c r="R36" s="27"/>
    </row>
    <row r="37" spans="1:18" x14ac:dyDescent="0.2">
      <c r="A37" s="27"/>
      <c r="B37" s="35">
        <v>6</v>
      </c>
      <c r="C37" s="36" t="s">
        <v>175</v>
      </c>
      <c r="D37" s="41">
        <v>1</v>
      </c>
      <c r="E37" s="38" t="s">
        <v>457</v>
      </c>
      <c r="F37" s="38"/>
      <c r="G37" s="35" t="s">
        <v>511</v>
      </c>
      <c r="H37" s="27"/>
      <c r="I37" s="27"/>
      <c r="J37" s="27"/>
      <c r="K37" s="27"/>
      <c r="L37" s="27"/>
      <c r="M37" s="27"/>
      <c r="N37" s="27"/>
      <c r="O37" s="27"/>
      <c r="P37" s="27"/>
      <c r="Q37" s="27"/>
      <c r="R37" s="27"/>
    </row>
    <row r="38" spans="1:18" x14ac:dyDescent="0.2">
      <c r="A38" s="27"/>
      <c r="B38" s="35">
        <v>7</v>
      </c>
      <c r="C38" s="36" t="s">
        <v>199</v>
      </c>
      <c r="D38" s="41">
        <v>0.75</v>
      </c>
      <c r="E38" s="38" t="s">
        <v>439</v>
      </c>
      <c r="F38" s="38"/>
      <c r="G38" s="35" t="s">
        <v>511</v>
      </c>
      <c r="H38" s="27"/>
      <c r="I38" s="27"/>
      <c r="J38" s="27"/>
      <c r="K38" s="27"/>
      <c r="L38" s="27"/>
      <c r="M38" s="27"/>
      <c r="N38" s="27"/>
      <c r="O38" s="27"/>
      <c r="P38" s="27"/>
      <c r="Q38" s="27"/>
      <c r="R38" s="27"/>
    </row>
    <row r="39" spans="1:18" x14ac:dyDescent="0.2">
      <c r="A39" s="27"/>
      <c r="B39" s="35">
        <v>7</v>
      </c>
      <c r="C39" s="36" t="s">
        <v>208</v>
      </c>
      <c r="D39" s="41" t="s">
        <v>487</v>
      </c>
      <c r="E39" s="38" t="s">
        <v>488</v>
      </c>
      <c r="F39" s="38"/>
      <c r="G39" s="35" t="s">
        <v>511</v>
      </c>
      <c r="H39" s="27"/>
      <c r="I39" s="27"/>
      <c r="J39" s="27"/>
      <c r="K39" s="27"/>
      <c r="L39" s="27"/>
      <c r="M39" s="27"/>
      <c r="N39" s="27"/>
      <c r="O39" s="27"/>
      <c r="P39" s="27"/>
      <c r="Q39" s="27"/>
      <c r="R39" s="27"/>
    </row>
    <row r="40" spans="1:18" x14ac:dyDescent="0.2">
      <c r="A40" s="27"/>
      <c r="B40" s="35">
        <v>7</v>
      </c>
      <c r="C40" s="36" t="s">
        <v>205</v>
      </c>
      <c r="D40" s="41">
        <v>0.9</v>
      </c>
      <c r="E40" s="38" t="s">
        <v>486</v>
      </c>
      <c r="F40" s="38" t="s">
        <v>535</v>
      </c>
      <c r="G40" s="35" t="s">
        <v>510</v>
      </c>
      <c r="H40" s="27"/>
      <c r="I40" s="27"/>
      <c r="J40" s="27"/>
      <c r="K40" s="27"/>
      <c r="L40" s="27"/>
      <c r="M40" s="27"/>
      <c r="N40" s="27"/>
      <c r="O40" s="27"/>
      <c r="P40" s="27"/>
      <c r="Q40" s="27"/>
      <c r="R40" s="27"/>
    </row>
    <row r="41" spans="1:18" x14ac:dyDescent="0.2">
      <c r="A41" s="27"/>
      <c r="B41" s="35">
        <v>7</v>
      </c>
      <c r="C41" s="36" t="s">
        <v>195</v>
      </c>
      <c r="D41" s="41" t="s">
        <v>516</v>
      </c>
      <c r="E41" s="38" t="s">
        <v>516</v>
      </c>
      <c r="F41" s="38"/>
      <c r="G41" s="35" t="s">
        <v>511</v>
      </c>
      <c r="H41" s="27"/>
      <c r="I41" s="27"/>
      <c r="J41" s="27"/>
      <c r="K41" s="27"/>
      <c r="L41" s="27"/>
      <c r="M41" s="27"/>
      <c r="N41" s="27"/>
      <c r="O41" s="27"/>
      <c r="P41" s="27"/>
      <c r="Q41" s="27"/>
      <c r="R41" s="27"/>
    </row>
    <row r="42" spans="1:18" x14ac:dyDescent="0.2">
      <c r="A42" s="27"/>
      <c r="B42" s="35">
        <v>7</v>
      </c>
      <c r="C42" s="36" t="s">
        <v>202</v>
      </c>
      <c r="D42" s="41" t="s">
        <v>516</v>
      </c>
      <c r="E42" s="38" t="s">
        <v>516</v>
      </c>
      <c r="F42" s="38"/>
      <c r="G42" s="35" t="s">
        <v>511</v>
      </c>
      <c r="H42" s="27"/>
      <c r="I42" s="27"/>
      <c r="J42" s="27"/>
      <c r="K42" s="27"/>
      <c r="L42" s="27"/>
      <c r="M42" s="27"/>
      <c r="N42" s="27"/>
      <c r="O42" s="27"/>
      <c r="P42" s="27"/>
      <c r="Q42" s="27"/>
      <c r="R42" s="27"/>
    </row>
    <row r="43" spans="1:18" x14ac:dyDescent="0.2">
      <c r="A43" s="27"/>
      <c r="B43" s="35">
        <v>8</v>
      </c>
      <c r="C43" s="36" t="s">
        <v>221</v>
      </c>
      <c r="D43" s="41" t="s">
        <v>516</v>
      </c>
      <c r="E43" s="38" t="s">
        <v>516</v>
      </c>
      <c r="F43" s="38"/>
      <c r="G43" s="35" t="s">
        <v>511</v>
      </c>
      <c r="H43" s="27"/>
      <c r="I43" s="27"/>
      <c r="J43" s="27"/>
      <c r="K43" s="27"/>
      <c r="L43" s="27"/>
      <c r="M43" s="27"/>
      <c r="N43" s="27"/>
      <c r="O43" s="27"/>
      <c r="P43" s="27"/>
      <c r="Q43" s="27"/>
      <c r="R43" s="27"/>
    </row>
    <row r="44" spans="1:18" x14ac:dyDescent="0.2">
      <c r="A44" s="27"/>
      <c r="B44" s="35">
        <v>8</v>
      </c>
      <c r="C44" s="36" t="s">
        <v>211</v>
      </c>
      <c r="D44" s="41">
        <v>0.75</v>
      </c>
      <c r="E44" s="38" t="s">
        <v>476</v>
      </c>
      <c r="F44" s="38"/>
      <c r="G44" s="35" t="s">
        <v>511</v>
      </c>
      <c r="H44" s="27"/>
      <c r="I44" s="27"/>
      <c r="J44" s="27"/>
      <c r="K44" s="27"/>
      <c r="L44" s="27"/>
      <c r="M44" s="27"/>
      <c r="N44" s="27"/>
      <c r="O44" s="27"/>
      <c r="P44" s="27"/>
      <c r="Q44" s="27"/>
      <c r="R44" s="27"/>
    </row>
    <row r="45" spans="1:18" x14ac:dyDescent="0.2">
      <c r="A45" s="27"/>
      <c r="B45" s="35">
        <v>8</v>
      </c>
      <c r="C45" s="36" t="s">
        <v>218</v>
      </c>
      <c r="D45" s="41" t="s">
        <v>516</v>
      </c>
      <c r="E45" s="38" t="s">
        <v>516</v>
      </c>
      <c r="F45" s="38"/>
      <c r="G45" s="35" t="s">
        <v>511</v>
      </c>
      <c r="H45" s="27"/>
      <c r="I45" s="27"/>
      <c r="J45" s="27"/>
      <c r="K45" s="27"/>
      <c r="L45" s="27"/>
      <c r="M45" s="27"/>
      <c r="N45" s="27"/>
      <c r="O45" s="27"/>
      <c r="P45" s="27"/>
      <c r="Q45" s="27"/>
      <c r="R45" s="27"/>
    </row>
    <row r="46" spans="1:18" x14ac:dyDescent="0.2">
      <c r="A46" s="27"/>
      <c r="B46" s="35">
        <v>8</v>
      </c>
      <c r="C46" s="36" t="s">
        <v>224</v>
      </c>
      <c r="D46" s="41">
        <v>0.75</v>
      </c>
      <c r="E46" s="38" t="s">
        <v>485</v>
      </c>
      <c r="F46" s="38"/>
      <c r="G46" s="35" t="s">
        <v>511</v>
      </c>
      <c r="H46" s="27"/>
      <c r="I46" s="27"/>
      <c r="J46" s="27"/>
      <c r="K46" s="27"/>
      <c r="L46" s="27"/>
      <c r="M46" s="27"/>
      <c r="N46" s="27"/>
      <c r="O46" s="27"/>
      <c r="P46" s="27"/>
      <c r="Q46" s="27"/>
      <c r="R46" s="27"/>
    </row>
    <row r="47" spans="1:18" x14ac:dyDescent="0.2">
      <c r="A47" s="27"/>
      <c r="B47" s="35">
        <v>8</v>
      </c>
      <c r="C47" s="36" t="s">
        <v>215</v>
      </c>
      <c r="D47" s="41">
        <v>0.5</v>
      </c>
      <c r="E47" s="38" t="s">
        <v>474</v>
      </c>
      <c r="F47" s="38"/>
      <c r="G47" s="35" t="s">
        <v>511</v>
      </c>
      <c r="H47" s="27"/>
      <c r="I47" s="27"/>
      <c r="J47" s="27"/>
      <c r="K47" s="27"/>
      <c r="L47" s="27"/>
      <c r="M47" s="27"/>
      <c r="N47" s="27"/>
      <c r="O47" s="27"/>
      <c r="P47" s="27"/>
      <c r="Q47" s="27"/>
      <c r="R47" s="27"/>
    </row>
    <row r="48" spans="1:18" x14ac:dyDescent="0.2">
      <c r="A48" s="27"/>
      <c r="B48" s="35">
        <v>9</v>
      </c>
      <c r="C48" s="36" t="s">
        <v>241</v>
      </c>
      <c r="D48" s="41">
        <v>0.99</v>
      </c>
      <c r="E48" s="38" t="s">
        <v>464</v>
      </c>
      <c r="F48" s="38"/>
      <c r="G48" s="35" t="s">
        <v>511</v>
      </c>
      <c r="H48" s="27"/>
      <c r="I48" s="27"/>
      <c r="J48" s="27"/>
      <c r="K48" s="27"/>
      <c r="L48" s="27"/>
      <c r="M48" s="27"/>
      <c r="N48" s="27"/>
      <c r="O48" s="27"/>
      <c r="P48" s="27"/>
      <c r="Q48" s="27"/>
      <c r="R48" s="27"/>
    </row>
    <row r="49" spans="1:18" x14ac:dyDescent="0.2">
      <c r="A49" s="27"/>
      <c r="B49" s="35">
        <v>9</v>
      </c>
      <c r="C49" s="36" t="s">
        <v>234</v>
      </c>
      <c r="D49" s="41">
        <v>1</v>
      </c>
      <c r="E49" s="38" t="s">
        <v>477</v>
      </c>
      <c r="F49" s="38"/>
      <c r="G49" s="35" t="s">
        <v>511</v>
      </c>
      <c r="H49" s="27"/>
      <c r="I49" s="27"/>
      <c r="J49" s="27"/>
      <c r="K49" s="27"/>
      <c r="L49" s="27"/>
      <c r="M49" s="27"/>
      <c r="N49" s="27"/>
      <c r="O49" s="27"/>
      <c r="P49" s="27"/>
      <c r="Q49" s="27"/>
      <c r="R49" s="27"/>
    </row>
    <row r="50" spans="1:18" x14ac:dyDescent="0.2">
      <c r="A50" s="27"/>
      <c r="B50" s="35">
        <v>9</v>
      </c>
      <c r="C50" s="36" t="s">
        <v>237</v>
      </c>
      <c r="D50" s="41">
        <v>0.75</v>
      </c>
      <c r="E50" s="38" t="s">
        <v>475</v>
      </c>
      <c r="F50" s="38"/>
      <c r="G50" s="35" t="s">
        <v>511</v>
      </c>
      <c r="H50" s="27"/>
      <c r="I50" s="27"/>
      <c r="J50" s="27"/>
      <c r="K50" s="27"/>
      <c r="L50" s="27"/>
      <c r="M50" s="27"/>
      <c r="N50" s="27"/>
      <c r="O50" s="27"/>
      <c r="P50" s="27"/>
      <c r="Q50" s="27"/>
      <c r="R50" s="27"/>
    </row>
    <row r="51" spans="1:18" x14ac:dyDescent="0.2">
      <c r="A51" s="27"/>
      <c r="B51" s="35">
        <v>9</v>
      </c>
      <c r="C51" s="36" t="s">
        <v>227</v>
      </c>
      <c r="D51" s="41">
        <v>0.998</v>
      </c>
      <c r="E51" s="38" t="s">
        <v>448</v>
      </c>
      <c r="F51" s="38"/>
      <c r="G51" s="35" t="s">
        <v>511</v>
      </c>
      <c r="H51" s="27"/>
      <c r="I51" s="27"/>
      <c r="J51" s="27"/>
      <c r="K51" s="27"/>
      <c r="L51" s="27"/>
      <c r="M51" s="27"/>
      <c r="N51" s="27"/>
      <c r="O51" s="27"/>
      <c r="P51" s="27"/>
      <c r="Q51" s="27"/>
      <c r="R51" s="27"/>
    </row>
    <row r="52" spans="1:18" x14ac:dyDescent="0.2">
      <c r="A52" s="27"/>
      <c r="B52" s="35">
        <v>9</v>
      </c>
      <c r="C52" s="36" t="s">
        <v>231</v>
      </c>
      <c r="D52" s="41" t="s">
        <v>446</v>
      </c>
      <c r="E52" s="38" t="s">
        <v>447</v>
      </c>
      <c r="F52" s="38"/>
      <c r="G52" s="35" t="s">
        <v>511</v>
      </c>
      <c r="H52" s="27"/>
      <c r="I52" s="27"/>
      <c r="J52" s="27"/>
      <c r="K52" s="27"/>
      <c r="L52" s="27"/>
      <c r="M52" s="27"/>
      <c r="N52" s="27"/>
      <c r="O52" s="27"/>
      <c r="P52" s="27"/>
      <c r="Q52" s="27"/>
      <c r="R52" s="27"/>
    </row>
    <row r="53" spans="1:18" x14ac:dyDescent="0.2">
      <c r="A53" s="27"/>
      <c r="B53" s="35">
        <v>10</v>
      </c>
      <c r="C53" s="36" t="s">
        <v>8</v>
      </c>
      <c r="D53" s="41" t="s">
        <v>432</v>
      </c>
      <c r="E53" s="38" t="s">
        <v>433</v>
      </c>
      <c r="F53" s="38"/>
      <c r="G53" s="35" t="s">
        <v>511</v>
      </c>
      <c r="H53" s="27"/>
      <c r="I53" s="27"/>
      <c r="J53" s="27"/>
      <c r="K53" s="27"/>
      <c r="L53" s="27"/>
      <c r="M53" s="27"/>
      <c r="N53" s="27"/>
      <c r="O53" s="27"/>
      <c r="P53" s="27"/>
      <c r="Q53" s="27"/>
      <c r="R53" s="27"/>
    </row>
    <row r="54" spans="1:18" x14ac:dyDescent="0.2">
      <c r="A54" s="27"/>
      <c r="B54" s="35">
        <v>10</v>
      </c>
      <c r="C54" s="36" t="s">
        <v>16</v>
      </c>
      <c r="D54" s="41">
        <v>0.75</v>
      </c>
      <c r="E54" s="38" t="s">
        <v>456</v>
      </c>
      <c r="F54" s="38"/>
      <c r="G54" s="35" t="s">
        <v>511</v>
      </c>
      <c r="H54" s="27"/>
      <c r="I54" s="27"/>
      <c r="J54" s="27"/>
      <c r="K54" s="27"/>
      <c r="L54" s="27"/>
      <c r="M54" s="27"/>
      <c r="N54" s="27"/>
      <c r="O54" s="27"/>
      <c r="P54" s="27"/>
      <c r="Q54" s="27"/>
      <c r="R54" s="27"/>
    </row>
    <row r="55" spans="1:18" x14ac:dyDescent="0.2">
      <c r="A55" s="27"/>
      <c r="B55" s="35">
        <v>10</v>
      </c>
      <c r="C55" s="36" t="s">
        <v>22</v>
      </c>
      <c r="D55" s="41">
        <v>1</v>
      </c>
      <c r="E55" s="38" t="s">
        <v>461</v>
      </c>
      <c r="F55" s="38"/>
      <c r="G55" s="35" t="s">
        <v>511</v>
      </c>
      <c r="H55" s="27"/>
      <c r="I55" s="27"/>
      <c r="J55" s="27"/>
      <c r="K55" s="27"/>
      <c r="L55" s="27"/>
      <c r="M55" s="27"/>
      <c r="N55" s="27"/>
      <c r="O55" s="27"/>
      <c r="P55" s="27"/>
      <c r="Q55" s="27"/>
      <c r="R55" s="27"/>
    </row>
    <row r="56" spans="1:18" x14ac:dyDescent="0.2">
      <c r="A56" s="27"/>
      <c r="B56" s="35">
        <v>10</v>
      </c>
      <c r="C56" s="36" t="s">
        <v>19</v>
      </c>
      <c r="D56" s="41">
        <v>0.75</v>
      </c>
      <c r="E56" s="38" t="s">
        <v>466</v>
      </c>
      <c r="F56" s="38"/>
      <c r="G56" s="35" t="s">
        <v>511</v>
      </c>
      <c r="H56" s="27"/>
      <c r="I56" s="27"/>
      <c r="J56" s="27"/>
      <c r="K56" s="27"/>
      <c r="L56" s="27"/>
      <c r="M56" s="27"/>
      <c r="N56" s="27"/>
      <c r="O56" s="27"/>
      <c r="P56" s="27"/>
      <c r="Q56" s="27"/>
      <c r="R56" s="27"/>
    </row>
    <row r="57" spans="1:18" x14ac:dyDescent="0.2">
      <c r="A57" s="27"/>
      <c r="B57" s="35">
        <v>10</v>
      </c>
      <c r="C57" s="36" t="s">
        <v>13</v>
      </c>
      <c r="D57" s="41" t="s">
        <v>442</v>
      </c>
      <c r="E57" s="38" t="s">
        <v>443</v>
      </c>
      <c r="F57" s="38"/>
      <c r="G57" s="35" t="s">
        <v>511</v>
      </c>
      <c r="H57" s="27"/>
      <c r="I57" s="27"/>
      <c r="J57" s="27"/>
      <c r="K57" s="27"/>
      <c r="L57" s="27"/>
      <c r="M57" s="27"/>
      <c r="N57" s="27"/>
      <c r="O57" s="27"/>
      <c r="P57" s="27"/>
      <c r="Q57" s="27"/>
      <c r="R57" s="27"/>
    </row>
    <row r="58" spans="1:18" x14ac:dyDescent="0.2">
      <c r="A58" s="27"/>
      <c r="B58" s="35">
        <v>11</v>
      </c>
      <c r="C58" s="36" t="s">
        <v>39</v>
      </c>
      <c r="D58" s="41">
        <v>1</v>
      </c>
      <c r="E58" s="38" t="s">
        <v>489</v>
      </c>
      <c r="F58" s="38"/>
      <c r="G58" s="35" t="s">
        <v>513</v>
      </c>
      <c r="H58" s="27"/>
      <c r="I58" s="27"/>
      <c r="J58" s="27"/>
      <c r="K58" s="27"/>
      <c r="L58" s="27"/>
      <c r="M58" s="27"/>
      <c r="N58" s="27"/>
      <c r="O58" s="27"/>
      <c r="P58" s="27"/>
      <c r="Q58" s="27"/>
      <c r="R58" s="27"/>
    </row>
    <row r="59" spans="1:18" x14ac:dyDescent="0.2">
      <c r="A59" s="27"/>
      <c r="B59" s="35">
        <v>11</v>
      </c>
      <c r="C59" s="36" t="s">
        <v>29</v>
      </c>
      <c r="D59" s="41">
        <v>0.75</v>
      </c>
      <c r="E59" s="38" t="s">
        <v>471</v>
      </c>
      <c r="F59" s="38"/>
      <c r="G59" s="35" t="s">
        <v>513</v>
      </c>
      <c r="H59" s="27"/>
      <c r="I59" s="27"/>
      <c r="J59" s="27"/>
      <c r="K59" s="27"/>
      <c r="L59" s="27"/>
      <c r="M59" s="27"/>
      <c r="N59" s="27"/>
      <c r="O59" s="27"/>
      <c r="P59" s="27"/>
      <c r="Q59" s="27"/>
      <c r="R59" s="27"/>
    </row>
    <row r="60" spans="1:18" x14ac:dyDescent="0.2">
      <c r="A60" s="27"/>
      <c r="B60" s="35">
        <v>11</v>
      </c>
      <c r="C60" s="36" t="s">
        <v>32</v>
      </c>
      <c r="D60" s="41" t="s">
        <v>516</v>
      </c>
      <c r="E60" s="38" t="s">
        <v>516</v>
      </c>
      <c r="F60" s="38"/>
      <c r="G60" s="35" t="s">
        <v>511</v>
      </c>
      <c r="H60" s="27"/>
      <c r="I60" s="27"/>
      <c r="J60" s="27"/>
      <c r="K60" s="27"/>
      <c r="L60" s="27"/>
      <c r="M60" s="27"/>
      <c r="N60" s="27"/>
      <c r="O60" s="27"/>
      <c r="P60" s="27"/>
      <c r="Q60" s="27"/>
      <c r="R60" s="27"/>
    </row>
    <row r="61" spans="1:18" x14ac:dyDescent="0.2">
      <c r="A61" s="27"/>
      <c r="B61" s="35">
        <v>11</v>
      </c>
      <c r="C61" s="36" t="s">
        <v>35</v>
      </c>
      <c r="D61" s="41" t="s">
        <v>467</v>
      </c>
      <c r="E61" s="38" t="s">
        <v>468</v>
      </c>
      <c r="F61" s="38"/>
      <c r="G61" s="35" t="s">
        <v>511</v>
      </c>
      <c r="H61" s="27"/>
      <c r="I61" s="27"/>
      <c r="J61" s="27"/>
      <c r="K61" s="27"/>
      <c r="L61" s="27"/>
      <c r="M61" s="27"/>
      <c r="N61" s="27"/>
      <c r="O61" s="27"/>
      <c r="P61" s="27"/>
      <c r="Q61" s="27"/>
      <c r="R61" s="27"/>
    </row>
    <row r="62" spans="1:18" x14ac:dyDescent="0.2">
      <c r="A62" s="27"/>
      <c r="B62" s="35">
        <v>11</v>
      </c>
      <c r="C62" s="36" t="s">
        <v>25</v>
      </c>
      <c r="D62" s="41" t="s">
        <v>449</v>
      </c>
      <c r="E62" s="38" t="s">
        <v>450</v>
      </c>
      <c r="F62" s="38"/>
      <c r="G62" s="35" t="s">
        <v>511</v>
      </c>
      <c r="H62" s="27"/>
      <c r="I62" s="27"/>
      <c r="J62" s="27"/>
      <c r="K62" s="27"/>
      <c r="L62" s="27"/>
      <c r="M62" s="27"/>
      <c r="N62" s="27"/>
      <c r="O62" s="27"/>
      <c r="P62" s="27"/>
      <c r="Q62" s="27"/>
      <c r="R62" s="27"/>
    </row>
    <row r="63" spans="1:18" x14ac:dyDescent="0.2">
      <c r="A63" s="27"/>
      <c r="B63" s="35">
        <v>11</v>
      </c>
      <c r="C63" s="36" t="s">
        <v>42</v>
      </c>
      <c r="D63" s="41">
        <v>1</v>
      </c>
      <c r="E63" s="38" t="s">
        <v>494</v>
      </c>
      <c r="F63" s="38"/>
      <c r="G63" s="35" t="s">
        <v>511</v>
      </c>
      <c r="H63" s="27"/>
      <c r="I63" s="27"/>
      <c r="J63" s="27"/>
      <c r="K63" s="27"/>
      <c r="L63" s="27"/>
      <c r="M63" s="27"/>
      <c r="N63" s="27"/>
      <c r="O63" s="27"/>
      <c r="P63" s="27"/>
      <c r="Q63" s="27"/>
      <c r="R63" s="27"/>
    </row>
    <row r="64" spans="1:18" x14ac:dyDescent="0.2">
      <c r="A64" s="27"/>
      <c r="B64" s="35">
        <v>12</v>
      </c>
      <c r="C64" s="36" t="s">
        <v>53</v>
      </c>
      <c r="D64" s="41">
        <v>1</v>
      </c>
      <c r="E64" s="38" t="s">
        <v>454</v>
      </c>
      <c r="F64" s="38"/>
      <c r="G64" s="35" t="s">
        <v>511</v>
      </c>
      <c r="H64" s="27"/>
      <c r="I64" s="27"/>
      <c r="J64" s="27"/>
      <c r="K64" s="27"/>
      <c r="L64" s="27"/>
      <c r="M64" s="27"/>
      <c r="N64" s="27"/>
      <c r="O64" s="27"/>
      <c r="P64" s="27"/>
      <c r="Q64" s="27"/>
      <c r="R64" s="27"/>
    </row>
    <row r="65" spans="1:18" x14ac:dyDescent="0.2">
      <c r="A65" s="27"/>
      <c r="B65" s="35">
        <v>12</v>
      </c>
      <c r="C65" s="36" t="s">
        <v>56</v>
      </c>
      <c r="D65" s="41">
        <v>1</v>
      </c>
      <c r="E65" s="38" t="s">
        <v>424</v>
      </c>
      <c r="F65" s="38"/>
      <c r="G65" s="35" t="s">
        <v>511</v>
      </c>
      <c r="H65" s="27"/>
      <c r="I65" s="27"/>
      <c r="J65" s="27"/>
      <c r="K65" s="27"/>
      <c r="L65" s="27"/>
      <c r="M65" s="27"/>
      <c r="N65" s="27"/>
      <c r="O65" s="27"/>
      <c r="P65" s="27"/>
      <c r="Q65" s="27"/>
      <c r="R65" s="27"/>
    </row>
    <row r="66" spans="1:18" x14ac:dyDescent="0.2">
      <c r="A66" s="27"/>
      <c r="B66" s="35">
        <v>12</v>
      </c>
      <c r="C66" s="36" t="s">
        <v>45</v>
      </c>
      <c r="D66" s="41">
        <v>1</v>
      </c>
      <c r="E66" s="38" t="s">
        <v>418</v>
      </c>
      <c r="F66" s="38"/>
      <c r="G66" s="35" t="s">
        <v>511</v>
      </c>
      <c r="H66" s="27"/>
      <c r="I66" s="27"/>
      <c r="J66" s="27"/>
      <c r="K66" s="27"/>
      <c r="L66" s="27"/>
      <c r="M66" s="27"/>
      <c r="N66" s="27"/>
      <c r="O66" s="27"/>
      <c r="P66" s="27"/>
      <c r="Q66" s="27"/>
      <c r="R66" s="27"/>
    </row>
    <row r="67" spans="1:18" x14ac:dyDescent="0.2">
      <c r="A67" s="27"/>
      <c r="B67" s="35">
        <v>12</v>
      </c>
      <c r="C67" s="36" t="s">
        <v>49</v>
      </c>
      <c r="D67" s="41" t="s">
        <v>491</v>
      </c>
      <c r="E67" s="38" t="s">
        <v>492</v>
      </c>
      <c r="F67" s="38"/>
      <c r="G67" s="35" t="s">
        <v>511</v>
      </c>
      <c r="H67" s="27"/>
      <c r="I67" s="27"/>
      <c r="J67" s="27"/>
      <c r="K67" s="27"/>
      <c r="L67" s="27"/>
      <c r="M67" s="27"/>
      <c r="N67" s="27"/>
      <c r="O67" s="27"/>
      <c r="P67" s="27"/>
      <c r="Q67" s="27"/>
      <c r="R67" s="27"/>
    </row>
    <row r="68" spans="1:18" x14ac:dyDescent="0.2">
      <c r="A68" s="27"/>
      <c r="B68" s="35">
        <v>12</v>
      </c>
      <c r="C68" s="36" t="s">
        <v>522</v>
      </c>
      <c r="D68" s="41" t="s">
        <v>516</v>
      </c>
      <c r="E68" s="38" t="s">
        <v>516</v>
      </c>
      <c r="F68" s="38"/>
      <c r="G68" s="35" t="s">
        <v>511</v>
      </c>
      <c r="H68" s="27"/>
      <c r="I68" s="27"/>
      <c r="J68" s="27"/>
      <c r="K68" s="27"/>
      <c r="L68" s="27"/>
      <c r="M68" s="27"/>
      <c r="N68" s="27"/>
      <c r="O68" s="27"/>
      <c r="P68" s="27"/>
      <c r="Q68" s="27"/>
      <c r="R68" s="27"/>
    </row>
    <row r="69" spans="1:18" x14ac:dyDescent="0.2">
      <c r="A69" s="27"/>
      <c r="B69" s="35">
        <v>13</v>
      </c>
      <c r="C69" s="36" t="s">
        <v>72</v>
      </c>
      <c r="D69" s="41">
        <v>1</v>
      </c>
      <c r="E69" s="38" t="s">
        <v>436</v>
      </c>
      <c r="F69" s="38"/>
      <c r="G69" s="35" t="s">
        <v>511</v>
      </c>
      <c r="H69" s="27"/>
      <c r="I69" s="27"/>
      <c r="J69" s="27"/>
      <c r="K69" s="27"/>
      <c r="L69" s="27"/>
      <c r="M69" s="27"/>
      <c r="N69" s="27"/>
      <c r="O69" s="27"/>
      <c r="P69" s="27"/>
      <c r="Q69" s="27"/>
      <c r="R69" s="27"/>
    </row>
    <row r="70" spans="1:18" x14ac:dyDescent="0.2">
      <c r="A70" s="27"/>
      <c r="B70" s="35">
        <v>13</v>
      </c>
      <c r="C70" s="36" t="s">
        <v>59</v>
      </c>
      <c r="D70" s="41" t="s">
        <v>516</v>
      </c>
      <c r="E70" s="38" t="s">
        <v>516</v>
      </c>
      <c r="F70" s="38"/>
      <c r="G70" s="35" t="s">
        <v>511</v>
      </c>
      <c r="H70" s="27"/>
      <c r="I70" s="27"/>
      <c r="J70" s="27"/>
      <c r="K70" s="27"/>
      <c r="L70" s="27"/>
      <c r="M70" s="27"/>
      <c r="N70" s="27"/>
      <c r="O70" s="27"/>
      <c r="P70" s="27"/>
      <c r="Q70" s="27"/>
      <c r="R70" s="27"/>
    </row>
    <row r="71" spans="1:18" x14ac:dyDescent="0.2">
      <c r="A71" s="27"/>
      <c r="B71" s="35">
        <v>13</v>
      </c>
      <c r="C71" s="36" t="s">
        <v>66</v>
      </c>
      <c r="D71" s="41">
        <v>1</v>
      </c>
      <c r="E71" s="38" t="s">
        <v>426</v>
      </c>
      <c r="F71" s="38"/>
      <c r="G71" s="35" t="s">
        <v>511</v>
      </c>
      <c r="H71" s="27"/>
      <c r="I71" s="27"/>
      <c r="J71" s="27"/>
      <c r="K71" s="27"/>
      <c r="L71" s="27"/>
      <c r="M71" s="27"/>
      <c r="N71" s="27"/>
      <c r="O71" s="27"/>
      <c r="P71" s="27"/>
      <c r="Q71" s="27"/>
      <c r="R71" s="27"/>
    </row>
    <row r="72" spans="1:18" x14ac:dyDescent="0.2">
      <c r="A72" s="27"/>
      <c r="B72" s="35">
        <v>13</v>
      </c>
      <c r="C72" s="36" t="s">
        <v>69</v>
      </c>
      <c r="D72" s="41">
        <v>1</v>
      </c>
      <c r="E72" s="38" t="s">
        <v>473</v>
      </c>
      <c r="F72" s="38"/>
      <c r="G72" s="35" t="s">
        <v>511</v>
      </c>
      <c r="H72" s="27"/>
      <c r="I72" s="27"/>
      <c r="J72" s="27"/>
      <c r="K72" s="27"/>
      <c r="L72" s="27"/>
      <c r="M72" s="27"/>
      <c r="N72" s="27"/>
      <c r="O72" s="27"/>
      <c r="P72" s="27"/>
      <c r="Q72" s="27"/>
      <c r="R72" s="27"/>
    </row>
    <row r="73" spans="1:18" x14ac:dyDescent="0.2">
      <c r="A73" s="27"/>
      <c r="B73" s="35">
        <v>13</v>
      </c>
      <c r="C73" s="36" t="s">
        <v>63</v>
      </c>
      <c r="D73" s="41">
        <v>1</v>
      </c>
      <c r="E73" s="38" t="s">
        <v>435</v>
      </c>
      <c r="F73" s="38"/>
      <c r="G73" s="35" t="s">
        <v>511</v>
      </c>
      <c r="H73" s="27"/>
      <c r="I73" s="27"/>
      <c r="J73" s="27"/>
      <c r="K73" s="27"/>
      <c r="L73" s="27"/>
      <c r="M73" s="27"/>
      <c r="N73" s="27"/>
      <c r="O73" s="27"/>
      <c r="P73" s="27"/>
      <c r="Q73" s="27"/>
      <c r="R73" s="27"/>
    </row>
    <row r="74" spans="1:18" x14ac:dyDescent="0.2">
      <c r="A74" s="27"/>
      <c r="B74" s="35">
        <v>14</v>
      </c>
      <c r="C74" s="36" t="s">
        <v>83</v>
      </c>
      <c r="D74" s="41">
        <v>1</v>
      </c>
      <c r="E74" s="38" t="s">
        <v>483</v>
      </c>
      <c r="F74" s="38"/>
      <c r="G74" s="35" t="s">
        <v>511</v>
      </c>
      <c r="H74" s="27"/>
      <c r="I74" s="27"/>
      <c r="J74" s="27"/>
      <c r="K74" s="27"/>
      <c r="L74" s="27"/>
      <c r="M74" s="27"/>
      <c r="N74" s="27"/>
      <c r="O74" s="27"/>
      <c r="P74" s="27"/>
      <c r="Q74" s="27"/>
      <c r="R74" s="27"/>
    </row>
    <row r="75" spans="1:18" x14ac:dyDescent="0.2">
      <c r="A75" s="27"/>
      <c r="B75" s="35">
        <v>14</v>
      </c>
      <c r="C75" s="36" t="s">
        <v>269</v>
      </c>
      <c r="D75" s="41" t="s">
        <v>516</v>
      </c>
      <c r="E75" s="38" t="s">
        <v>516</v>
      </c>
      <c r="F75" s="38"/>
      <c r="G75" s="35" t="s">
        <v>511</v>
      </c>
      <c r="H75" s="27"/>
      <c r="I75" s="27"/>
      <c r="J75" s="27"/>
      <c r="K75" s="27"/>
      <c r="L75" s="27"/>
      <c r="M75" s="27"/>
      <c r="N75" s="27"/>
      <c r="O75" s="27"/>
      <c r="P75" s="27"/>
      <c r="Q75" s="27"/>
      <c r="R75" s="27"/>
    </row>
    <row r="76" spans="1:18" x14ac:dyDescent="0.2">
      <c r="A76" s="27"/>
      <c r="B76" s="35">
        <v>14</v>
      </c>
      <c r="C76" s="36" t="s">
        <v>75</v>
      </c>
      <c r="D76" s="41">
        <v>1</v>
      </c>
      <c r="E76" s="38" t="s">
        <v>462</v>
      </c>
      <c r="F76" s="38"/>
      <c r="G76" s="35" t="s">
        <v>511</v>
      </c>
      <c r="H76" s="27"/>
      <c r="I76" s="27"/>
      <c r="J76" s="27"/>
      <c r="K76" s="27"/>
      <c r="L76" s="27"/>
      <c r="M76" s="27"/>
      <c r="N76" s="27"/>
      <c r="O76" s="27"/>
      <c r="P76" s="27"/>
      <c r="Q76" s="27"/>
      <c r="R76" s="27"/>
    </row>
    <row r="77" spans="1:18" x14ac:dyDescent="0.2">
      <c r="A77" s="27"/>
      <c r="B77" s="35">
        <v>14</v>
      </c>
      <c r="C77" s="36" t="s">
        <v>79</v>
      </c>
      <c r="D77" s="41" t="s">
        <v>427</v>
      </c>
      <c r="E77" s="38" t="s">
        <v>428</v>
      </c>
      <c r="F77" s="38"/>
      <c r="G77" s="35" t="s">
        <v>511</v>
      </c>
      <c r="H77" s="27"/>
      <c r="I77" s="27"/>
      <c r="J77" s="27"/>
      <c r="K77" s="27"/>
      <c r="L77" s="27"/>
      <c r="M77" s="27"/>
      <c r="N77" s="27"/>
      <c r="O77" s="27"/>
      <c r="P77" s="27"/>
      <c r="Q77" s="27"/>
      <c r="R77" s="27"/>
    </row>
    <row r="78" spans="1:18" x14ac:dyDescent="0.2">
      <c r="A78" s="27"/>
      <c r="B78" s="35">
        <v>14</v>
      </c>
      <c r="C78" s="36" t="s">
        <v>256</v>
      </c>
      <c r="D78" s="41">
        <v>1</v>
      </c>
      <c r="E78" s="38" t="s">
        <v>434</v>
      </c>
      <c r="F78" s="38"/>
      <c r="G78" s="35" t="s">
        <v>511</v>
      </c>
      <c r="H78" s="27"/>
      <c r="I78" s="27"/>
      <c r="J78" s="27"/>
      <c r="K78" s="27"/>
      <c r="L78" s="27"/>
      <c r="M78" s="27"/>
      <c r="N78" s="27"/>
      <c r="O78" s="27"/>
      <c r="P78" s="27"/>
      <c r="Q78" s="27"/>
      <c r="R78" s="27"/>
    </row>
    <row r="79" spans="1:18" x14ac:dyDescent="0.2">
      <c r="A79" s="27"/>
      <c r="B79" s="35">
        <v>15</v>
      </c>
      <c r="C79" s="36" t="s">
        <v>91</v>
      </c>
      <c r="D79" s="41">
        <v>0.9</v>
      </c>
      <c r="E79" s="38" t="s">
        <v>480</v>
      </c>
      <c r="F79" s="38"/>
      <c r="G79" s="35" t="s">
        <v>511</v>
      </c>
      <c r="H79" s="27"/>
      <c r="I79" s="27"/>
      <c r="J79" s="27"/>
      <c r="K79" s="27"/>
      <c r="L79" s="27"/>
      <c r="M79" s="27"/>
      <c r="N79" s="27"/>
      <c r="O79" s="27"/>
      <c r="P79" s="27"/>
      <c r="Q79" s="27"/>
      <c r="R79" s="27"/>
    </row>
    <row r="80" spans="1:18" x14ac:dyDescent="0.2">
      <c r="A80" s="27"/>
      <c r="B80" s="35">
        <v>15</v>
      </c>
      <c r="C80" s="36" t="s">
        <v>94</v>
      </c>
      <c r="D80" s="41" t="s">
        <v>429</v>
      </c>
      <c r="E80" s="38" t="s">
        <v>430</v>
      </c>
      <c r="F80" s="38"/>
      <c r="G80" s="35" t="s">
        <v>511</v>
      </c>
      <c r="H80" s="27"/>
      <c r="I80" s="27"/>
      <c r="J80" s="27"/>
      <c r="K80" s="27"/>
      <c r="L80" s="27"/>
      <c r="M80" s="27"/>
      <c r="N80" s="27"/>
      <c r="O80" s="27"/>
      <c r="P80" s="27"/>
      <c r="Q80" s="27"/>
      <c r="R80" s="27"/>
    </row>
    <row r="81" spans="1:18" x14ac:dyDescent="0.2">
      <c r="A81" s="27"/>
      <c r="B81" s="35">
        <v>15</v>
      </c>
      <c r="C81" s="36" t="s">
        <v>100</v>
      </c>
      <c r="D81" s="41">
        <v>0.98</v>
      </c>
      <c r="E81" s="38" t="s">
        <v>463</v>
      </c>
      <c r="F81" s="38"/>
      <c r="G81" s="35" t="s">
        <v>511</v>
      </c>
      <c r="H81" s="27"/>
      <c r="I81" s="27"/>
      <c r="J81" s="27"/>
      <c r="K81" s="27"/>
      <c r="L81" s="27"/>
      <c r="M81" s="27"/>
      <c r="N81" s="27"/>
      <c r="O81" s="27"/>
      <c r="P81" s="27"/>
      <c r="Q81" s="27"/>
      <c r="R81" s="27"/>
    </row>
    <row r="82" spans="1:18" x14ac:dyDescent="0.2">
      <c r="A82" s="27"/>
      <c r="B82" s="35">
        <v>15</v>
      </c>
      <c r="C82" s="36" t="s">
        <v>86</v>
      </c>
      <c r="D82" s="41" t="s">
        <v>421</v>
      </c>
      <c r="E82" s="38" t="s">
        <v>422</v>
      </c>
      <c r="F82" s="38"/>
      <c r="G82" s="35" t="s">
        <v>511</v>
      </c>
      <c r="H82" s="27"/>
      <c r="I82" s="27"/>
      <c r="J82" s="27"/>
      <c r="K82" s="27"/>
      <c r="L82" s="27"/>
      <c r="M82" s="27"/>
      <c r="N82" s="27"/>
      <c r="O82" s="27"/>
      <c r="P82" s="27"/>
      <c r="Q82" s="27"/>
      <c r="R82" s="27"/>
    </row>
    <row r="83" spans="1:18" x14ac:dyDescent="0.2">
      <c r="A83" s="27"/>
      <c r="B83" s="35">
        <v>15</v>
      </c>
      <c r="C83" s="36" t="s">
        <v>97</v>
      </c>
      <c r="D83" s="41">
        <v>0.9</v>
      </c>
      <c r="E83" s="38" t="s">
        <v>460</v>
      </c>
      <c r="F83" s="38"/>
      <c r="G83" s="35" t="s">
        <v>511</v>
      </c>
      <c r="H83" s="27"/>
      <c r="I83" s="27"/>
      <c r="J83" s="27"/>
      <c r="K83" s="27"/>
      <c r="L83" s="27"/>
      <c r="M83" s="27"/>
      <c r="N83" s="27"/>
      <c r="O83" s="27"/>
      <c r="P83" s="27"/>
      <c r="Q83" s="27"/>
      <c r="R83" s="27"/>
    </row>
    <row r="84" spans="1:18" x14ac:dyDescent="0.2">
      <c r="A84" s="27"/>
      <c r="B84" s="27"/>
      <c r="C84" s="27"/>
      <c r="D84" s="39" t="s">
        <v>516</v>
      </c>
      <c r="E84" s="29" t="s">
        <v>516</v>
      </c>
      <c r="F84" s="29"/>
      <c r="G84" s="27"/>
      <c r="H84" s="27"/>
      <c r="I84" s="27"/>
      <c r="J84" s="27"/>
      <c r="K84" s="27"/>
      <c r="L84" s="27"/>
      <c r="M84" s="27"/>
      <c r="N84" s="27"/>
      <c r="O84" s="27"/>
      <c r="P84" s="27"/>
      <c r="Q84" s="27"/>
      <c r="R84" s="27"/>
    </row>
  </sheetData>
  <phoneticPr fontId="6" type="noConversion"/>
  <conditionalFormatting sqref="B5:G83">
    <cfRule type="expression" dxfId="3" priority="4">
      <formula>MOD($B5,2)&gt;0</formula>
    </cfRule>
  </conditionalFormatting>
  <conditionalFormatting sqref="C5:C83">
    <cfRule type="expression" dxfId="2" priority="1">
      <formula>$D5 = ""</formula>
    </cfRule>
  </conditionalFormatting>
  <conditionalFormatting sqref="E5:F83">
    <cfRule type="expression" dxfId="1" priority="2">
      <formula>($G5="비상")</formula>
    </cfRule>
    <cfRule type="expression" dxfId="0" priority="3">
      <formula>($G5="주의")</formula>
    </cfRule>
  </conditionalFormatting>
  <dataValidations count="1">
    <dataValidation type="list" allowBlank="1" showErrorMessage="1" sqref="G5:G83" xr:uid="{00000000-0002-0000-0500-000000000000}">
      <formula1>"대기,양호,주의,비상"</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설문지 응답 시트1</vt:lpstr>
      <vt:lpstr>종합</vt:lpstr>
      <vt:lpstr>0120</vt:lpstr>
      <vt:lpstr>0121</vt:lpstr>
      <vt:lpstr>0122</vt:lpstr>
      <vt:lpstr>0123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안중재</dc:creator>
  <cp:lastModifiedBy>안중재</cp:lastModifiedBy>
  <dcterms:created xsi:type="dcterms:W3CDTF">2026-05-12T00:18:07Z</dcterms:created>
  <dcterms:modified xsi:type="dcterms:W3CDTF">2026-05-12T00:18:07Z</dcterms:modified>
</cp:coreProperties>
</file>