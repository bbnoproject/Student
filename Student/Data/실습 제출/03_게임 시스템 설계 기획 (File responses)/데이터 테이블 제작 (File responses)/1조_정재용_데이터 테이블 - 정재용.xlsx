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시트3" sheetId="1" r:id="rId4"/>
    <sheet state="visible" name="개요" sheetId="2" r:id="rId5"/>
    <sheet state="visible" name="합본" sheetId="3" r:id="rId6"/>
    <sheet state="visible" name="평균결론" sheetId="4" r:id="rId7"/>
    <sheet state="visible" name="김경민 님" sheetId="5" r:id="rId8"/>
    <sheet state="visible" name="김서현 님" sheetId="6" r:id="rId9"/>
    <sheet state="visible" name="박원우 님" sheetId="7" r:id="rId10"/>
    <sheet state="visible" name="이석훈 님" sheetId="8" r:id="rId11"/>
    <sheet state="visible" name="장윤우 님" sheetId="9" r:id="rId12"/>
    <sheet state="visible" name="이준혁 님" sheetId="10" r:id="rId13"/>
    <sheet state="visible" name="정재용 님" sheetId="11" r:id="rId14"/>
    <sheet state="visible" name="대본_데이터 분석" sheetId="12" r:id="rId15"/>
    <sheet state="visible" name="ID 기준" sheetId="13" r:id="rId16"/>
    <sheet state="visible" name="Chr" sheetId="14" r:id="rId17"/>
    <sheet state="visible" name="Chr_Stat" sheetId="15" r:id="rId18"/>
    <sheet state="visible" name="ChrData" sheetId="16" r:id="rId19"/>
    <sheet state="visible" name="Monster table" sheetId="17" r:id="rId20"/>
    <sheet state="visible" name="Store_ItemData" sheetId="18" r:id="rId21"/>
    <sheet state="hidden" name="대본_데이터 테이블" sheetId="19" r:id="rId22"/>
    <sheet state="hidden" name="Chr_Ability" sheetId="20" r:id="rId23"/>
    <sheet state="hidden" name="QuestData" sheetId="21" r:id="rId24"/>
  </sheets>
  <definedNames/>
  <calcPr/>
</workbook>
</file>

<file path=xl/sharedStrings.xml><?xml version="1.0" encoding="utf-8"?>
<sst xmlns="http://schemas.openxmlformats.org/spreadsheetml/2006/main" count="1376" uniqueCount="559">
  <si>
    <t>https://www.ggemguide.com/mobile_list.htm</t>
  </si>
  <si>
    <t>게임 추천 목록</t>
  </si>
  <si>
    <t>선정게임</t>
  </si>
  <si>
    <t>사용기기</t>
  </si>
  <si>
    <t>구간</t>
  </si>
  <si>
    <t>맵</t>
  </si>
  <si>
    <t>레벨</t>
  </si>
  <si>
    <t>스토리, 퀘스트</t>
  </si>
  <si>
    <t>등장 몬스터</t>
  </si>
  <si>
    <t>획득 아이템</t>
  </si>
  <si>
    <t>콘텐츠 오픈</t>
  </si>
  <si>
    <t>플레이 타임</t>
  </si>
  <si>
    <t>기타</t>
  </si>
  <si>
    <t>10분 경과</t>
  </si>
  <si>
    <t>장윤우</t>
  </si>
  <si>
    <t>운빨 존많겜, 킹샷</t>
  </si>
  <si>
    <t>기어작동</t>
  </si>
  <si>
    <t>Android</t>
  </si>
  <si>
    <t>7스태이지</t>
  </si>
  <si>
    <t>7스태이지 마지막 보스</t>
  </si>
  <si>
    <t>플레이어 레벨 4</t>
  </si>
  <si>
    <t>전투, 임무, 패스 , vip상점, 
기물 뽑기, 기어 뽑기유닛 강화</t>
  </si>
  <si>
    <t>1시간</t>
  </si>
  <si>
    <t>김경민</t>
  </si>
  <si>
    <t>Iphon</t>
  </si>
  <si>
    <t>10스테이지</t>
  </si>
  <si>
    <t>플레이어 레벨 8</t>
  </si>
  <si>
    <t>박원우</t>
  </si>
  <si>
    <t>이준혁</t>
  </si>
  <si>
    <t>블루 프로토콜 스타 레조넌스</t>
  </si>
  <si>
    <t>PC</t>
  </si>
  <si>
    <t>7스테이지</t>
  </si>
  <si>
    <t>7스테이지 마지막 보스</t>
  </si>
  <si>
    <t>기어 작동 최후의 요새</t>
  </si>
  <si>
    <t>정재용</t>
  </si>
  <si>
    <t>궁수의 전설 2</t>
  </si>
  <si>
    <t>IPAD</t>
  </si>
  <si>
    <t>7 스테이지</t>
  </si>
  <si>
    <t>7스테이지 보스 직전</t>
  </si>
  <si>
    <t>운빨 디펜스 101 : 메운디</t>
  </si>
  <si>
    <t>김서현</t>
  </si>
  <si>
    <t>드래곤플라이트2</t>
  </si>
  <si>
    <t>라스트워: 서바이벌</t>
  </si>
  <si>
    <t>이석훈</t>
  </si>
  <si>
    <t>게임 명</t>
  </si>
  <si>
    <t>기어 작동: 최후의 요새-Gear Defenders</t>
  </si>
  <si>
    <t>조 이름</t>
  </si>
  <si>
    <t>한조... 대기중...</t>
  </si>
  <si>
    <t>조장</t>
  </si>
  <si>
    <t>정재용 님</t>
  </si>
  <si>
    <t>영상 공유</t>
  </si>
  <si>
    <t>https://youtu.be/BWbDnYRmNzk?si=mTDyEoPmjZmprBec</t>
  </si>
  <si>
    <t>플레이어</t>
  </si>
  <si>
    <t>사용 기기</t>
  </si>
  <si>
    <t>몬스터 명칭</t>
  </si>
  <si>
    <t>일부 인원 획득 아이템 생략</t>
  </si>
  <si>
    <t>IOS / 아이폰 15 pro max</t>
  </si>
  <si>
    <t>보병, 중갑, 원거리, 기병, 보스, 대왕</t>
  </si>
  <si>
    <t>경험치, 골드, 젬</t>
  </si>
  <si>
    <t>스테이지</t>
  </si>
  <si>
    <t>차례</t>
  </si>
  <si>
    <t>경민 (광고 1회)</t>
  </si>
  <si>
    <t>광고 시청 누적수</t>
  </si>
  <si>
    <t>10분</t>
  </si>
  <si>
    <t>고블린 궁병, 고블린 기병</t>
  </si>
  <si>
    <t xml:space="preserve">경험치, 골드, 잼 // 골드, 병사 재료, 경기병 기어                </t>
  </si>
  <si>
    <t>한정 버프</t>
  </si>
  <si>
    <t>20분</t>
  </si>
  <si>
    <t>고블린 궁병, 고블린 보병, 고블린 보스</t>
  </si>
  <si>
    <t xml:space="preserve">경험치, 골드, 잼 // 골드, 병사 재료                                    </t>
  </si>
  <si>
    <t>임무</t>
  </si>
  <si>
    <t>30분</t>
  </si>
  <si>
    <t>고블린 궁병, 고블린 방패병, 고블린 기마병, 고블린 보스</t>
  </si>
  <si>
    <t>랭킹</t>
  </si>
  <si>
    <t>40분</t>
  </si>
  <si>
    <t>고블린 궁병, 고블린 방패병, 고블린 도끼병, 고블린 보스</t>
  </si>
  <si>
    <t>경험치, 골드, 잼 // 골드, 병사 재료, 방패병 기어, 코인 기어</t>
  </si>
  <si>
    <t>x</t>
  </si>
  <si>
    <t>50분</t>
  </si>
  <si>
    <t>고블린 궁병, 고블린 도끼병, 고블린 기마병, 고블린 보스</t>
  </si>
  <si>
    <t xml:space="preserve">경험치, 골드, 잼 // 골드, 병사 재료, 성벽 석재                    </t>
  </si>
  <si>
    <t>iOS / 아이폰 12 mini</t>
  </si>
  <si>
    <t>라이거, 수달, 웜뱃</t>
  </si>
  <si>
    <t>서현 ( 광고 12회 )</t>
  </si>
  <si>
    <t>2</t>
  </si>
  <si>
    <t>보병, 궁수, 보스</t>
  </si>
  <si>
    <t>전사 기어, 궁수 기어</t>
  </si>
  <si>
    <t>진영, 점성술, 기어 강화</t>
  </si>
  <si>
    <t>3</t>
  </si>
  <si>
    <t>창병 기어, 방패 기어</t>
  </si>
  <si>
    <t>-</t>
  </si>
  <si>
    <t>4</t>
  </si>
  <si>
    <t>보병, 궁수</t>
  </si>
  <si>
    <t>성기사 기어, 경기병 기어</t>
  </si>
  <si>
    <t>한정 버프, 1.5배속</t>
  </si>
  <si>
    <t>5</t>
  </si>
  <si>
    <t>성벽 수리 기어</t>
  </si>
  <si>
    <t>그림자 숲 맵, 임무, 첫 충전 보상</t>
  </si>
  <si>
    <t>6</t>
  </si>
  <si>
    <t>기병, 궁수, 대왕</t>
  </si>
  <si>
    <t>강화 기어</t>
  </si>
  <si>
    <t>갤럭시</t>
  </si>
  <si>
    <t>원우 (광고 0회)</t>
  </si>
  <si>
    <t>1</t>
  </si>
  <si>
    <t>고블린 궁병, 고블린 전사, 고블린 보스</t>
  </si>
  <si>
    <t>경험치, 골드, 젬, 궁수 기어</t>
  </si>
  <si>
    <t>진영, 점성술, 기어강화</t>
  </si>
  <si>
    <t>고블린 궁병, 고블린 전사, 고블린 기마병, 고블린 보스</t>
  </si>
  <si>
    <t>경험치, 골드, 젬, 경기병기어, 쉴드 기어</t>
  </si>
  <si>
    <t>한정버프, 배속 진영 캐릭터 해금</t>
  </si>
  <si>
    <t>배속</t>
  </si>
  <si>
    <t>랭킹, 상점패키지</t>
  </si>
  <si>
    <t>클리어 실패시 리스크 확인</t>
  </si>
  <si>
    <t>7</t>
  </si>
  <si>
    <t>고블린 궁병, 고블린 방패병, 고블린 도끼병 고블린 기마병, 고블린 보스</t>
  </si>
  <si>
    <t>패스, VIP</t>
  </si>
  <si>
    <t>기본적으로 주는 기어만으로 스테이지 도전</t>
  </si>
  <si>
    <t>고블린 궁병, 고블린 방패병, 고블린 도끼병 고블린 기마병, 고블린 보스, 대왕고블린</t>
  </si>
  <si>
    <t>기어 강화후 재도전</t>
  </si>
  <si>
    <t>Android / 갤럭시 z 플립 3</t>
  </si>
  <si>
    <t>윤우 (광고 0회)</t>
  </si>
  <si>
    <t>고블린 궁수, 고블린 전사</t>
  </si>
  <si>
    <t>젬, 골드, 쉴드 기어, 전사 기어, 궁수 기어</t>
  </si>
  <si>
    <t>전투, 진영(기물 강화), 기물 뽑기, 기어뽑기, 상점</t>
  </si>
  <si>
    <t>8</t>
  </si>
  <si>
    <t>고블린 궁수, 고블린 전사, 고블린 기병, 보스 고블린</t>
  </si>
  <si>
    <t>경기병 기어, 쉴드 기어, 동전 기어 ,성벽 수리</t>
  </si>
  <si>
    <t>첫 충전 보상 팝업 패키지</t>
  </si>
  <si>
    <t>고블린 궁수, 고블린 전사 고블린 기병, 보스 고블린</t>
  </si>
  <si>
    <t>9</t>
  </si>
  <si>
    <t>고블린 궁수, 고블린 전사, 고블린 방패병, 고블린 기병, 고블린 도끼병, 보스 고블린</t>
  </si>
  <si>
    <t>방패병 기어</t>
  </si>
  <si>
    <t>패스</t>
  </si>
  <si>
    <t>컨텐츠마다 광고시간이 다르다!</t>
  </si>
  <si>
    <t>준혁 (광고 7회)</t>
  </si>
  <si>
    <t>보병, 궁병, 중간보스</t>
  </si>
  <si>
    <t>경험치, 골드, 젬, 병사 재료(파랑), 전사 기어, 전사 기어2, 궁수 기어, 일반 기어, 일반 기어2, 성벽 수리</t>
  </si>
  <si>
    <t>전투, 상점, 강화재 가챠, 아군 강화</t>
  </si>
  <si>
    <t>진행 중, 광고 잘못 걸려서 한참 헤멤</t>
  </si>
  <si>
    <t>보병, 궁병, 기병, 중간보스</t>
  </si>
  <si>
    <t>기어 티켓, 생산 기어(기능 기어)</t>
  </si>
  <si>
    <t>스테이지 클리어 후, 광고 잘못걸려서 시간 버림</t>
  </si>
  <si>
    <t>경기병 기어, 궁수 기어 2, 병사 재료(노랑), 10포인트 체력, 성벽 수리 기어</t>
  </si>
  <si>
    <t>한정버프(동력 증가, 코인 증가, 성 HP증가), 전투 배속</t>
  </si>
  <si>
    <t>닭다리 기어, 코인 기어</t>
  </si>
  <si>
    <t>보병, 궁병, 기병, 방패병, 중간보스</t>
  </si>
  <si>
    <t>경기병 기어 2, 궁수 기어 3, 일반 기어 3</t>
  </si>
  <si>
    <t>광고</t>
  </si>
  <si>
    <t>보스</t>
  </si>
  <si>
    <t>초급 병사 패키지(무료), 궁수 개체 강화, 보병 기어3, 무료 패스, 마법 기어(무료패스 포함 아이템)</t>
  </si>
  <si>
    <t>패스, VIP, 랭킹</t>
  </si>
  <si>
    <t>광고 - 배속
광고 - 성벽 수리
광고 - 노수2 기어</t>
  </si>
  <si>
    <t>iOS / 아이패드 10</t>
  </si>
  <si>
    <t>재용 (광고 0회)</t>
  </si>
  <si>
    <t>고블린 보병, 고블린 궁수, 고블린 기마병, 고블린 보스</t>
  </si>
  <si>
    <t>잼, 골드, 성벽 수리권, 생산 기어, 보병, 궁수</t>
  </si>
  <si>
    <t>튜토리얼, 진영(병사 강화, 점성술(병사 뽑기), 궁수</t>
  </si>
  <si>
    <t>● 성벽 수리권 : 지키는 성벽의 일정 이하
체력이 떨어졌을 때 수리를 해줄 수 있는 아이템
●생산 기어 : 화살표가 가르키는 방향에 HP
30%에 해당하는 방패(쉴드)를 가지고 소환"</t>
  </si>
  <si>
    <t>고블린 보병, 고블린 궁수, 고블린 기마병, 고블린 중갑, 고블린 보스</t>
  </si>
  <si>
    <t>잼, 골드, 경기병, 한정 버프 (15분)</t>
  </si>
  <si>
    <t>경기병, 새로운 맵(그림자 숲) 오픈</t>
  </si>
  <si>
    <t>강해진 고블린 보병, 고블린 궁수, 고블린 기마병, 고블린 중갑, 고블린 보스</t>
  </si>
  <si>
    <t>방패병</t>
  </si>
  <si>
    <t xml:space="preserve"> 강해진 고블린 보병, 고블린 궁수, 고블린 기마병, 고블린 중갑, 고블린 보스</t>
  </si>
  <si>
    <t>X</t>
  </si>
  <si>
    <t>도달 스테이지</t>
  </si>
  <si>
    <t>스테이지 지표</t>
  </si>
  <si>
    <t>가장 큰 영향</t>
  </si>
  <si>
    <t>결론</t>
  </si>
  <si>
    <t>가장 많이 보인 패턴</t>
  </si>
  <si>
    <t>광고 시청</t>
  </si>
  <si>
    <t>평균보다 광고 시청이 많을 수록 진행이 더뎠다.
광고를 통해 레벨디자인을 극복하는 부분또한 존재하였다.</t>
  </si>
  <si>
    <t>광고 미시청</t>
  </si>
  <si>
    <t>매 판마다 좋은 캐릭터를 인질로 삼았어요!</t>
  </si>
  <si>
    <t>조원</t>
  </si>
  <si>
    <t>후기</t>
  </si>
  <si>
    <t>한조 대기중 총평</t>
  </si>
  <si>
    <t>김경민 님</t>
  </si>
  <si>
    <t>흔한 스테이지형 캐주얼에 기어시스템을 가미한 게임. 광고 노출이 너무 잦고 과금 상품들이 비일관적이고 과금 타겟이 플레이 타임이 짧은 플레이어들에 초점이 맞춰져있다.</t>
  </si>
  <si>
    <t>● 게임 구성 요소 긍정적
● 광고를 본 쪽은 난이도가 좀 낮게 느껴지며 보지 않은 사람들은 난이도가 좀 높게 느껴진다 → 무과금은 광고를 자주보게 유도</t>
  </si>
  <si>
    <t>김서현 님</t>
  </si>
  <si>
    <t>더 해봐야 알 것 같다. 광고를 선택사항으로 뒀다는 점이 긍정적. 게임 화면 UI가 깔끔했다.</t>
  </si>
  <si>
    <t>박원우 님</t>
  </si>
  <si>
    <t>깔끔한 디자인과 자세한 튜토리얼 광고배치로 수익성
까지 챙겼으며 도전욕구와 배치 등 높은 재미를 보장하는
캐주얼 게임.</t>
  </si>
  <si>
    <t>장윤우 님</t>
  </si>
  <si>
    <t xml:space="preserve">괜찮은 게임 방식과 타이트한 레벨 디자인을 광고라는 bm설계를 통해 극복했다.
선택권을 플레이어에게 준 것같은 착각을 설계함으로써 개발사가 돈을 벌 수 있는 설계를 잘해놨다. </t>
  </si>
  <si>
    <t>이준혁 님</t>
  </si>
  <si>
    <t>시스템 디자인 - 전통적인 타워디펜스 게임에, 톱니를 넣어 성과에 대한 개인적인 충족감 제공
밸런스, BM 디자인 - 다소 난이도 있는 구간을 초반 구간부터 넣었고, 기물 등장 확률에 랜덤성을 추가해 광고를 시청하도록 유도.
광고를 통해 획득하는 기물의 강함을 체감하도록 유도하여 원활한 스테이지 클리어 유도. 본인이 선택해서 광고를 시청하기 때문에 광고가 필요 없는 구간은 그냥 넘어가도 상관없음. 게임 중간에 강제로 광고를 시청하는 경우가 없어 불쾌함이 줄어듬.</t>
  </si>
  <si>
    <t>게임성은 나쁘지 않으나 광고시청 유도가 심한 것 같다.</t>
  </si>
  <si>
    <t>난이도 자체가 하드해서 어려운 구간은 광고를 보는게 좋을 것 같다</t>
  </si>
  <si>
    <t>광고를 유저가 선택하게 하지만, 실질적으로 광고가 필수적으로 유도</t>
  </si>
  <si>
    <t>광고가 달린 컨텐츠 마다 광고 시간이 다르다</t>
  </si>
  <si>
    <t>광고 BM 모델의 구조 / 개수를 더 살수록 비싸진다</t>
  </si>
  <si>
    <t>플레이 환경이 플레이 진행도에 큰 영향을 주지 않았다.</t>
  </si>
  <si>
    <t>광고를 본 팀원은 꾸준한 상승 곡선이 보였으나, 광고를 보지 않은 팀원은 후반으로 갈 수록 진행이 더뎌지는 것을 확인. 
-&gt; 후반으로 갈 수록 광고 시청이 필수 요소로 여겨질 것으로 보임.</t>
  </si>
  <si>
    <t>광고를 많이 봐야 클리어가 빠른 것은 아님 -&gt; 클리어 할 수 있을 땐 광고를 보지 않고 진행하는게 더 빠름 하지만 난이도가 어려운 편이라 후반으로 갈수록 광고 시청이 필요할 것으로 예상됨</t>
  </si>
  <si>
    <t>상대적으로 난이도가 있는 반면, 광고 기물로 수월하게 클리어가 가능. 데이터 확인을 통해 기본 컨텐츠에 대해서는 많은 유저들이 평범하게 즐길 수 있다는 점에서, 레벨 디자인이 잘 짜여져있다고 느꼈다.</t>
  </si>
  <si>
    <t>10분 마다 일정한 상승 곡선을 그리는 것으로 보아, 레벨 디자인이 잘 적용 되었다고 볼 수 있음. 다양한 사람들의 평균 값에서도 형태가 튀는 값이 없어서 인상적이다.</t>
  </si>
  <si>
    <t>50분 플레이타임 안에서는 플레이 방식에 따른 유의미한 차이가 두드러지게 나기는 어려워 보인다.</t>
  </si>
  <si>
    <t>레벨 디자인은 적용이 잘되어있으나 튜토리얼구간과 초반 구간에서 광고를 시청한 사람과 아닌사람의 플레이타임이 큰 변동폭이 존재하진않음.</t>
  </si>
  <si>
    <t>다른 분들도 피드백 사항 있으시면 편하게 적어주세요</t>
  </si>
  <si>
    <t>IOS / Iphon pro max 15</t>
  </si>
  <si>
    <t>1 /10</t>
  </si>
  <si>
    <t>경험치, 골드, 잼 // 골드, 병사 재료, 경기병 //</t>
  </si>
  <si>
    <t>광고 스킵권 구매 약 15개 사용</t>
  </si>
  <si>
    <t>7 /10</t>
  </si>
  <si>
    <t>경험치, 골드, 잼 // 골드, 병사 재료</t>
  </si>
  <si>
    <t>10 /10</t>
  </si>
  <si>
    <t>경험치, 골드, 잼 // 골드, 병사 재료, 방패병, 코인 기어</t>
  </si>
  <si>
    <t>11 /11</t>
  </si>
  <si>
    <t>경험치, 골드, 잼 // 골드, 병사 재료, 성벽 석재</t>
  </si>
  <si>
    <t>서사</t>
  </si>
  <si>
    <t>등급</t>
  </si>
  <si>
    <t>HP</t>
  </si>
  <si>
    <t>ATTACK</t>
  </si>
  <si>
    <t>TYPE</t>
  </si>
  <si>
    <t>창병</t>
  </si>
  <si>
    <t>닌자</t>
  </si>
  <si>
    <t>성기사</t>
  </si>
  <si>
    <t>원시인</t>
  </si>
  <si>
    <t>희귀</t>
  </si>
  <si>
    <t>야만인</t>
  </si>
  <si>
    <t>마법사</t>
  </si>
  <si>
    <t>노수</t>
  </si>
  <si>
    <t>중장기병</t>
  </si>
  <si>
    <t>중장 용사</t>
  </si>
  <si>
    <t>우수</t>
  </si>
  <si>
    <t>전사</t>
  </si>
  <si>
    <t>궁수</t>
  </si>
  <si>
    <t>경기병</t>
  </si>
  <si>
    <t>연금술사</t>
  </si>
  <si>
    <t>보병, 궁수, 보스 고블린</t>
  </si>
  <si>
    <t>보병 기어, 방패 기어</t>
  </si>
  <si>
    <t>기병, 궁수, 대왕 고블린, 방패 고블린</t>
  </si>
  <si>
    <t>1/7</t>
  </si>
  <si>
    <t>2/8</t>
  </si>
  <si>
    <t>3/9</t>
  </si>
  <si>
    <t>7/10</t>
  </si>
  <si>
    <t>4/11</t>
  </si>
  <si>
    <t>monster master table</t>
  </si>
  <si>
    <t>컬럼명</t>
  </si>
  <si>
    <t>데이터 설명</t>
  </si>
  <si>
    <t>데이터 타입</t>
  </si>
  <si>
    <t>monster_id</t>
  </si>
  <si>
    <t>monster_name</t>
  </si>
  <si>
    <t>monster_type</t>
  </si>
  <si>
    <t>description</t>
  </si>
  <si>
    <t>몬스터 고유 ID (PK)</t>
  </si>
  <si>
    <t>INT</t>
  </si>
  <si>
    <t>고블린 궁병</t>
  </si>
  <si>
    <t>일반</t>
  </si>
  <si>
    <t>원거리 공격을 사용하는 기본 몬스터</t>
  </si>
  <si>
    <t>몬스터 이름</t>
  </si>
  <si>
    <t>TEXT</t>
  </si>
  <si>
    <t>고블린 전사</t>
  </si>
  <si>
    <t>근접 공격 중심의 기본 몬스터</t>
  </si>
  <si>
    <t>monster_role</t>
  </si>
  <si>
    <t>전투 역할 (근접/원거리/탱커/돌격)</t>
  </si>
  <si>
    <t>ENUM</t>
  </si>
  <si>
    <t>고블린 방패병</t>
  </si>
  <si>
    <t>방어력이 높은 탱커형 몬스터</t>
  </si>
  <si>
    <t>일반 / 엘리트 / 보스</t>
  </si>
  <si>
    <t>고블린 기마병</t>
  </si>
  <si>
    <t>이동 속도가 빠른 돌격형 몬스터</t>
  </si>
  <si>
    <t>attack_range</t>
  </si>
  <si>
    <t>공격 범위 (근접/원거리)</t>
  </si>
  <si>
    <t>고블린 도끼병</t>
  </si>
  <si>
    <t>광역 공격을 사용하는 공격형 몬스터</t>
  </si>
  <si>
    <t>move_speed_type</t>
  </si>
  <si>
    <t>이동 속도 타입 (느림/보통/빠름)</t>
  </si>
  <si>
    <t>고블린 보스</t>
  </si>
  <si>
    <t>튜토리얼 구간 보스 몬스터</t>
  </si>
  <si>
    <t>ai_behavior</t>
  </si>
  <si>
    <t>AI 기본 패턴 요약</t>
  </si>
  <si>
    <t>대왕 고블린</t>
  </si>
  <si>
    <t>챕터2 라스트 스테이지 강화형 보스</t>
  </si>
  <si>
    <t>기획 설명</t>
  </si>
  <si>
    <t>원거리</t>
  </si>
  <si>
    <t>보통</t>
  </si>
  <si>
    <t>후방 유지 후 사격</t>
  </si>
  <si>
    <t>근접</t>
  </si>
  <si>
    <t>접근 후 근접 공격</t>
  </si>
  <si>
    <t>탱커</t>
  </si>
  <si>
    <t>높은 체력으로 접근 후 근접 공격</t>
  </si>
  <si>
    <t>빠름</t>
  </si>
  <si>
    <t>빠른 돌진 공격</t>
  </si>
  <si>
    <t>점프후 강한 범위 공격 후 근접공격</t>
  </si>
  <si>
    <t>근접후 강한 범위 공격</t>
  </si>
  <si>
    <t>느림</t>
  </si>
  <si>
    <t>Android / 갤럭시 플립 3</t>
  </si>
  <si>
    <t>고블린 궁수, 고블린 전사, 고블린 방패병, 고블린 기병, 보스 고블린</t>
  </si>
  <si>
    <t>2분 21초</t>
  </si>
  <si>
    <t>기병</t>
  </si>
  <si>
    <t xml:space="preserve"> 기어 티켓, 생산 기어(기능 기어)</t>
  </si>
  <si>
    <t>39초</t>
  </si>
  <si>
    <t>6초</t>
  </si>
  <si>
    <t>중갑병</t>
  </si>
  <si>
    <t>41초</t>
  </si>
  <si>
    <t>광고 - 성벽수리</t>
  </si>
  <si>
    <t>30초
1분 8초
1분 7초</t>
  </si>
  <si>
    <t>3 스테이지</t>
  </si>
  <si>
    <t>4 - 7</t>
  </si>
  <si>
    <t>5 스테이지</t>
  </si>
  <si>
    <t xml:space="preserve">1 - 9 </t>
  </si>
  <si>
    <t>6 스테이지</t>
  </si>
  <si>
    <t>4 -10</t>
  </si>
  <si>
    <t>강해진 고블린 보병, 고블린 궁수, 고블린 기마병, 고블린 보스</t>
  </si>
  <si>
    <t>5 - 11 (클리어 싪패)</t>
  </si>
  <si>
    <t xml:space="preserve"> 강해진 고블린 보병, 고블린 궁수, 고블린 기마병, 고블린 보스</t>
  </si>
  <si>
    <t>9 - 11 (클리어 실패)</t>
  </si>
  <si>
    <t>성벽 수리권 : 지키는 성벽의 일정 이하
체력이 떨어졌을 때 수리를 해줄 수 있는 아이템
생산 기어 : 화살표가 가르키는 방향에 HP
30%에 해당하는 방패(쉴드)를 가지고 소환</t>
  </si>
  <si>
    <t>안녕하세요. 1조 : 한조.. 대기중..의 조장이자 발표자인 정재용이라고 합니다.
저희가 해본 게임은 기어 작동: 최후의 요새 - Gear Defenders 라는 게임입니다.
이 게임을 선택한 이유는 플레이스토어의 캐주얼 부분 3위를 차지하고 있어서 입니다.
우선 영상을 보시죠!
(영상 대충 30초~1분 )
이런식의 게임인데요 어디서 많이 보지 않았나요?
( 3조 삼겹살팀의 냥냥시노비랑 많이 비슷하죠? -&gt; 이건 3조가 먼저 발표하면 사용 )
옛날에 플래시 게임중 전쟁시대나 궁수의 전설이랑 많이 비슷하죠?
저희 팀 내부 평가에서 게임성에 대해서는 꽤 고평가를 받았습니다.
영상에서 보셨다 싶이 밑에 보시면 타워 디펜스 게임에 톱니바퀴를 넣어 성과에 대한 개인적인 충족감을 제공했고요
깔끔한 디자인과 적당히 난이도가 어려운 레벨 디자인 등 호평이 자자했습니다.
저희 팀은 각각 10분, 20분, 30분 ... 50분 이런식으로 시간으로 통계를 내서 10분차엔 몇스테이지에 몇차례까지 왔는지 평균을 내보았는데요
평균 통계를 냈을때 플레이 타임이 비슷한 분들도 계시지만 크게 차이나는 경우도 있습니다.
그 이유는 아까 말씀드렸던 '적당히 난이도가 어려운' 이라는 것입니다.
적당히 어렵다는건 사실 어렵다는 뜻과 같다고 저는 생각합니다.
과금하기는 싫고.. 클리어는 하고싶고..  그래서 그런 사람들을 위해 내놓은 이 게임의 방향성은
밑에 보시면 저 TV에 재생표시 보이시나요? 어디서 많이 본 표시죠? 저건 광고 표시입니다.
광고를 보게한 후 저 아이템을 제공하는 것 입니다.
물론 광고를 볼지 안볼지 선택을 하게 해주는 것은 괜찮은 시스템 이라고 생각합니다. 다른 게임들 보면 게임 한두판 끝날때마다 한번씩 광고를 강제로 틀어서 불편하게 하잖아요?
그 불편함을 제거했다는건 괜찮다고 생각합니다.
그리고 BM도 재밌는점이 있습니다. 보통 이렇게 광고를 하는 게임은 광고를 영구 제거하는 BM이 있는데 이 게임엔 없고 대신 광고 건 별로 광고 제거를 유료 재화 이게임에선 잼 이라고 합니다. 
심지어 보통 양이 많으면 할인을 해줄텐데 여긴 그렇지 않습니다 가격이 오히려 높아집니다. 
광고 1회 제거시 60잼 5개는 300잼 10개는 900잼 이라고 합니다. 뭔가 마지막 가격이 이상하지 않나요?
10번이면 .. 600 이어야 하지 않을까요?
그럼 그냥 광고를 보면 안됐냐? 하고 물어보실 수 있는데요
광고 길이 1분~2분에 스킵이 없다고 하네요 재밌었던건 성벽 수리도 광고를 봐야 되니... 당황했습니다.
물론 50분이라는 짧은 시간 내에 이 게임에 대해서 느껴봤어야 했어서 혹시 이 게임을 더 했었어야 했으면 저는 광고를 봤을겁니다.. 하하..
결론적으로! 저희 한조 대기중에서 이 게임에 총평을 내리자면
게임의 구성 요소는 좋았지만 광고를 보지 않으면 조금 난이도가 있어 무과금은 광고를 자주보게 유도를 하며 BM이 조금 아쉽다! 입니다.</t>
  </si>
  <si>
    <t>추천한 신작 게임중'이라는 워딩보다 '플레이스토어의 캐주얼 부분 3위'라서 했다고 하는 편이 더 좋지 않을까요?! 다른 부분은 다 좋은 것 같아요! -&gt; 왜 3위나 했지??! 라는 의문에서 시작했다고 하면 더 좋은 뉘앙스를 주지 않을까 싶습니다 -김서현</t>
  </si>
  <si>
    <t>영상에서 보셨다 싶이 밑에 보시면 타워 디펜스 게임에 톱니바퀴를 넣어 성과에 대한 개인적인 충족감을 제공했고요 -&gt; 이 부분을 
영상에서 보셨다 싶이 밑에 보시면 타워 디펜스 게임에 톱니바퀴를 활용하여 유닛을 생산하는 플레이 과정이 직관성이 높고 추후 활용성이 높다고 평가했습니다.
-&gt; 로 바꾸는게 어떨까요 - 10번째 줄 입니다</t>
  </si>
  <si>
    <t>ChrData</t>
  </si>
  <si>
    <t>MosterData</t>
  </si>
  <si>
    <t>StageData</t>
  </si>
  <si>
    <t>StoreData</t>
  </si>
  <si>
    <t>ItemData</t>
  </si>
  <si>
    <t>캐릭터 / 몬스터 / 스테이지 / 스토어</t>
  </si>
  <si>
    <t xml:space="preserve">              </t>
  </si>
  <si>
    <t>Character list</t>
  </si>
  <si>
    <t>증가 스탯</t>
  </si>
  <si>
    <t>ID</t>
  </si>
  <si>
    <t>Dev_Name</t>
  </si>
  <si>
    <t>Rarity</t>
  </si>
  <si>
    <t>Name</t>
  </si>
  <si>
    <t>hp</t>
  </si>
  <si>
    <t>att</t>
  </si>
  <si>
    <t>warrior</t>
  </si>
  <si>
    <t>Archer</t>
  </si>
  <si>
    <t>hussar</t>
  </si>
  <si>
    <t>spearman</t>
  </si>
  <si>
    <t>shielder</t>
  </si>
  <si>
    <t>Alchemist</t>
  </si>
  <si>
    <t>Barbarian</t>
  </si>
  <si>
    <t>Wizard</t>
  </si>
  <si>
    <t>Crossbowman</t>
  </si>
  <si>
    <t>heavycavalry</t>
  </si>
  <si>
    <t>heavywarrior</t>
  </si>
  <si>
    <t>epic_spearman</t>
  </si>
  <si>
    <t>ninja</t>
  </si>
  <si>
    <t>paladin</t>
  </si>
  <si>
    <t>prinitiveman</t>
  </si>
  <si>
    <t>Stat</t>
  </si>
  <si>
    <t>코드</t>
  </si>
  <si>
    <t>영문</t>
  </si>
  <si>
    <t>이름</t>
  </si>
  <si>
    <t>병종</t>
  </si>
  <si>
    <t>승급</t>
  </si>
  <si>
    <t>체력</t>
  </si>
  <si>
    <t>공격력</t>
  </si>
  <si>
    <t>치명타확률</t>
  </si>
  <si>
    <t>리스폰 타임</t>
  </si>
  <si>
    <t>type</t>
  </si>
  <si>
    <t>Grade</t>
  </si>
  <si>
    <t>MaxHP</t>
  </si>
  <si>
    <t>Attack</t>
  </si>
  <si>
    <t>Critical</t>
  </si>
  <si>
    <t>spawn_time (s)</t>
  </si>
  <si>
    <t>보병</t>
  </si>
  <si>
    <t>중갑</t>
  </si>
  <si>
    <t xml:space="preserve">Lv Upgrade </t>
  </si>
  <si>
    <t>성장 체력치</t>
  </si>
  <si>
    <t>성장 공격력</t>
  </si>
  <si>
    <t>내용</t>
  </si>
  <si>
    <t>grade</t>
  </si>
  <si>
    <t>LV</t>
  </si>
  <si>
    <t>HP_growth</t>
  </si>
  <si>
    <t>Attck_growth</t>
  </si>
  <si>
    <t>skill</t>
  </si>
  <si>
    <t>일반 형태, 스트라이커 착용됩니다! / 치명타 확률 +3%</t>
  </si>
  <si>
    <t>2번째 공격은 30% 축력 단칼을 발동하며, 3배의 피해를 입힐 것입니다.</t>
  </si>
  <si>
    <t>일반 형태, 가죽 세트 착용됩니다! / 치명타 확률 +%</t>
  </si>
  <si>
    <t>궁극 형태, 투구 업그레이드 되며, 병사 세트 착용됩니다! / 치명타 확률 +3%</t>
  </si>
  <si>
    <t>세 번째 공격은 반드시 축력 단칼을 발동하여 대량의 피해를 입힐 것입니다!</t>
  </si>
  <si>
    <t>궁극 형태, 황금 병사 세트로 업그레이드 됩니다! / 치명타 확률 +3%</t>
  </si>
  <si>
    <t>일반 형태, 공격이 더 멋집니다! / 치명타 확률 +3%</t>
  </si>
  <si>
    <t>궁극의 형태, 화려한 공격 특수 효과 업그레이드 됩니다! / 치명타 확률 +3%</t>
  </si>
  <si>
    <t>일반 형태, 요정 세트로 업그레이드 됩니다. / 치명타 확률 +3%</t>
  </si>
  <si>
    <t>공격 시, 30% 확률로 두 개의 화살을 발사합니다.</t>
  </si>
  <si>
    <t>일반 형태, 큐피드 세트로 업그레이드 됩니다. / 치명타 확률 +3%</t>
  </si>
  <si>
    <t>궁극 형태, 요정 궁수 세트로 업그레이드 됩니다. / 사정거리 +10%</t>
  </si>
  <si>
    <t>10초마다 5개의 랜덤한 대상에게 발사하며, 같은 대상에게 적중할 경우 피해가 30% 점차 줄어듭니다.</t>
  </si>
  <si>
    <t>궁극 형태, 천사 궁수 세트로 업그레이드 됩니다. / 사정거리 +10%</t>
  </si>
  <si>
    <t>일반형태, 공격이 더 멋집니다! / 치명타 확률 3%</t>
  </si>
  <si>
    <t>궁극의 형태, 화려한 공격 특수 효과 업그레이드 됩니다! / 사정거리 +10%</t>
  </si>
  <si>
    <t>일반 형태, 가죽 세트 착용됩니다! / 이동 속도 +10%</t>
  </si>
  <si>
    <t>Upon leaving the gate, perfoms a flanking charge, knocking aside enemies in the way.</t>
  </si>
  <si>
    <t>일반 형태, 협객 세트로 업그레이드됩니다! / 이동 속도 +10%</t>
  </si>
  <si>
    <t>궁극 형태, 칠흑 갑옷 세트로 업그레이드 됩니다! / 치명타 확률 +3%</t>
  </si>
  <si>
    <t>After the charge, perfoms two piercing strikes on the target and enemies behind it.</t>
  </si>
  <si>
    <t>궁극 형태, 다크 골드 갑옷 세트로 업그레이드 됩니다! / 치명타 확률 +3%</t>
  </si>
  <si>
    <t>읻반 형태, 공격이 더 멋집니다! / 이동속도 + 10%</t>
  </si>
  <si>
    <t>일반 형태, 분투자 세트를 갈아입습니다! / 피해 감소+30%(10%X3)</t>
  </si>
  <si>
    <t>처음 공격 시 가장 먼 목표 방향으로 관통 공격의 창을 던져, 맞은 적에게 200%(100%+100%)피해를 입힙니다.</t>
  </si>
  <si>
    <t>일반형태, 투구 착용합니다! / 치명타 확률+3%</t>
  </si>
  <si>
    <t>궁극 형태, 철갑 무사 세트 업그레이드됩니다! / 치명타 피해+10%</t>
  </si>
  <si>
    <t>던진 창은 반드시 치명타를 발생시키며, 첫 번째 창을 던진 후 매 5초마다 하나를 던집니다.</t>
  </si>
  <si>
    <t>궁극 형태, 금색 무자 세트 업그레이드됩니다! / 치명타 피해+10%</t>
  </si>
  <si>
    <t>일반 형태 공격이 더 멋져요! / 치명타 확률+4%</t>
  </si>
  <si>
    <t>궁극 형태, 화려한 공격 특수 효과 업그레이드됩니다! / 치명타 피해+10%</t>
  </si>
  <si>
    <t>일반 형태, 투구가 장착되어 있습니다! / 피해 감소 +10%</t>
  </si>
  <si>
    <t>뒤에 3m 단위를 격퇴로부터 보호하여 뒤에 3m 단위의 입는 피해를 50% 감소시킵니다.</t>
  </si>
  <si>
    <t>일반 형태, 전신 갑옷이 장착되어 있습니다! / 피해 감소 +10%</t>
  </si>
  <si>
    <t>궁극의 형태, 업그레이드된 강력한 갑옷 세트 장착되어 있습니다! / 이동속도 +10%</t>
  </si>
  <si>
    <t>HP는 50% 미만이면 40% 피해 면역하고 공격을 중단합니다. 주변의 1m 적들의 전진을 저지합니다.</t>
  </si>
  <si>
    <t>궁극의 형태, 업그레이드된 궁극 갑옷 세트 장착되어있습니다!  /  이동속도 +10%</t>
  </si>
  <si>
    <t>일반 형태, 공격이 더 멋집니다!  / 피해 감소 + 10%</t>
  </si>
  <si>
    <t>궁극의 형태, 화려한 공격 특수 효과 업그레이드 됩니다!  / 이동속도 +10%</t>
  </si>
  <si>
    <t>일반 형태, 연금복을 교체합니다! / 공격 속도 +10%</t>
  </si>
  <si>
    <t>공격은 50%확률로 적을 중독시킵니다. 매초 50% 피해를 입히며, 5초 동안 지속되고, 중독 상태에서 사망 시 주변 적에게 전염됨</t>
  </si>
  <si>
    <t>일반 형태, 연구용 안경을 착용합니다! / 공격 속도 +10%</t>
  </si>
  <si>
    <t>궁극 형태, 학자 세트 업그레이드됩니다! / 치명타 확률 +3%</t>
  </si>
  <si>
    <t>매5초에 독가스를 던지며, 50% 확률로 3m 내의 적을 중독시키고</t>
  </si>
  <si>
    <t>궁극 형태, 수석 학자 세트 업그레이드됩니다! / 치명타 확률 3%</t>
  </si>
  <si>
    <t>일반 형태 공격이 더 멋져요! / 공격 속도 + 10%</t>
  </si>
  <si>
    <t>궁극 형태, 화려한 공격 특수 효과 업그레이드됩니다! / 치명타 확률+4%</t>
  </si>
  <si>
    <t>일반 형태, 호피 세트 갈아입습니다! / 치명타 확률+4%</t>
  </si>
  <si>
    <t>공격에는 30% 확률로 공격 범위 증가시킵니다-도끼 돌풍!</t>
  </si>
  <si>
    <t>일반 형태, 전사 세트 갈아입습니다! / 치명타 확률+4%</t>
  </si>
  <si>
    <t>궁극 형태,바이킹의 갑옷 세트로 업그레이드됩니다! / 치명타 피해+15%</t>
  </si>
  <si>
    <t>공격 업그레이드, 축력시간2배되며,3연타 방출됩니다!</t>
  </si>
  <si>
    <t>궁극 형태,시해자 세트로 업그레이드됩니다! / 치명타 확률+4%</t>
  </si>
  <si>
    <t>일반 형태, 공격이 더 멋집니다! / 치명타 확률+4%</t>
  </si>
  <si>
    <t>궁극의 형태, 화려한 공격 특수 효과 업그레이드됩니다! / 치명타 피해+20%</t>
  </si>
  <si>
    <t>일반 형태, 가죽 갑옷 세트를 착용!  /  공격 속도 +10%</t>
  </si>
  <si>
    <t>Charges straight ahead, dealing 150% damage to nearby enemies and knocking them back during the charge.</t>
  </si>
  <si>
    <t>일반 형태, 강철 갑옷 세트로 업그레이드 됩니다!  /  공격 속도 +10%</t>
  </si>
  <si>
    <t>궁극 형태, 흑기사용 세트로 업그레이드 됩니다!  /  치명타 피해 +15%</t>
  </si>
  <si>
    <t>After the charge, unleashes a wide sweeping strike toward the target. This attack always crits.</t>
  </si>
  <si>
    <t>궁극 형태, 암금 장군 세트로 업그레이드 됩니다!  /  치명타 피해 +15%</t>
  </si>
  <si>
    <t>일반 형태, 공격이 더 멋집니다!  /  공격 속도 +10%</t>
  </si>
  <si>
    <t>궁극의 형태, 화려한 공격 특수 효과 업그레이드 됩니다!  /  치명타 피해 +20%</t>
  </si>
  <si>
    <t>일반 형태, 갑옷 착용합니다!  /  피해 감소 +10%</t>
  </si>
  <si>
    <t>보호하는 후방 3m 단위가 받는 범위 피해를 50% 감소시키고, 주위 1m의 적들의 전진을 막습니다.</t>
  </si>
  <si>
    <t>일반 형태, 갑옷 강화됩니다!  /  피해 감소 +10%</t>
  </si>
  <si>
    <t>궁극적 형태, 강력한 갑옷 세트 업그레이드 됩니다!  /  치명타 피해 +15%</t>
  </si>
  <si>
    <t>매 3번 피해를 받을 때마다, 다음 공격 범위가 확대되고 반드시 치명타가 발생합니다. (횟수는 중첩되지 않음).</t>
  </si>
  <si>
    <t>궁극의 형태, 궁극의 갑옷 세트 업그레이드 됩니다!  /  치명타 피해 +15%</t>
  </si>
  <si>
    <t>일반 형태, 공격이 더 멋져요!  /  피해 감소 +20%</t>
  </si>
  <si>
    <t>궁극의 형태, 화려한 공격 효과 업그레이드 됩니다!  /  치명타 피해 +20%</t>
  </si>
  <si>
    <t>일반 형태, 야행복으로 갈아입습니다!</t>
  </si>
  <si>
    <t>공격 시 30% 확률로 화살 두발을 추가로 발사합니다.</t>
  </si>
  <si>
    <t>일반형태, 강궁수 세트로 업그레이드됩니다! / 공격 속도+10%</t>
  </si>
  <si>
    <t>궁극 형태, 숲의 저격수 세트로 업그레이드됩니다!</t>
  </si>
  <si>
    <t>4초마다, 석궁이 정면으로 평행하게 3개의 화살을 발사하며, 이 공격은 반드시 치명타입니다</t>
  </si>
  <si>
    <t>궁극 형태, 숲의 레인저 세트로 업그레이드됩니다! / 치명타 피해+15%</t>
  </si>
  <si>
    <t>일반 형태, 공격이 더 멋집니다! / 공격 속도+10%</t>
  </si>
  <si>
    <t>일반 형태, 음유시인 세트로 업그레이드됩니다! / 치명타 확률 + 4%</t>
  </si>
  <si>
    <t>화염구가 목표 주변 2m 내의 모든 적에게 30% 피해를 줍니다.</t>
  </si>
  <si>
    <t>일반 형태, 마도사 세트로 업그레이 됩니다! / 치명타 확률 + 4%</t>
  </si>
  <si>
    <t>궁극 형태, 점성술사 세트로 업그레이드 됩니다! / 치명타 피해 + 15%</t>
  </si>
  <si>
    <t>4초마다 5초 동안 유성우를 소환하여 3m 범위에 80% 피해를 줍니다.</t>
  </si>
  <si>
    <t>궁극 형태, 신록 현자 세트로 업그레이드됩니다! / 치명타 피해+15%</t>
  </si>
  <si>
    <t>일반 형태, 분투자 세트를 갈아입습니다!</t>
  </si>
  <si>
    <t>2번째 공격은 4m 범위를 반드시 연장하여 200%의 피해를 입힙니다.</t>
  </si>
  <si>
    <t>일반 형태, 가죽 세트 착용됩니다!</t>
  </si>
  <si>
    <t>궁극 형태, 용자철갑옷 세트로 업그레이드됩니다!</t>
  </si>
  <si>
    <t>공격 시작 후 3초마다 1회씩 발동하며, 5배 속도로 10차 관통하여 매번 50% 피해를 입힙니다!</t>
  </si>
  <si>
    <t>궁극 형태, 사병 갑옷 세트로 업그레이드됩니다! / 공격 속도+10%</t>
  </si>
  <si>
    <t>일반 형태, 공격이 더 멋집니다! / 피해 감소+10%</t>
  </si>
  <si>
    <t>궁극의 형태, 화려한 공격 특수 효과 업그레이드됩니다! / 공격 속도+10%</t>
  </si>
  <si>
    <t>느리게 접근후 강한 범위 공격</t>
  </si>
  <si>
    <t>고블린 마법사</t>
  </si>
  <si>
    <t>후방 유지 후 마법공격</t>
  </si>
  <si>
    <t>원거리 공격을 사용하는 마법 몬스터</t>
  </si>
  <si>
    <t>필요 여부</t>
  </si>
  <si>
    <t>stage_id</t>
  </si>
  <si>
    <t>스테이지 ID (FK)</t>
  </si>
  <si>
    <t>필수</t>
  </si>
  <si>
    <t>몬스터 ID (FK)</t>
  </si>
  <si>
    <t>spawn_count</t>
  </si>
  <si>
    <t>등장 수</t>
  </si>
  <si>
    <t>spawn_wave</t>
  </si>
  <si>
    <t>등장 웨이브</t>
  </si>
  <si>
    <t>선택</t>
  </si>
  <si>
    <t>is_boss</t>
  </si>
  <si>
    <t>보스 여부</t>
  </si>
  <si>
    <t>BOOLEAN</t>
  </si>
  <si>
    <t>패키지</t>
  </si>
  <si>
    <t>상점</t>
  </si>
  <si>
    <t>일일  번들</t>
  </si>
  <si>
    <t>잼</t>
  </si>
  <si>
    <t>Item</t>
  </si>
  <si>
    <t>Number</t>
  </si>
  <si>
    <t>Price</t>
  </si>
  <si>
    <t>Gem</t>
  </si>
  <si>
    <t>초급 병사 패키지 - 1</t>
  </si>
  <si>
    <t>방패병(우수)</t>
  </si>
  <si>
    <t>소량잼</t>
  </si>
  <si>
    <t>병사 업그레이드 재료(우수)</t>
  </si>
  <si>
    <t>적당한 양의 젬</t>
  </si>
  <si>
    <t>젬</t>
  </si>
  <si>
    <t>많은 젬</t>
  </si>
  <si>
    <t>초급 병사 패키지 - 2</t>
  </si>
  <si>
    <t>작은 주머니 젬</t>
  </si>
  <si>
    <t>한 통 젬</t>
  </si>
  <si>
    <t>큰 상자 젬</t>
  </si>
  <si>
    <t>초급 병사 패키지 - 3</t>
  </si>
  <si>
    <t>궁수(우수)</t>
  </si>
  <si>
    <t>골드</t>
  </si>
  <si>
    <t>초급 병사 패키지 - 4</t>
  </si>
  <si>
    <t>Number of 
Purchases</t>
  </si>
  <si>
    <t>골드 묶음</t>
  </si>
  <si>
    <t>10젬</t>
  </si>
  <si>
    <t>골드 더미</t>
  </si>
  <si>
    <t>100젬</t>
  </si>
  <si>
    <t>초급 기어 패키지</t>
  </si>
  <si>
    <t>기어(우수)</t>
  </si>
  <si>
    <t>골드 상자</t>
  </si>
  <si>
    <t>1000젬</t>
  </si>
  <si>
    <t>초급 강화 패키지</t>
  </si>
  <si>
    <t>Number of Purchases</t>
  </si>
  <si>
    <t>10 포인트 무료 체력 회복</t>
  </si>
  <si>
    <t>무료</t>
  </si>
  <si>
    <t>40포인트 체력 회복</t>
  </si>
  <si>
    <t>30젬</t>
  </si>
  <si>
    <t>주간 번들</t>
  </si>
  <si>
    <t>75포인트 체력 회복</t>
  </si>
  <si>
    <t>50젬</t>
  </si>
  <si>
    <t>중급 병사 패키지 -1</t>
  </si>
  <si>
    <t>중장 용사(희귀)</t>
  </si>
  <si>
    <t>병사 업그레이드 재료(희귀)</t>
  </si>
  <si>
    <t>광고 스킵 티켓</t>
  </si>
  <si>
    <t>중급 병사 패키지 - 2</t>
  </si>
  <si>
    <t>마법사(희귀)</t>
  </si>
  <si>
    <t>소량 광고 스킵 티켓</t>
  </si>
  <si>
    <t>60젬</t>
  </si>
  <si>
    <t>중량 광고 스킵 티켓</t>
  </si>
  <si>
    <t>300젬</t>
  </si>
  <si>
    <t>대량 광고 스킵 티켓</t>
  </si>
  <si>
    <t>900젬</t>
  </si>
  <si>
    <t>중급 병사 패키지 - 3</t>
  </si>
  <si>
    <t>중장기병(희귀)</t>
  </si>
  <si>
    <t>중급 병사 패키지 - 4</t>
  </si>
  <si>
    <t>노수(희귀)</t>
  </si>
  <si>
    <t>중급 강화 패키지</t>
  </si>
  <si>
    <t>중급 기어 패키지</t>
  </si>
  <si>
    <t>희귀 기어</t>
  </si>
  <si>
    <t>월간 번들</t>
  </si>
  <si>
    <t>특급 병사 패키지 - 1</t>
  </si>
  <si>
    <t>닌자(서사)</t>
  </si>
  <si>
    <t>병사 업그레이드 재료(서사)</t>
  </si>
  <si>
    <t>특급 병사 패키지 - 2</t>
  </si>
  <si>
    <t>창병(서사)</t>
  </si>
  <si>
    <t>특급 강화 패키지</t>
  </si>
  <si>
    <t>특급 기어 패키지</t>
  </si>
  <si>
    <t>서사 기어</t>
  </si>
  <si>
    <t>특혜 패키지</t>
  </si>
  <si>
    <t>초급 병사 패키지</t>
  </si>
  <si>
    <t>중급 병사 패키지</t>
  </si>
  <si>
    <t>고급 병사 패키지</t>
  </si>
  <si>
    <t>특급 병사 패키지</t>
  </si>
  <si>
    <t>성기사(서사)</t>
  </si>
  <si>
    <t>고급 강화 패키지</t>
  </si>
  <si>
    <t>게임 개요 설명 + 데이터 기준 (정하는 과정) + 기준으로 하여금 어떤 데이터를 수집해서 작성했는지 + 결론</t>
  </si>
  <si>
    <t>Ability</t>
  </si>
  <si>
    <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</si>
</sst>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m-d"/>
    <numFmt numFmtId="166" formatCode="m/d"/>
    <numFmt numFmtId="167" formatCode="#,##0&quot;₩&quot;"/>
  </numFmts>
  <fonts count="17">
    <font>
      <sz val="10.0"/>
      <color rgb="FF000000"/>
      <name val="Arial"/>
      <scheme val="minor"/>
    </font>
    <font>
      <sz val="15.0"/>
      <color theme="1"/>
      <name val="Arial"/>
      <scheme val="minor"/>
    </font>
    <font>
      <u/>
      <color rgb="FF0000FF"/>
      <name val="Arial"/>
    </font>
    <font>
      <sz val="11.0"/>
      <color theme="1"/>
      <name val="Arial"/>
    </font>
    <font>
      <sz val="11.0"/>
      <color theme="1"/>
      <name val="Pretendard"/>
    </font>
    <font>
      <color theme="1"/>
      <name val="Arial"/>
    </font>
    <font>
      <sz val="17.0"/>
      <color theme="1"/>
      <name val="Arial"/>
    </font>
    <font>
      <color theme="1"/>
      <name val="Arial"/>
      <scheme val="minor"/>
    </font>
    <font/>
    <font>
      <u/>
      <color rgb="FF0000FF"/>
    </font>
    <font>
      <color rgb="FFD9D9D9"/>
      <name val="Arial"/>
      <scheme val="minor"/>
    </font>
    <font>
      <b/>
      <color theme="1"/>
      <name val="Arial"/>
      <scheme val="minor"/>
    </font>
    <font>
      <b/>
      <color theme="1"/>
      <name val="Arial"/>
    </font>
    <font>
      <b/>
      <sz val="10.0"/>
      <color theme="1"/>
      <name val="Arial"/>
      <scheme val="minor"/>
    </font>
    <font>
      <b/>
      <sz val="12.0"/>
      <color theme="1"/>
      <name val="Arial"/>
      <scheme val="minor"/>
    </font>
    <font>
      <color rgb="FF000000"/>
      <name val="Arial"/>
      <scheme val="minor"/>
    </font>
    <font>
      <sz val="10.0"/>
      <color rgb="FF1F1F1F"/>
      <name val="Inherit"/>
    </font>
  </fonts>
  <fills count="20">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EAD1DC"/>
        <bgColor rgb="FFEAD1DC"/>
      </patternFill>
    </fill>
    <fill>
      <patternFill patternType="solid">
        <fgColor rgb="FFD9D2E9"/>
        <bgColor rgb="FFD9D2E9"/>
      </patternFill>
    </fill>
    <fill>
      <patternFill patternType="solid">
        <fgColor rgb="FFA2C4C9"/>
        <bgColor rgb="FFA2C4C9"/>
      </patternFill>
    </fill>
    <fill>
      <patternFill patternType="solid">
        <fgColor rgb="FFF9CB9C"/>
        <bgColor rgb="FFF9CB9C"/>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D9D9D9"/>
        <bgColor rgb="FFD9D9D9"/>
      </patternFill>
    </fill>
    <fill>
      <patternFill patternType="solid">
        <fgColor rgb="FFD9EAD3"/>
        <bgColor rgb="FFD9EAD3"/>
      </patternFill>
    </fill>
    <fill>
      <patternFill patternType="solid">
        <fgColor rgb="FFF4CCCC"/>
        <bgColor rgb="FFF4CCCC"/>
      </patternFill>
    </fill>
    <fill>
      <patternFill patternType="solid">
        <fgColor rgb="FFF6F8F9"/>
        <bgColor rgb="FFF6F8F9"/>
      </patternFill>
    </fill>
    <fill>
      <patternFill patternType="solid">
        <fgColor rgb="FFF3F3F3"/>
        <bgColor rgb="FFF3F3F3"/>
      </patternFill>
    </fill>
    <fill>
      <patternFill patternType="solid">
        <fgColor rgb="FFCCCCCC"/>
        <bgColor rgb="FFCCCCCC"/>
      </patternFill>
    </fill>
    <fill>
      <patternFill patternType="solid">
        <fgColor rgb="FFF1C232"/>
        <bgColor rgb="FFF1C232"/>
      </patternFill>
    </fill>
    <fill>
      <patternFill patternType="solid">
        <fgColor theme="6"/>
        <bgColor theme="6"/>
      </patternFill>
    </fill>
    <fill>
      <patternFill patternType="solid">
        <fgColor rgb="FFB7B7B7"/>
        <bgColor rgb="FFB7B7B7"/>
      </patternFill>
    </fill>
  </fills>
  <borders count="87">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FFFFFF"/>
      </left>
      <top style="thin">
        <color rgb="FFFFFFFF"/>
      </top>
    </border>
    <border>
      <left style="thin">
        <color rgb="FFCCCCCC"/>
      </left>
      <top style="thin">
        <color rgb="FFCCCCCC"/>
      </top>
    </border>
    <border>
      <top style="thin">
        <color rgb="FFCCCCCC"/>
      </top>
    </border>
    <border>
      <right style="thin">
        <color rgb="FFCCCCCC"/>
      </right>
      <top style="thin">
        <color rgb="FFCCCCCC"/>
      </top>
    </border>
    <border>
      <right style="thin">
        <color rgb="FFFFFFFF"/>
      </right>
      <top style="thin">
        <color rgb="FFFFFFFF"/>
      </top>
    </border>
    <border>
      <left style="thin">
        <color rgb="FFD9D9D9"/>
      </left>
      <right style="thin">
        <color rgb="FFD9D9D9"/>
      </right>
      <top style="thin">
        <color rgb="FFD9D9D9"/>
      </top>
      <bottom style="thin">
        <color rgb="FFD9D9D9"/>
      </bottom>
    </border>
    <border>
      <left style="thin">
        <color rgb="FFCCCCCC"/>
      </left>
    </border>
    <border>
      <right style="thin">
        <color rgb="FFCCCCCC"/>
      </right>
    </border>
    <border>
      <left style="thin">
        <color rgb="FFB7B7B7"/>
      </left>
      <right style="thin">
        <color rgb="FFB7B7B7"/>
      </right>
      <top style="thin">
        <color rgb="FFB7B7B7"/>
      </top>
      <bottom style="thin">
        <color rgb="FFB7B7B7"/>
      </bottom>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FFFFFF"/>
      </left>
      <right style="thin">
        <color rgb="FFFFFFFF"/>
      </right>
      <bottom style="thin">
        <color rgb="FFFFFFFF"/>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FFFFFF"/>
      </left>
      <right style="thin">
        <color rgb="FFFFFFFF"/>
      </right>
    </border>
    <border>
      <right style="thin">
        <color rgb="FFFFFFFF"/>
      </right>
      <top style="thin">
        <color rgb="FFFFFFFF"/>
      </top>
      <bottom style="thin">
        <color rgb="FFFFFFFF"/>
      </bottom>
    </border>
    <border>
      <right style="thin">
        <color rgb="FFFFFFFF"/>
      </right>
    </border>
    <border>
      <left style="thin">
        <color rgb="FFB7B7B7"/>
      </left>
      <right style="thin">
        <color rgb="FFB7B7B7"/>
      </right>
      <top style="thin">
        <color rgb="FFB7B7B7"/>
      </top>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top style="thin">
        <color rgb="FFB7B7B7"/>
      </top>
      <bottom style="thin">
        <color rgb="FFB7B7B7"/>
      </bottom>
    </border>
    <border>
      <left style="thin">
        <color rgb="FFFFFFFF"/>
      </left>
      <bottom style="thin">
        <color rgb="FFFFFFFF"/>
      </bottom>
    </border>
    <border>
      <left style="thin">
        <color rgb="FFCCCCCC"/>
      </left>
      <top style="thin">
        <color rgb="FFCCCCCC"/>
      </top>
      <bottom style="thin">
        <color rgb="FFFFFFFF"/>
      </bottom>
    </border>
    <border>
      <top style="thin">
        <color rgb="FFCCCCCC"/>
      </top>
      <bottom style="thin">
        <color rgb="FFFFFFFF"/>
      </bottom>
    </border>
    <border>
      <right style="thin">
        <color rgb="FFCCCCCC"/>
      </right>
      <top style="thin">
        <color rgb="FFCCCCCC"/>
      </top>
      <bottom style="thin">
        <color rgb="FFFFFFFF"/>
      </bottom>
    </border>
    <border>
      <left style="thin">
        <color rgb="FFCCCCCC"/>
      </left>
      <top style="thin">
        <color rgb="FFB7B7B7"/>
      </top>
      <bottom style="thin">
        <color rgb="FFCCCCCC"/>
      </bottom>
    </border>
    <border>
      <top style="thin">
        <color rgb="FFB7B7B7"/>
      </top>
      <bottom style="thin">
        <color rgb="FFCCCCCC"/>
      </bottom>
    </border>
    <border>
      <right style="thin">
        <color rgb="FFCCCCCC"/>
      </right>
      <top style="thin">
        <color rgb="FFB7B7B7"/>
      </top>
      <bottom style="thin">
        <color rgb="FFCCCCCC"/>
      </bottom>
    </border>
    <border>
      <left style="thick">
        <color rgb="FF999999"/>
      </left>
      <top style="thick">
        <color rgb="FF999999"/>
      </top>
    </border>
    <border>
      <top style="thick">
        <color rgb="FF999999"/>
      </top>
    </border>
    <border>
      <right style="thick">
        <color rgb="FF999999"/>
      </right>
      <top style="thick">
        <color rgb="FF999999"/>
      </top>
    </border>
    <border>
      <left style="thick">
        <color rgb="FF999999"/>
      </left>
      <top style="thin">
        <color rgb="FFB7B7B7"/>
      </top>
      <bottom style="thin">
        <color rgb="FFB7B7B7"/>
      </bottom>
    </border>
    <border>
      <right style="thick">
        <color rgb="FF999999"/>
      </right>
      <top style="thin">
        <color rgb="FFB7B7B7"/>
      </top>
      <bottom style="thin">
        <color rgb="FFB7B7B7"/>
      </bottom>
    </border>
    <border>
      <left style="thick">
        <color rgb="FF999999"/>
      </left>
      <right style="thin">
        <color rgb="FFB7B7B7"/>
      </right>
      <top style="thin">
        <color rgb="FFB7B7B7"/>
      </top>
      <bottom style="thin">
        <color rgb="FFB7B7B7"/>
      </bottom>
    </border>
    <border>
      <left style="thin">
        <color rgb="FFB7B7B7"/>
      </left>
      <right style="thick">
        <color rgb="FF999999"/>
      </right>
      <top style="thin">
        <color rgb="FFB7B7B7"/>
      </top>
      <bottom style="thin">
        <color rgb="FFB7B7B7"/>
      </bottom>
    </border>
    <border>
      <left style="thick">
        <color rgb="FF999999"/>
      </left>
      <right style="thin">
        <color rgb="FFB7B7B7"/>
      </right>
      <top style="thin">
        <color rgb="FFB7B7B7"/>
      </top>
      <bottom style="thick">
        <color rgb="FF999999"/>
      </bottom>
    </border>
    <border>
      <left style="thin">
        <color rgb="FFB7B7B7"/>
      </left>
      <right style="thin">
        <color rgb="FFB7B7B7"/>
      </right>
      <top style="thin">
        <color rgb="FFB7B7B7"/>
      </top>
      <bottom style="thick">
        <color rgb="FF999999"/>
      </bottom>
    </border>
    <border>
      <left style="thin">
        <color rgb="FFB7B7B7"/>
      </left>
      <right style="thick">
        <color rgb="FF999999"/>
      </right>
      <top style="thin">
        <color rgb="FFB7B7B7"/>
      </top>
      <bottom style="thick">
        <color rgb="FF999999"/>
      </bottom>
    </border>
    <border>
      <right style="thin">
        <color rgb="FFB7B7B7"/>
      </right>
      <top style="thin">
        <color rgb="FFB7B7B7"/>
      </top>
      <bottom style="thick">
        <color rgb="FF999999"/>
      </bottom>
    </border>
    <border>
      <left style="thick">
        <color rgb="FF999999"/>
      </left>
      <top style="thick">
        <color rgb="FF999999"/>
      </top>
      <bottom style="thin">
        <color rgb="FFB7B7B7"/>
      </bottom>
    </border>
    <border>
      <top style="thick">
        <color rgb="FF999999"/>
      </top>
      <bottom style="thin">
        <color rgb="FFB7B7B7"/>
      </bottom>
    </border>
    <border>
      <right style="thick">
        <color rgb="FF999999"/>
      </right>
      <top style="thick">
        <color rgb="FF999999"/>
      </top>
      <bottom style="thin">
        <color rgb="FFB7B7B7"/>
      </bottom>
    </border>
    <border>
      <left style="thick">
        <color rgb="FF999999"/>
      </left>
      <right style="thin">
        <color rgb="FFB7B7B7"/>
      </right>
      <top style="thin">
        <color rgb="FFB7B7B7"/>
      </top>
      <bottom style="double">
        <color rgb="FFB7B7B7"/>
      </bottom>
    </border>
    <border>
      <left style="thin">
        <color rgb="FFB7B7B7"/>
      </left>
      <right style="thin">
        <color rgb="FFB7B7B7"/>
      </right>
      <top style="thin">
        <color rgb="FFB7B7B7"/>
      </top>
      <bottom style="double">
        <color rgb="FFB7B7B7"/>
      </bottom>
    </border>
    <border>
      <left style="thick">
        <color rgb="FF999999"/>
      </left>
      <right style="thin">
        <color rgb="FFB7B7B7"/>
      </right>
      <bottom style="thin">
        <color rgb="FFB7B7B7"/>
      </bottom>
    </border>
    <border>
      <left style="thin">
        <color rgb="FFB7B7B7"/>
      </left>
      <right style="thin">
        <color rgb="FFB7B7B7"/>
      </right>
      <bottom style="thin">
        <color rgb="FFB7B7B7"/>
      </bottom>
    </border>
    <border>
      <left style="thin">
        <color rgb="FFB7B7B7"/>
      </left>
      <right style="thick">
        <color rgb="FF999999"/>
      </right>
      <bottom style="thin">
        <color rgb="FFB7B7B7"/>
      </bottom>
    </border>
    <border>
      <left style="thin">
        <color rgb="FFB7B7B7"/>
      </left>
      <right style="thick">
        <color rgb="FF999999"/>
      </right>
      <top style="thin">
        <color rgb="FFB7B7B7"/>
      </top>
      <bottom style="double">
        <color rgb="FFB7B7B7"/>
      </bottom>
    </border>
    <border>
      <left style="thick">
        <color rgb="FF999999"/>
      </left>
      <top style="thin">
        <color rgb="FFB7B7B7"/>
      </top>
      <bottom style="thick">
        <color rgb="FF999999"/>
      </bottom>
    </border>
    <border>
      <top style="thin">
        <color rgb="FFB7B7B7"/>
      </top>
      <bottom style="thick">
        <color rgb="FF999999"/>
      </bottom>
    </border>
    <border>
      <right style="thick">
        <color rgb="FF999999"/>
      </right>
      <top style="thin">
        <color rgb="FFB7B7B7"/>
      </top>
      <bottom style="thick">
        <color rgb="FF999999"/>
      </bottom>
    </border>
    <border>
      <left style="thick">
        <color rgb="FF999999"/>
      </left>
      <right style="thin">
        <color rgb="FFB7B7B7"/>
      </right>
      <top style="thick">
        <color rgb="FF999999"/>
      </top>
      <bottom style="thin">
        <color rgb="FFB7B7B7"/>
      </bottom>
    </border>
    <border>
      <left style="thin">
        <color rgb="FFB7B7B7"/>
      </left>
      <right style="thin">
        <color rgb="FFB7B7B7"/>
      </right>
      <top style="thick">
        <color rgb="FF999999"/>
      </top>
      <bottom style="thin">
        <color rgb="FFB7B7B7"/>
      </bottom>
    </border>
    <border>
      <left style="thin">
        <color rgb="FFB7B7B7"/>
      </left>
      <right style="thick">
        <color rgb="FF999999"/>
      </right>
      <top style="thick">
        <color rgb="FF999999"/>
      </top>
      <bottom style="thin">
        <color rgb="FFFFFFFF"/>
      </bottom>
    </border>
    <border>
      <left style="thick">
        <color rgb="FF999999"/>
      </left>
      <right style="thin">
        <color rgb="FFFFFFFF"/>
      </right>
      <top style="thin">
        <color rgb="FFB7B7B7"/>
      </top>
      <bottom style="thin">
        <color rgb="FFFFFFFF"/>
      </bottom>
    </border>
    <border>
      <left style="thin">
        <color rgb="FFFFFFFF"/>
      </left>
      <right style="thin">
        <color rgb="FFB7B7B7"/>
      </right>
      <top style="thin">
        <color rgb="FFB7B7B7"/>
      </top>
      <bottom style="thin">
        <color rgb="FFFFFFFF"/>
      </bottom>
    </border>
    <border>
      <left style="thin">
        <color rgb="FFB7B7B7"/>
      </left>
      <right style="thick">
        <color rgb="FF999999"/>
      </right>
      <top style="thin">
        <color rgb="FFFFFFFF"/>
      </top>
      <bottom style="thin">
        <color rgb="FFFFFFFF"/>
      </bottom>
    </border>
    <border>
      <left style="thick">
        <color rgb="FF999999"/>
      </left>
      <right style="thin">
        <color rgb="FFFFFFFF"/>
      </right>
      <top style="thin">
        <color rgb="FFFFFFFF"/>
      </top>
      <bottom style="thin">
        <color rgb="FFFFFFFF"/>
      </bottom>
    </border>
    <border>
      <left style="thin">
        <color rgb="FFFFFFFF"/>
      </left>
      <right style="thin">
        <color rgb="FFB7B7B7"/>
      </right>
      <top style="thin">
        <color rgb="FFFFFFFF"/>
      </top>
      <bottom style="thin">
        <color rgb="FFFFFFFF"/>
      </bottom>
    </border>
    <border>
      <left style="thin">
        <color rgb="FFB7B7B7"/>
      </left>
      <right style="thick">
        <color rgb="FF999999"/>
      </right>
      <top style="thin">
        <color rgb="FFFFFFFF"/>
      </top>
      <bottom style="thin">
        <color rgb="FFB7B7B7"/>
      </bottom>
    </border>
    <border>
      <left style="thin">
        <color rgb="FFB7B7B7"/>
      </left>
      <right style="thick">
        <color rgb="FF999999"/>
      </right>
      <top style="thin">
        <color rgb="FFB7B7B7"/>
      </top>
      <bottom style="thin">
        <color rgb="FFFFFFFF"/>
      </bottom>
    </border>
    <border>
      <left style="thick">
        <color rgb="FF999999"/>
      </left>
      <right style="thin">
        <color rgb="FFFFFFFF"/>
      </right>
      <top style="thin">
        <color rgb="FFFFFFFF"/>
      </top>
      <bottom style="thick">
        <color rgb="FF999999"/>
      </bottom>
    </border>
    <border>
      <left style="thin">
        <color rgb="FFFFFFFF"/>
      </left>
      <right style="thin">
        <color rgb="FFB7B7B7"/>
      </right>
      <top style="thin">
        <color rgb="FFFFFFFF"/>
      </top>
      <bottom style="thick">
        <color rgb="FF999999"/>
      </bottom>
    </border>
    <border>
      <right style="thick">
        <color rgb="FF999999"/>
      </right>
      <bottom style="thick">
        <color rgb="FF999999"/>
      </bottom>
    </border>
    <border>
      <left style="thick">
        <color rgb="FF999999"/>
      </left>
      <right style="thin">
        <color rgb="FFFFFFFF"/>
      </right>
      <top style="thin">
        <color rgb="FFFFFFFF"/>
      </top>
      <bottom style="thin">
        <color rgb="FFB7B7B7"/>
      </bottom>
    </border>
    <border>
      <left style="thin">
        <color rgb="FFFFFFFF"/>
      </left>
      <right style="thin">
        <color rgb="FFB7B7B7"/>
      </right>
      <top style="thin">
        <color rgb="FFFFFFFF"/>
      </top>
      <bottom style="thin">
        <color rgb="FFB7B7B7"/>
      </bottom>
    </border>
    <border>
      <left style="thin">
        <color rgb="FFB7B7B7"/>
      </left>
      <right style="thick">
        <color rgb="FF999999"/>
      </right>
      <top style="thick">
        <color rgb="FF999999"/>
      </top>
      <bottom style="thin">
        <color rgb="FFB7B7B7"/>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bottom style="thin">
        <color rgb="FFFFFFFF"/>
      </bottom>
    </border>
    <border>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xf>
    <xf borderId="0" fillId="3" fontId="3" numFmtId="0" xfId="0" applyAlignment="1" applyFill="1" applyFont="1">
      <alignment horizontal="center" readingOrder="0"/>
    </xf>
    <xf borderId="0" fillId="3" fontId="3" numFmtId="0" xfId="0" applyAlignment="1" applyFont="1">
      <alignment horizontal="center" readingOrder="0"/>
    </xf>
    <xf borderId="0" fillId="3" fontId="3" numFmtId="0" xfId="0" applyAlignment="1" applyFont="1">
      <alignment horizontal="center"/>
    </xf>
    <xf borderId="0" fillId="3" fontId="4" numFmtId="0" xfId="0" applyAlignment="1" applyFont="1">
      <alignment horizontal="center"/>
    </xf>
    <xf borderId="0" fillId="0" fontId="1" numFmtId="0" xfId="0" applyAlignment="1" applyFont="1">
      <alignment readingOrder="0"/>
    </xf>
    <xf borderId="0" fillId="4" fontId="3" numFmtId="0" xfId="0" applyAlignment="1" applyFill="1" applyFont="1">
      <alignment horizontal="center"/>
    </xf>
    <xf borderId="0" fillId="2" fontId="5" numFmtId="0" xfId="0" applyAlignment="1" applyFont="1">
      <alignment readingOrder="0"/>
    </xf>
    <xf borderId="0" fillId="2" fontId="6" numFmtId="0" xfId="0" applyAlignment="1" applyFont="1">
      <alignment horizontal="center" readingOrder="0" vertical="center"/>
    </xf>
    <xf borderId="0" fillId="0" fontId="5" numFmtId="0" xfId="0" applyAlignment="1" applyFont="1">
      <alignment horizontal="center" readingOrder="0" vertical="center"/>
    </xf>
    <xf borderId="0" fillId="0" fontId="7" numFmtId="0" xfId="0" applyAlignment="1" applyFont="1">
      <alignment horizontal="center" readingOrder="0" vertical="center"/>
    </xf>
    <xf borderId="0" fillId="0" fontId="5" numFmtId="0" xfId="0" applyAlignment="1" applyFont="1">
      <alignment horizontal="center" vertical="center"/>
    </xf>
    <xf borderId="0" fillId="2" fontId="5" numFmtId="0" xfId="0" applyFont="1"/>
    <xf borderId="0" fillId="5" fontId="3" numFmtId="0" xfId="0" applyAlignment="1" applyFill="1" applyFont="1">
      <alignment horizontal="center"/>
    </xf>
    <xf borderId="0" fillId="6" fontId="3" numFmtId="0" xfId="0" applyAlignment="1" applyFill="1" applyFont="1">
      <alignment horizontal="center"/>
    </xf>
    <xf borderId="0" fillId="7" fontId="3" numFmtId="0" xfId="0" applyAlignment="1" applyFill="1" applyFont="1">
      <alignment horizontal="center"/>
    </xf>
    <xf borderId="0" fillId="0" fontId="7" numFmtId="0" xfId="0" applyAlignment="1" applyFont="1">
      <alignment horizontal="center" vertical="center"/>
    </xf>
    <xf borderId="0" fillId="8" fontId="3" numFmtId="0" xfId="0" applyAlignment="1" applyFill="1" applyFont="1">
      <alignment horizontal="center"/>
    </xf>
    <xf borderId="0" fillId="9" fontId="3" numFmtId="0" xfId="0" applyAlignment="1" applyFill="1" applyFont="1">
      <alignment horizontal="center"/>
    </xf>
    <xf borderId="0" fillId="10" fontId="3" numFmtId="0" xfId="0" applyAlignment="1" applyFill="1" applyFont="1">
      <alignment horizontal="center"/>
    </xf>
    <xf borderId="1" fillId="0" fontId="7" numFmtId="0" xfId="0" applyBorder="1" applyFont="1"/>
    <xf borderId="2" fillId="0" fontId="7" numFmtId="0" xfId="0" applyBorder="1" applyFont="1"/>
    <xf borderId="3" fillId="0" fontId="7" numFmtId="0" xfId="0" applyBorder="1" applyFont="1"/>
    <xf borderId="0" fillId="11" fontId="7" numFmtId="0" xfId="0" applyAlignment="1" applyFill="1" applyFont="1">
      <alignment horizontal="center" readingOrder="0"/>
    </xf>
    <xf borderId="4" fillId="0" fontId="7" numFmtId="0" xfId="0" applyBorder="1" applyFont="1"/>
    <xf borderId="5" fillId="0" fontId="7" numFmtId="0" xfId="0" applyAlignment="1" applyBorder="1" applyFont="1">
      <alignment horizontal="center"/>
    </xf>
    <xf borderId="6" fillId="0" fontId="8" numFmtId="0" xfId="0" applyBorder="1" applyFont="1"/>
    <xf borderId="7" fillId="0" fontId="8" numFmtId="0" xfId="0" applyBorder="1" applyFont="1"/>
    <xf borderId="8" fillId="0" fontId="7" numFmtId="0" xfId="0" applyBorder="1" applyFont="1"/>
    <xf borderId="9" fillId="11" fontId="7" numFmtId="0" xfId="0" applyAlignment="1" applyBorder="1" applyFont="1">
      <alignment readingOrder="0"/>
    </xf>
    <xf borderId="10" fillId="0" fontId="8" numFmtId="0" xfId="0" applyBorder="1" applyFont="1"/>
    <xf borderId="11" fillId="0" fontId="8" numFmtId="0" xfId="0" applyBorder="1" applyFont="1"/>
    <xf borderId="9" fillId="0" fontId="7" numFmtId="0" xfId="0" applyAlignment="1" applyBorder="1" applyFont="1">
      <alignment readingOrder="0"/>
    </xf>
    <xf borderId="12" fillId="11" fontId="7" numFmtId="0" xfId="0" applyAlignment="1" applyBorder="1" applyFont="1">
      <alignment horizontal="center" readingOrder="0" vertical="center"/>
    </xf>
    <xf borderId="12" fillId="0" fontId="9" numFmtId="0" xfId="0" applyAlignment="1" applyBorder="1" applyFont="1">
      <alignment horizontal="left" readingOrder="0" shrinkToFit="0" vertical="center" wrapText="0"/>
    </xf>
    <xf borderId="13" fillId="0" fontId="8" numFmtId="0" xfId="0" applyBorder="1" applyFont="1"/>
    <xf borderId="14" fillId="0" fontId="8" numFmtId="0" xfId="0" applyBorder="1" applyFont="1"/>
    <xf borderId="15" fillId="0" fontId="8" numFmtId="0" xfId="0" applyBorder="1" applyFont="1"/>
    <xf borderId="16" fillId="0" fontId="7" numFmtId="0" xfId="0" applyBorder="1" applyFont="1"/>
    <xf borderId="1" fillId="0" fontId="7" numFmtId="0" xfId="0" applyAlignment="1" applyBorder="1" applyFont="1">
      <alignment horizontal="center" vertical="center"/>
    </xf>
    <xf borderId="2" fillId="0" fontId="7" numFmtId="0" xfId="0" applyAlignment="1" applyBorder="1" applyFont="1">
      <alignment horizontal="center" vertical="center"/>
    </xf>
    <xf borderId="1" fillId="0" fontId="7" numFmtId="49" xfId="0" applyAlignment="1" applyBorder="1" applyFont="1" applyNumberFormat="1">
      <alignment horizontal="center" vertical="center"/>
    </xf>
    <xf borderId="1" fillId="0" fontId="7" numFmtId="0" xfId="0" applyAlignment="1" applyBorder="1" applyFont="1">
      <alignment horizontal="left" vertical="center"/>
    </xf>
    <xf borderId="1" fillId="2" fontId="7" numFmtId="0" xfId="0" applyAlignment="1" applyBorder="1" applyFont="1">
      <alignment horizontal="center" vertical="center"/>
    </xf>
    <xf borderId="3" fillId="0" fontId="7" numFmtId="0" xfId="0" applyAlignment="1" applyBorder="1" applyFont="1">
      <alignment horizontal="center" vertical="center"/>
    </xf>
    <xf borderId="17" fillId="11" fontId="7" numFmtId="0" xfId="0" applyAlignment="1" applyBorder="1" applyFont="1">
      <alignment horizontal="center" readingOrder="0" vertical="center"/>
    </xf>
    <xf borderId="18" fillId="0" fontId="8" numFmtId="0" xfId="0" applyBorder="1" applyFont="1"/>
    <xf borderId="1" fillId="0" fontId="7" numFmtId="49" xfId="0" applyAlignment="1" applyBorder="1" applyFont="1" applyNumberFormat="1">
      <alignment horizontal="center" readingOrder="0" vertical="center"/>
    </xf>
    <xf borderId="1" fillId="0" fontId="7" numFmtId="0" xfId="0" applyAlignment="1" applyBorder="1" applyFont="1">
      <alignment horizontal="center" readingOrder="0" vertical="center"/>
    </xf>
    <xf borderId="12" fillId="0" fontId="7" numFmtId="0" xfId="0" applyAlignment="1" applyBorder="1" applyFont="1">
      <alignment horizontal="center" readingOrder="0" vertical="center"/>
    </xf>
    <xf borderId="17" fillId="0" fontId="7" numFmtId="0" xfId="0" applyAlignment="1" applyBorder="1" applyFont="1">
      <alignment horizontal="left" readingOrder="0" vertical="center"/>
    </xf>
    <xf borderId="19" fillId="0" fontId="7" numFmtId="0" xfId="0" applyAlignment="1" applyBorder="1" applyFont="1">
      <alignment horizontal="center" readingOrder="0" vertical="center"/>
    </xf>
    <xf borderId="2" fillId="0" fontId="7" numFmtId="0" xfId="0" applyAlignment="1" applyBorder="1" applyFont="1">
      <alignment horizontal="center" readingOrder="0" vertical="center"/>
    </xf>
    <xf borderId="2" fillId="0" fontId="7" numFmtId="49" xfId="0" applyAlignment="1" applyBorder="1" applyFont="1" applyNumberFormat="1">
      <alignment horizontal="center" readingOrder="0" vertical="center"/>
    </xf>
    <xf borderId="2" fillId="0" fontId="7" numFmtId="0" xfId="0" applyAlignment="1" applyBorder="1" applyFont="1">
      <alignment horizontal="left" readingOrder="0" vertical="center"/>
    </xf>
    <xf borderId="12" fillId="11" fontId="10" numFmtId="49" xfId="0" applyAlignment="1" applyBorder="1" applyFont="1" applyNumberFormat="1">
      <alignment horizontal="center" readingOrder="0" vertical="center"/>
    </xf>
    <xf borderId="12" fillId="11" fontId="7" numFmtId="0" xfId="0" applyAlignment="1" applyBorder="1" applyFont="1">
      <alignment horizontal="center" vertical="center"/>
    </xf>
    <xf borderId="12" fillId="11" fontId="7" numFmtId="0" xfId="0" applyAlignment="1" applyBorder="1" applyFont="1">
      <alignment horizontal="left" vertical="center"/>
    </xf>
    <xf borderId="12" fillId="0" fontId="7" numFmtId="0" xfId="0" applyAlignment="1" applyBorder="1" applyFont="1">
      <alignment horizontal="left" readingOrder="0" vertical="center"/>
    </xf>
    <xf borderId="12" fillId="12" fontId="11" numFmtId="0" xfId="0" applyAlignment="1" applyBorder="1" applyFill="1" applyFont="1">
      <alignment horizontal="center" readingOrder="0" vertical="center"/>
    </xf>
    <xf borderId="12" fillId="12" fontId="11" numFmtId="0" xfId="0" applyAlignment="1" applyBorder="1" applyFont="1">
      <alignment horizontal="left" readingOrder="0" vertical="center"/>
    </xf>
    <xf borderId="2" fillId="0" fontId="7" numFmtId="49" xfId="0" applyAlignment="1" applyBorder="1" applyFont="1" applyNumberFormat="1">
      <alignment horizontal="center" vertical="center"/>
    </xf>
    <xf borderId="20" fillId="0" fontId="7" numFmtId="0" xfId="0" applyAlignment="1" applyBorder="1" applyFont="1">
      <alignment horizontal="left" readingOrder="0" vertical="center"/>
    </xf>
    <xf borderId="1" fillId="0" fontId="7" numFmtId="0" xfId="0" applyAlignment="1" applyBorder="1" applyFont="1">
      <alignment horizontal="left" readingOrder="0" vertical="center"/>
    </xf>
    <xf borderId="19" fillId="0" fontId="7" numFmtId="49" xfId="0" applyAlignment="1" applyBorder="1" applyFont="1" applyNumberFormat="1">
      <alignment horizontal="center" readingOrder="0" vertical="center"/>
    </xf>
    <xf borderId="12" fillId="11" fontId="7" numFmtId="49" xfId="0" applyAlignment="1" applyBorder="1" applyFont="1" applyNumberFormat="1">
      <alignment horizontal="center" readingOrder="0" vertical="center"/>
    </xf>
    <xf borderId="12" fillId="0" fontId="7" numFmtId="49" xfId="0" applyAlignment="1" applyBorder="1" applyFont="1" applyNumberFormat="1">
      <alignment horizontal="center" readingOrder="0" vertical="center"/>
    </xf>
    <xf borderId="12" fillId="0" fontId="7" numFmtId="0" xfId="0" applyAlignment="1" applyBorder="1" applyFont="1">
      <alignment horizontal="center" vertical="center"/>
    </xf>
    <xf borderId="12" fillId="13" fontId="11" numFmtId="0" xfId="0" applyAlignment="1" applyBorder="1" applyFill="1" applyFont="1">
      <alignment horizontal="center" readingOrder="0" vertical="center"/>
    </xf>
    <xf borderId="12" fillId="13" fontId="11" numFmtId="49" xfId="0" applyAlignment="1" applyBorder="1" applyFont="1" applyNumberFormat="1">
      <alignment horizontal="center" readingOrder="0" vertical="center"/>
    </xf>
    <xf borderId="12" fillId="13" fontId="11" numFmtId="0" xfId="0" applyAlignment="1" applyBorder="1" applyFont="1">
      <alignment horizontal="left" readingOrder="0" vertical="center"/>
    </xf>
    <xf borderId="2" fillId="0" fontId="7" numFmtId="0" xfId="0" applyAlignment="1" applyBorder="1" applyFont="1">
      <alignment horizontal="left" vertical="center"/>
    </xf>
    <xf borderId="20" fillId="0" fontId="7" numFmtId="49" xfId="0" applyAlignment="1" applyBorder="1" applyFont="1" applyNumberFormat="1">
      <alignment horizontal="left" readingOrder="0" vertical="center"/>
    </xf>
    <xf borderId="17" fillId="0" fontId="7" numFmtId="0" xfId="0" applyAlignment="1" applyBorder="1" applyFont="1">
      <alignment horizontal="center" readingOrder="0" vertical="center"/>
    </xf>
    <xf borderId="21" fillId="0" fontId="7" numFmtId="49" xfId="0" applyAlignment="1" applyBorder="1" applyFont="1" applyNumberFormat="1">
      <alignment horizontal="center" readingOrder="0" vertical="center"/>
    </xf>
    <xf borderId="12" fillId="2" fontId="7" numFmtId="0" xfId="0" applyAlignment="1" applyBorder="1" applyFont="1">
      <alignment horizontal="center" readingOrder="0" vertical="center"/>
    </xf>
    <xf borderId="12" fillId="2" fontId="7" numFmtId="0" xfId="0" applyAlignment="1" applyBorder="1" applyFont="1">
      <alignment horizontal="center" vertical="center"/>
    </xf>
    <xf borderId="12" fillId="2" fontId="7" numFmtId="49" xfId="0" applyAlignment="1" applyBorder="1" applyFont="1" applyNumberFormat="1">
      <alignment horizontal="center" readingOrder="0" vertical="center"/>
    </xf>
    <xf borderId="12" fillId="2" fontId="7" numFmtId="0" xfId="0" applyAlignment="1" applyBorder="1" applyFont="1">
      <alignment horizontal="left" readingOrder="0" vertical="center"/>
    </xf>
    <xf borderId="2" fillId="2" fontId="7" numFmtId="0" xfId="0" applyAlignment="1" applyBorder="1" applyFont="1">
      <alignment horizontal="center" vertical="center"/>
    </xf>
    <xf borderId="1" fillId="2" fontId="7" numFmtId="49" xfId="0" applyAlignment="1" applyBorder="1" applyFont="1" applyNumberFormat="1">
      <alignment horizontal="center" vertical="center"/>
    </xf>
    <xf borderId="1" fillId="2" fontId="7" numFmtId="0" xfId="0" applyAlignment="1" applyBorder="1" applyFont="1">
      <alignment horizontal="left" vertical="center"/>
    </xf>
    <xf borderId="18" fillId="14" fontId="8" numFmtId="0" xfId="0" applyBorder="1" applyFill="1" applyFont="1"/>
    <xf borderId="1" fillId="2" fontId="7" numFmtId="49" xfId="0" applyAlignment="1" applyBorder="1" applyFont="1" applyNumberFormat="1">
      <alignment horizontal="center" readingOrder="0" vertical="center"/>
    </xf>
    <xf borderId="1" fillId="2" fontId="7" numFmtId="0" xfId="0" applyAlignment="1" applyBorder="1" applyFont="1">
      <alignment horizontal="left" readingOrder="0" vertical="center"/>
    </xf>
    <xf borderId="1" fillId="2" fontId="7" numFmtId="0" xfId="0" applyAlignment="1" applyBorder="1" applyFont="1">
      <alignment horizontal="center" readingOrder="0" vertical="center"/>
    </xf>
    <xf borderId="17" fillId="2" fontId="7" numFmtId="0" xfId="0" applyAlignment="1" applyBorder="1" applyFont="1">
      <alignment horizontal="left" readingOrder="0" vertical="center"/>
    </xf>
    <xf borderId="18" fillId="2" fontId="8" numFmtId="0" xfId="0" applyBorder="1" applyFont="1"/>
    <xf borderId="19" fillId="2" fontId="7" numFmtId="0" xfId="0" applyAlignment="1" applyBorder="1" applyFont="1">
      <alignment horizontal="center" readingOrder="0" vertical="center"/>
    </xf>
    <xf borderId="2" fillId="2" fontId="7" numFmtId="0" xfId="0" applyAlignment="1" applyBorder="1" applyFont="1">
      <alignment horizontal="center" readingOrder="0" vertical="center"/>
    </xf>
    <xf borderId="2" fillId="2" fontId="7" numFmtId="49" xfId="0" applyAlignment="1" applyBorder="1" applyFont="1" applyNumberFormat="1">
      <alignment horizontal="center" readingOrder="0" vertical="center"/>
    </xf>
    <xf borderId="2" fillId="2" fontId="7" numFmtId="0" xfId="0" applyAlignment="1" applyBorder="1" applyFont="1">
      <alignment horizontal="left" readingOrder="0" vertical="center"/>
    </xf>
    <xf borderId="3" fillId="2" fontId="7" numFmtId="0" xfId="0" applyAlignment="1" applyBorder="1" applyFont="1">
      <alignment horizontal="center" vertical="center"/>
    </xf>
    <xf borderId="20" fillId="2" fontId="7" numFmtId="49" xfId="0" applyAlignment="1" applyBorder="1" applyFont="1" applyNumberFormat="1">
      <alignment horizontal="left" readingOrder="0" vertical="center"/>
    </xf>
    <xf borderId="17" fillId="2" fontId="7" numFmtId="0" xfId="0" applyAlignment="1" applyBorder="1" applyFont="1">
      <alignment horizontal="center" readingOrder="0" vertical="center"/>
    </xf>
    <xf borderId="16" fillId="2" fontId="7" numFmtId="0" xfId="0" applyAlignment="1" applyBorder="1" applyFont="1">
      <alignment horizontal="center" vertical="center"/>
    </xf>
    <xf borderId="16" fillId="2" fontId="7" numFmtId="49" xfId="0" applyAlignment="1" applyBorder="1" applyFont="1" applyNumberFormat="1">
      <alignment horizontal="center" vertical="center"/>
    </xf>
    <xf borderId="16" fillId="2" fontId="7" numFmtId="0" xfId="0" applyAlignment="1" applyBorder="1" applyFont="1">
      <alignment horizontal="left" vertical="center"/>
    </xf>
    <xf borderId="16" fillId="2" fontId="7" numFmtId="0" xfId="0" applyAlignment="1" applyBorder="1" applyFont="1">
      <alignment horizontal="center" readingOrder="0" vertical="center"/>
    </xf>
    <xf borderId="22" fillId="11" fontId="7" numFmtId="0" xfId="0" applyAlignment="1" applyBorder="1" applyFont="1">
      <alignment horizontal="center" readingOrder="0" vertical="center"/>
    </xf>
    <xf borderId="23" fillId="2" fontId="7" numFmtId="0" xfId="0" applyAlignment="1" applyBorder="1" applyFont="1">
      <alignment horizontal="left" readingOrder="0" vertical="center"/>
    </xf>
    <xf borderId="20" fillId="2" fontId="7" numFmtId="0" xfId="0" applyAlignment="1" applyBorder="1" applyFont="1">
      <alignment horizontal="center" vertical="center"/>
    </xf>
    <xf borderId="24" fillId="2" fontId="8" numFmtId="0" xfId="0" applyBorder="1" applyFont="1"/>
    <xf borderId="12" fillId="14" fontId="7" numFmtId="0" xfId="0" applyAlignment="1" applyBorder="1" applyFont="1">
      <alignment horizontal="left" readingOrder="0" vertical="center"/>
    </xf>
    <xf borderId="24" fillId="14" fontId="8" numFmtId="0" xfId="0" applyBorder="1" applyFont="1"/>
    <xf borderId="12" fillId="14" fontId="7" numFmtId="0" xfId="0" applyAlignment="1" applyBorder="1" applyFont="1">
      <alignment horizontal="center" readingOrder="0" vertical="center"/>
    </xf>
    <xf borderId="12" fillId="14" fontId="7" numFmtId="49" xfId="0" applyAlignment="1" applyBorder="1" applyFont="1" applyNumberFormat="1">
      <alignment horizontal="center" readingOrder="0" vertical="center"/>
    </xf>
    <xf borderId="17" fillId="14" fontId="7" numFmtId="0" xfId="0" applyAlignment="1" applyBorder="1" applyFont="1">
      <alignment horizontal="center" readingOrder="0" vertical="center"/>
    </xf>
    <xf borderId="25" fillId="14" fontId="8" numFmtId="0" xfId="0" applyBorder="1" applyFont="1"/>
    <xf borderId="16" fillId="2" fontId="7" numFmtId="0" xfId="0" applyAlignment="1" applyBorder="1" applyFont="1">
      <alignment horizontal="left" readingOrder="0" vertical="center"/>
    </xf>
    <xf borderId="12" fillId="11" fontId="7" numFmtId="164" xfId="0" applyAlignment="1" applyBorder="1" applyFont="1" applyNumberFormat="1">
      <alignment horizontal="center" readingOrder="0" vertical="center"/>
    </xf>
    <xf borderId="12" fillId="0" fontId="7" numFmtId="164" xfId="0" applyAlignment="1" applyBorder="1" applyFont="1" applyNumberFormat="1">
      <alignment horizontal="center" readingOrder="0" vertical="center"/>
    </xf>
    <xf borderId="16" fillId="0" fontId="7" numFmtId="0" xfId="0" applyAlignment="1" applyBorder="1" applyFont="1">
      <alignment horizontal="center" vertical="center"/>
    </xf>
    <xf borderId="26" fillId="0" fontId="8" numFmtId="0" xfId="0" applyBorder="1" applyFont="1"/>
    <xf borderId="17" fillId="0" fontId="7" numFmtId="164" xfId="0" applyAlignment="1" applyBorder="1" applyFont="1" applyNumberFormat="1">
      <alignment horizontal="left" readingOrder="0" shrinkToFit="0" vertical="center" wrapText="0"/>
    </xf>
    <xf borderId="17" fillId="0" fontId="7" numFmtId="164" xfId="0" applyAlignment="1" applyBorder="1" applyFont="1" applyNumberFormat="1">
      <alignment horizontal="left" readingOrder="0" vertical="center"/>
    </xf>
    <xf borderId="26" fillId="0" fontId="7" numFmtId="164" xfId="0" applyAlignment="1" applyBorder="1" applyFont="1" applyNumberFormat="1">
      <alignment horizontal="center" readingOrder="0" vertical="center"/>
    </xf>
    <xf borderId="18" fillId="0" fontId="7" numFmtId="164" xfId="0" applyAlignment="1" applyBorder="1" applyFont="1" applyNumberFormat="1">
      <alignment horizontal="center" readingOrder="0" vertical="center"/>
    </xf>
    <xf borderId="27" fillId="0" fontId="7" numFmtId="0" xfId="0" applyAlignment="1" applyBorder="1" applyFont="1">
      <alignment horizontal="center" vertical="center"/>
    </xf>
    <xf borderId="28" fillId="11" fontId="7" numFmtId="0" xfId="0" applyAlignment="1" applyBorder="1" applyFont="1">
      <alignment horizontal="center" readingOrder="0" vertical="center"/>
    </xf>
    <xf borderId="29" fillId="0" fontId="8" numFmtId="0" xfId="0" applyBorder="1" applyFont="1"/>
    <xf borderId="30" fillId="0" fontId="8" numFmtId="0" xfId="0" applyBorder="1" applyFont="1"/>
    <xf borderId="20" fillId="0" fontId="7" numFmtId="0" xfId="0" applyAlignment="1" applyBorder="1" applyFont="1">
      <alignment horizontal="center" vertical="center"/>
    </xf>
    <xf borderId="17" fillId="0" fontId="7" numFmtId="164" xfId="0" applyAlignment="1" applyBorder="1" applyFont="1" applyNumberFormat="1">
      <alignment horizontal="left" readingOrder="0" shrinkToFit="0" vertical="center" wrapText="1"/>
    </xf>
    <xf borderId="31" fillId="0" fontId="7" numFmtId="164" xfId="0" applyAlignment="1" applyBorder="1" applyFont="1" applyNumberFormat="1">
      <alignment horizontal="left" readingOrder="0" shrinkToFit="0" vertical="center" wrapText="1"/>
    </xf>
    <xf borderId="32" fillId="0" fontId="8" numFmtId="0" xfId="0" applyBorder="1" applyFont="1"/>
    <xf borderId="33" fillId="0" fontId="8" numFmtId="0" xfId="0" applyBorder="1" applyFont="1"/>
    <xf borderId="16" fillId="0" fontId="7" numFmtId="0" xfId="0" applyAlignment="1" applyBorder="1" applyFont="1">
      <alignment horizontal="left" readingOrder="0" shrinkToFit="0" vertical="center" wrapText="0"/>
    </xf>
    <xf borderId="16" fillId="0" fontId="7" numFmtId="0" xfId="0" applyAlignment="1" applyBorder="1" applyFont="1">
      <alignment horizontal="left" shrinkToFit="0" vertical="center" wrapText="0"/>
    </xf>
    <xf borderId="19" fillId="0" fontId="7" numFmtId="0" xfId="0" applyAlignment="1" applyBorder="1" applyFont="1">
      <alignment horizontal="center" vertical="center"/>
    </xf>
    <xf borderId="19" fillId="0" fontId="7" numFmtId="0" xfId="0" applyAlignment="1" applyBorder="1" applyFont="1">
      <alignment horizontal="left" readingOrder="0" shrinkToFit="0" vertical="center" wrapText="0"/>
    </xf>
    <xf borderId="19" fillId="0" fontId="7" numFmtId="0" xfId="0" applyAlignment="1" applyBorder="1" applyFont="1">
      <alignment horizontal="left" shrinkToFit="0" vertical="center" wrapText="0"/>
    </xf>
    <xf borderId="0" fillId="15" fontId="7" numFmtId="0" xfId="0" applyAlignment="1" applyFill="1" applyFont="1">
      <alignment horizontal="center" readingOrder="0" vertical="center"/>
    </xf>
    <xf borderId="12" fillId="0" fontId="7" numFmtId="165" xfId="0" applyAlignment="1" applyBorder="1" applyFont="1" applyNumberFormat="1">
      <alignment horizontal="center" readingOrder="0" vertical="center"/>
    </xf>
    <xf borderId="20" fillId="0" fontId="7" numFmtId="0" xfId="0" applyAlignment="1" applyBorder="1" applyFont="1">
      <alignment horizontal="center" readingOrder="0" vertical="center"/>
    </xf>
    <xf borderId="12" fillId="0" fontId="7" numFmtId="0" xfId="0" applyAlignment="1" applyBorder="1" applyFont="1">
      <alignment horizontal="left" vertical="center"/>
    </xf>
    <xf borderId="16" fillId="0" fontId="7" numFmtId="0" xfId="0" applyAlignment="1" applyBorder="1" applyFont="1">
      <alignment horizontal="center" readingOrder="0" vertical="center"/>
    </xf>
    <xf borderId="16" fillId="0" fontId="7" numFmtId="0" xfId="0" applyAlignment="1" applyBorder="1" applyFont="1">
      <alignment horizontal="left" vertical="center"/>
    </xf>
    <xf borderId="0" fillId="11" fontId="7" numFmtId="0" xfId="0" applyAlignment="1" applyFont="1">
      <alignment horizontal="center" readingOrder="0" vertical="center"/>
    </xf>
    <xf borderId="0" fillId="2" fontId="7" numFmtId="0" xfId="0" applyAlignment="1" applyFont="1">
      <alignment horizontal="center" readingOrder="0" vertical="center"/>
    </xf>
    <xf borderId="0" fillId="2" fontId="7" numFmtId="165" xfId="0" applyAlignment="1" applyFont="1" applyNumberFormat="1">
      <alignment horizontal="center" readingOrder="0" vertical="center"/>
    </xf>
    <xf borderId="0" fillId="0" fontId="11" numFmtId="0" xfId="0" applyAlignment="1" applyFont="1">
      <alignment horizontal="center" readingOrder="0"/>
    </xf>
    <xf borderId="0" fillId="0" fontId="7" numFmtId="0" xfId="0" applyAlignment="1" applyFont="1">
      <alignment horizontal="center" readingOrder="0"/>
    </xf>
    <xf borderId="0" fillId="2" fontId="12" numFmtId="0" xfId="0" applyAlignment="1" applyFont="1">
      <alignment horizontal="center" vertical="bottom"/>
    </xf>
    <xf borderId="0" fillId="14" fontId="12" numFmtId="0" xfId="0" applyAlignment="1" applyFont="1">
      <alignment horizontal="center" vertical="bottom"/>
    </xf>
    <xf borderId="0" fillId="14" fontId="12" numFmtId="0" xfId="0" applyAlignment="1" applyFont="1">
      <alignment horizontal="center" vertical="bottom"/>
    </xf>
    <xf borderId="0" fillId="14" fontId="5" numFmtId="0" xfId="0" applyAlignment="1" applyFont="1">
      <alignment horizontal="center" vertical="bottom"/>
    </xf>
    <xf borderId="0" fillId="14" fontId="5" numFmtId="0" xfId="0" applyAlignment="1" applyFont="1">
      <alignment vertical="bottom"/>
    </xf>
    <xf borderId="0" fillId="2" fontId="5" numFmtId="0" xfId="0" applyAlignment="1" applyFont="1">
      <alignment vertical="bottom"/>
    </xf>
    <xf borderId="0" fillId="2" fontId="5" numFmtId="0" xfId="0" applyAlignment="1" applyFont="1">
      <alignment vertical="bottom"/>
    </xf>
    <xf borderId="0" fillId="2" fontId="5" numFmtId="0" xfId="0" applyAlignment="1" applyFont="1">
      <alignment horizontal="center" vertical="bottom"/>
    </xf>
    <xf borderId="0" fillId="14" fontId="5" numFmtId="0" xfId="0" applyAlignment="1" applyFont="1">
      <alignment vertical="bottom"/>
    </xf>
    <xf borderId="0" fillId="2" fontId="5" numFmtId="0" xfId="0" applyAlignment="1" applyFont="1">
      <alignment horizontal="center" vertical="bottom"/>
    </xf>
    <xf borderId="0" fillId="2" fontId="5" numFmtId="0" xfId="0" applyAlignment="1" applyFont="1">
      <alignment readingOrder="0" vertical="bottom"/>
    </xf>
    <xf borderId="0" fillId="0" fontId="7" numFmtId="0" xfId="0" applyAlignment="1" applyFont="1">
      <alignment readingOrder="0"/>
    </xf>
    <xf borderId="0" fillId="2" fontId="7" numFmtId="0" xfId="0" applyAlignment="1" applyFont="1">
      <alignment horizontal="left" readingOrder="0" vertical="center"/>
    </xf>
    <xf borderId="12" fillId="0" fontId="7" numFmtId="166" xfId="0" applyAlignment="1" applyBorder="1" applyFont="1" applyNumberFormat="1">
      <alignment horizontal="center" readingOrder="0" vertical="center"/>
    </xf>
    <xf borderId="16" fillId="0" fontId="7" numFmtId="0" xfId="0" applyAlignment="1" applyBorder="1" applyFont="1">
      <alignment horizontal="left" readingOrder="0" vertical="center"/>
    </xf>
    <xf borderId="0" fillId="0" fontId="7" numFmtId="0" xfId="0" applyAlignment="1" applyFont="1">
      <alignment readingOrder="0" vertical="center"/>
    </xf>
    <xf borderId="0" fillId="0" fontId="7" numFmtId="0" xfId="0" applyAlignment="1" applyFont="1">
      <alignment readingOrder="0" shrinkToFit="0" wrapText="1"/>
    </xf>
    <xf quotePrefix="1" borderId="0" fillId="0" fontId="7" numFmtId="0" xfId="0" applyAlignment="1" applyFont="1">
      <alignment readingOrder="0" shrinkToFit="0" wrapText="1"/>
    </xf>
    <xf borderId="17" fillId="16" fontId="7" numFmtId="0" xfId="0" applyAlignment="1" applyBorder="1" applyFill="1" applyFont="1">
      <alignment readingOrder="0"/>
    </xf>
    <xf borderId="20" fillId="0" fontId="7" numFmtId="0" xfId="0" applyBorder="1" applyFont="1"/>
    <xf borderId="12" fillId="0" fontId="7" numFmtId="0" xfId="0" applyAlignment="1" applyBorder="1" applyFont="1">
      <alignment readingOrder="0"/>
    </xf>
    <xf borderId="1" fillId="0" fontId="7" numFmtId="0" xfId="0" applyAlignment="1" applyBorder="1" applyFont="1">
      <alignment readingOrder="0"/>
    </xf>
    <xf borderId="19" fillId="0" fontId="7" numFmtId="0" xfId="0" applyBorder="1" applyFont="1"/>
    <xf borderId="34" fillId="16" fontId="7" numFmtId="0" xfId="0" applyAlignment="1" applyBorder="1" applyFont="1">
      <alignment horizontal="center" readingOrder="0"/>
    </xf>
    <xf borderId="35" fillId="0" fontId="8" numFmtId="0" xfId="0" applyBorder="1" applyFont="1"/>
    <xf borderId="36" fillId="0" fontId="8" numFmtId="0" xfId="0" applyBorder="1" applyFont="1"/>
    <xf borderId="35" fillId="16" fontId="7" numFmtId="0" xfId="0" applyAlignment="1" applyBorder="1" applyFont="1">
      <alignment horizontal="center" readingOrder="0"/>
    </xf>
    <xf borderId="36" fillId="16" fontId="7" numFmtId="0" xfId="0" applyAlignment="1" applyBorder="1" applyFont="1">
      <alignment horizontal="center" readingOrder="0"/>
    </xf>
    <xf borderId="37" fillId="16" fontId="7" numFmtId="0" xfId="0" applyAlignment="1" applyBorder="1" applyFont="1">
      <alignment readingOrder="0"/>
    </xf>
    <xf borderId="38" fillId="0" fontId="8" numFmtId="0" xfId="0" applyBorder="1" applyFont="1"/>
    <xf borderId="26" fillId="16" fontId="7" numFmtId="0" xfId="0" applyAlignment="1" applyBorder="1" applyFont="1">
      <alignment horizontal="center" readingOrder="0"/>
    </xf>
    <xf borderId="39" fillId="16" fontId="7" numFmtId="0" xfId="0" applyAlignment="1" applyBorder="1" applyFont="1">
      <alignment readingOrder="0"/>
    </xf>
    <xf borderId="12" fillId="16" fontId="7" numFmtId="0" xfId="0" applyAlignment="1" applyBorder="1" applyFont="1">
      <alignment readingOrder="0"/>
    </xf>
    <xf borderId="40" fillId="16" fontId="7" numFmtId="0" xfId="0" applyAlignment="1" applyBorder="1" applyFont="1">
      <alignment readingOrder="0"/>
    </xf>
    <xf borderId="18" fillId="16" fontId="7" numFmtId="0" xfId="0" applyAlignment="1" applyBorder="1" applyFont="1">
      <alignment horizontal="left" readingOrder="0"/>
    </xf>
    <xf borderId="40" fillId="16" fontId="7" numFmtId="0" xfId="0" applyAlignment="1" applyBorder="1" applyFont="1">
      <alignment horizontal="left" readingOrder="0"/>
    </xf>
    <xf borderId="39" fillId="0" fontId="7" numFmtId="0" xfId="0" applyAlignment="1" applyBorder="1" applyFont="1">
      <alignment readingOrder="0"/>
    </xf>
    <xf borderId="12" fillId="2" fontId="7" numFmtId="0" xfId="0" applyAlignment="1" applyBorder="1" applyFont="1">
      <alignment horizontal="left" readingOrder="0"/>
    </xf>
    <xf borderId="40" fillId="2" fontId="7" numFmtId="0" xfId="0" applyAlignment="1" applyBorder="1" applyFont="1">
      <alignment horizontal="left" readingOrder="0"/>
    </xf>
    <xf borderId="18" fillId="2" fontId="7" numFmtId="0" xfId="0" applyAlignment="1" applyBorder="1" applyFont="1">
      <alignment horizontal="left" readingOrder="0"/>
    </xf>
    <xf borderId="12" fillId="0" fontId="7" numFmtId="0" xfId="0" applyAlignment="1" applyBorder="1" applyFont="1">
      <alignment horizontal="left" readingOrder="0"/>
    </xf>
    <xf borderId="40" fillId="0" fontId="7" numFmtId="0" xfId="0" applyAlignment="1" applyBorder="1" applyFont="1">
      <alignment horizontal="left" readingOrder="0"/>
    </xf>
    <xf borderId="18" fillId="0" fontId="7" numFmtId="0" xfId="0" applyAlignment="1" applyBorder="1" applyFont="1">
      <alignment horizontal="left" readingOrder="0"/>
    </xf>
    <xf borderId="40" fillId="0" fontId="7" numFmtId="0" xfId="0" applyAlignment="1" applyBorder="1" applyFont="1">
      <alignment readingOrder="0"/>
    </xf>
    <xf borderId="41" fillId="0" fontId="7" numFmtId="0" xfId="0" applyAlignment="1" applyBorder="1" applyFont="1">
      <alignment readingOrder="0"/>
    </xf>
    <xf borderId="42" fillId="0" fontId="7" numFmtId="0" xfId="0" applyAlignment="1" applyBorder="1" applyFont="1">
      <alignment readingOrder="0"/>
    </xf>
    <xf borderId="43" fillId="0" fontId="7" numFmtId="0" xfId="0" applyAlignment="1" applyBorder="1" applyFont="1">
      <alignment readingOrder="0"/>
    </xf>
    <xf borderId="44" fillId="0" fontId="7" numFmtId="0" xfId="0" applyAlignment="1" applyBorder="1" applyFont="1">
      <alignment horizontal="left" readingOrder="0"/>
    </xf>
    <xf borderId="43" fillId="0" fontId="7" numFmtId="0" xfId="0" applyAlignment="1" applyBorder="1" applyFont="1">
      <alignment horizontal="left" readingOrder="0"/>
    </xf>
    <xf borderId="45" fillId="16" fontId="13" numFmtId="0" xfId="0" applyAlignment="1" applyBorder="1" applyFont="1">
      <alignment horizontal="center" readingOrder="0" vertical="center"/>
    </xf>
    <xf borderId="46" fillId="0" fontId="8" numFmtId="0" xfId="0" applyBorder="1" applyFont="1"/>
    <xf borderId="47" fillId="0" fontId="8" numFmtId="0" xfId="0" applyBorder="1" applyFont="1"/>
    <xf borderId="37" fillId="16" fontId="7" numFmtId="0" xfId="0" applyAlignment="1" applyBorder="1" applyFont="1">
      <alignment horizontal="center" readingOrder="0" vertical="center"/>
    </xf>
    <xf borderId="26" fillId="16" fontId="7" numFmtId="0" xfId="0" applyAlignment="1" applyBorder="1" applyFont="1">
      <alignment horizontal="center" readingOrder="0" vertical="center"/>
    </xf>
    <xf borderId="40" fillId="16" fontId="7" numFmtId="0" xfId="0" applyAlignment="1" applyBorder="1" applyFont="1">
      <alignment horizontal="center" readingOrder="0"/>
    </xf>
    <xf borderId="12" fillId="0" fontId="7" numFmtId="0" xfId="0" applyAlignment="1" applyBorder="1" applyFont="1">
      <alignment horizontal="center" readingOrder="0"/>
    </xf>
    <xf borderId="12" fillId="0" fontId="7" numFmtId="9" xfId="0" applyAlignment="1" applyBorder="1" applyFont="1" applyNumberFormat="1">
      <alignment horizontal="center" readingOrder="0" vertical="center"/>
    </xf>
    <xf borderId="40" fillId="0" fontId="7" numFmtId="0" xfId="0" applyAlignment="1" applyBorder="1" applyFont="1">
      <alignment horizontal="center" readingOrder="0"/>
    </xf>
    <xf borderId="39" fillId="0" fontId="7" numFmtId="0" xfId="0" applyAlignment="1" applyBorder="1" applyFont="1">
      <alignment horizontal="center" readingOrder="0" vertical="center"/>
    </xf>
    <xf borderId="48" fillId="0" fontId="7" numFmtId="0" xfId="0" applyAlignment="1" applyBorder="1" applyFont="1">
      <alignment horizontal="center" readingOrder="0" vertical="center"/>
    </xf>
    <xf borderId="49" fillId="0" fontId="7" numFmtId="0" xfId="0" applyAlignment="1" applyBorder="1" applyFont="1">
      <alignment horizontal="center" readingOrder="0" vertical="center"/>
    </xf>
    <xf borderId="49" fillId="0" fontId="7" numFmtId="9" xfId="0" applyAlignment="1" applyBorder="1" applyFont="1" applyNumberFormat="1">
      <alignment horizontal="center" readingOrder="0" vertical="center"/>
    </xf>
    <xf borderId="50" fillId="0" fontId="7" numFmtId="0" xfId="0" applyAlignment="1" applyBorder="1" applyFont="1">
      <alignment horizontal="center" readingOrder="0" vertical="center"/>
    </xf>
    <xf borderId="51" fillId="0" fontId="7" numFmtId="0" xfId="0" applyAlignment="1" applyBorder="1" applyFont="1">
      <alignment horizontal="center" readingOrder="0" vertical="center"/>
    </xf>
    <xf borderId="51" fillId="0" fontId="7" numFmtId="9" xfId="0" applyAlignment="1" applyBorder="1" applyFont="1" applyNumberFormat="1">
      <alignment horizontal="center" readingOrder="0" vertical="center"/>
    </xf>
    <xf borderId="52" fillId="0" fontId="7" numFmtId="0" xfId="0" applyAlignment="1" applyBorder="1" applyFont="1">
      <alignment horizontal="center" readingOrder="0" vertical="center"/>
    </xf>
    <xf borderId="40" fillId="0" fontId="7" numFmtId="0" xfId="0" applyAlignment="1" applyBorder="1" applyFont="1">
      <alignment horizontal="center" readingOrder="0" vertical="center"/>
    </xf>
    <xf borderId="53" fillId="0" fontId="7" numFmtId="0" xfId="0" applyAlignment="1" applyBorder="1" applyFont="1">
      <alignment horizontal="center" readingOrder="0" vertical="center"/>
    </xf>
    <xf borderId="41" fillId="0" fontId="7" numFmtId="0" xfId="0" applyAlignment="1" applyBorder="1" applyFont="1">
      <alignment horizontal="center" readingOrder="0" vertical="center"/>
    </xf>
    <xf borderId="42" fillId="0" fontId="7" numFmtId="0" xfId="0" applyAlignment="1" applyBorder="1" applyFont="1">
      <alignment horizontal="center" readingOrder="0" vertical="center"/>
    </xf>
    <xf borderId="43" fillId="0" fontId="7" numFmtId="0" xfId="0" applyAlignment="1" applyBorder="1" applyFont="1">
      <alignment horizontal="center" readingOrder="0" vertical="center"/>
    </xf>
    <xf borderId="1" fillId="0" fontId="14" numFmtId="0" xfId="0" applyAlignment="1" applyBorder="1" applyFont="1">
      <alignment horizontal="center" readingOrder="0" vertical="center"/>
    </xf>
    <xf borderId="2" fillId="0" fontId="14" numFmtId="0" xfId="0" applyAlignment="1" applyBorder="1" applyFont="1">
      <alignment horizontal="center" readingOrder="0" vertical="center"/>
    </xf>
    <xf borderId="34" fillId="16" fontId="7" numFmtId="0" xfId="0" applyAlignment="1" applyBorder="1" applyFont="1">
      <alignment horizontal="center" readingOrder="0" vertical="center"/>
    </xf>
    <xf borderId="35" fillId="16" fontId="7" numFmtId="0" xfId="0" applyAlignment="1" applyBorder="1" applyFont="1">
      <alignment horizontal="center" readingOrder="0" vertical="center"/>
    </xf>
    <xf borderId="36" fillId="16" fontId="7" numFmtId="0" xfId="0" applyAlignment="1" applyBorder="1" applyFont="1">
      <alignment horizontal="center" readingOrder="0" vertical="center"/>
    </xf>
    <xf borderId="54" fillId="16" fontId="7" numFmtId="0" xfId="0" applyAlignment="1" applyBorder="1" applyFont="1">
      <alignment horizontal="center" readingOrder="0" vertical="center"/>
    </xf>
    <xf borderId="55" fillId="16" fontId="7" numFmtId="0" xfId="0" applyAlignment="1" applyBorder="1" applyFont="1">
      <alignment horizontal="center" readingOrder="0" vertical="center"/>
    </xf>
    <xf borderId="56" fillId="16" fontId="7" numFmtId="0" xfId="0" applyAlignment="1" applyBorder="1" applyFont="1">
      <alignment horizontal="center" readingOrder="0" vertical="center"/>
    </xf>
    <xf borderId="57" fillId="0" fontId="7" numFmtId="0" xfId="0" applyAlignment="1" applyBorder="1" applyFont="1">
      <alignment horizontal="center" readingOrder="0" vertical="center"/>
    </xf>
    <xf borderId="58" fillId="2" fontId="7" numFmtId="0" xfId="0" applyAlignment="1" applyBorder="1" applyFont="1">
      <alignment horizontal="center" readingOrder="0" vertical="center"/>
    </xf>
    <xf borderId="58" fillId="0" fontId="7" numFmtId="0" xfId="0" applyAlignment="1" applyBorder="1" applyFont="1">
      <alignment horizontal="center" readingOrder="0" vertical="center"/>
    </xf>
    <xf borderId="59" fillId="0" fontId="7" numFmtId="0" xfId="0" applyAlignment="1" applyBorder="1" applyFont="1">
      <alignment horizontal="center" readingOrder="0" vertical="center"/>
    </xf>
    <xf borderId="60" fillId="0" fontId="7" numFmtId="0" xfId="0" applyAlignment="1" applyBorder="1" applyFont="1">
      <alignment horizontal="center" readingOrder="0" vertical="center"/>
    </xf>
    <xf borderId="61" fillId="2" fontId="7" numFmtId="0" xfId="0" applyAlignment="1" applyBorder="1" applyFont="1">
      <alignment horizontal="center" readingOrder="0" vertical="center"/>
    </xf>
    <xf borderId="62" fillId="0" fontId="7" numFmtId="0" xfId="0" applyAlignment="1" applyBorder="1" applyFont="1">
      <alignment horizontal="center" readingOrder="0" vertical="center"/>
    </xf>
    <xf borderId="63" fillId="0" fontId="7" numFmtId="0" xfId="0" applyAlignment="1" applyBorder="1" applyFont="1">
      <alignment horizontal="center" readingOrder="0" vertical="center"/>
    </xf>
    <xf borderId="64" fillId="2" fontId="7" numFmtId="0" xfId="0" applyAlignment="1" applyBorder="1" applyFont="1">
      <alignment horizontal="center" readingOrder="0" vertical="center"/>
    </xf>
    <xf borderId="12" fillId="13" fontId="7" numFmtId="0" xfId="0" applyAlignment="1" applyBorder="1" applyFont="1">
      <alignment horizontal="center" readingOrder="0" vertical="center"/>
    </xf>
    <xf borderId="65" fillId="0" fontId="7" numFmtId="0" xfId="0" applyAlignment="1" applyBorder="1" applyFont="1">
      <alignment horizontal="center" readingOrder="0" vertical="center"/>
    </xf>
    <xf borderId="66" fillId="0" fontId="7" numFmtId="0" xfId="0" applyAlignment="1" applyBorder="1" applyFont="1">
      <alignment horizontal="center" readingOrder="0" vertical="center"/>
    </xf>
    <xf borderId="66" fillId="0" fontId="7" numFmtId="0" xfId="0" applyAlignment="1" applyBorder="1" applyFont="1">
      <alignment horizontal="center" vertical="center"/>
    </xf>
    <xf borderId="62" fillId="0" fontId="7" numFmtId="0" xfId="0" applyAlignment="1" applyBorder="1" applyFont="1">
      <alignment horizontal="center" vertical="center"/>
    </xf>
    <xf borderId="65" fillId="0" fontId="7" numFmtId="0" xfId="0" applyAlignment="1" applyBorder="1" applyFont="1">
      <alignment horizontal="center" vertical="center"/>
    </xf>
    <xf borderId="67" fillId="0" fontId="7" numFmtId="0" xfId="0" applyAlignment="1" applyBorder="1" applyFont="1">
      <alignment horizontal="center" readingOrder="0" vertical="center"/>
    </xf>
    <xf borderId="68" fillId="2" fontId="7" numFmtId="0" xfId="0" applyAlignment="1" applyBorder="1" applyFont="1">
      <alignment horizontal="center" readingOrder="0" vertical="center"/>
    </xf>
    <xf borderId="69" fillId="0" fontId="7" numFmtId="0" xfId="0" applyAlignment="1" applyBorder="1" applyFont="1">
      <alignment horizontal="center" vertical="center"/>
    </xf>
    <xf borderId="19" fillId="0" fontId="14" numFmtId="0" xfId="0" applyAlignment="1" applyBorder="1" applyFont="1">
      <alignment horizontal="center" readingOrder="0" vertical="center"/>
    </xf>
    <xf borderId="58" fillId="0" fontId="5" numFmtId="0" xfId="0" applyAlignment="1" applyBorder="1" applyFont="1">
      <alignment horizontal="center" vertical="center"/>
    </xf>
    <xf borderId="12" fillId="0" fontId="5" numFmtId="0" xfId="0" applyAlignment="1" applyBorder="1" applyFont="1">
      <alignment horizontal="center" vertical="center"/>
    </xf>
    <xf borderId="12" fillId="10" fontId="7" numFmtId="0" xfId="0" applyAlignment="1" applyBorder="1" applyFont="1">
      <alignment horizontal="center" readingOrder="0" vertical="center"/>
    </xf>
    <xf borderId="42" fillId="0" fontId="5" numFmtId="0" xfId="0" applyAlignment="1" applyBorder="1" applyFont="1">
      <alignment horizontal="center" vertical="center"/>
    </xf>
    <xf borderId="40" fillId="0" fontId="7" numFmtId="0" xfId="0" applyAlignment="1" applyBorder="1" applyFont="1">
      <alignment horizontal="center" vertical="center"/>
    </xf>
    <xf borderId="42" fillId="0" fontId="7" numFmtId="0" xfId="0" applyAlignment="1" applyBorder="1" applyFont="1">
      <alignment horizontal="center" vertical="center"/>
    </xf>
    <xf borderId="58"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42" fillId="0" fontId="5" numFmtId="0" xfId="0" applyAlignment="1" applyBorder="1" applyFont="1">
      <alignment horizontal="center" readingOrder="0" vertical="center"/>
    </xf>
    <xf borderId="70" fillId="0" fontId="7" numFmtId="0" xfId="0" applyAlignment="1" applyBorder="1" applyFont="1">
      <alignment horizontal="center" readingOrder="0" vertical="center"/>
    </xf>
    <xf borderId="71" fillId="2" fontId="7" numFmtId="0" xfId="0" applyAlignment="1" applyBorder="1" applyFont="1">
      <alignment horizontal="center" readingOrder="0" vertical="center"/>
    </xf>
    <xf borderId="57" fillId="0" fontId="5" numFmtId="0" xfId="0" applyAlignment="1" applyBorder="1" applyFont="1">
      <alignment horizontal="center" readingOrder="0"/>
    </xf>
    <xf borderId="58" fillId="2" fontId="5" numFmtId="0" xfId="0" applyAlignment="1" applyBorder="1" applyFont="1">
      <alignment horizontal="center"/>
    </xf>
    <xf borderId="59" fillId="0" fontId="5" numFmtId="0" xfId="0" applyAlignment="1" applyBorder="1" applyFont="1">
      <alignment horizontal="center"/>
    </xf>
    <xf borderId="60" fillId="0" fontId="5" numFmtId="0" xfId="0" applyAlignment="1" applyBorder="1" applyFont="1">
      <alignment horizontal="center"/>
    </xf>
    <xf borderId="61" fillId="2" fontId="5" numFmtId="0" xfId="0" applyAlignment="1" applyBorder="1" applyFont="1">
      <alignment horizontal="center"/>
    </xf>
    <xf borderId="62" fillId="0" fontId="5" numFmtId="0" xfId="0" applyAlignment="1" applyBorder="1" applyFont="1">
      <alignment horizontal="center"/>
    </xf>
    <xf borderId="63" fillId="0" fontId="5" numFmtId="0" xfId="0" applyAlignment="1" applyBorder="1" applyFont="1">
      <alignment horizontal="center"/>
    </xf>
    <xf borderId="64" fillId="2" fontId="5" numFmtId="0" xfId="0" applyAlignment="1" applyBorder="1" applyFont="1">
      <alignment horizontal="center"/>
    </xf>
    <xf borderId="65" fillId="0" fontId="5" numFmtId="0" xfId="0" applyAlignment="1" applyBorder="1" applyFont="1">
      <alignment horizontal="center"/>
    </xf>
    <xf borderId="40" fillId="0" fontId="5" numFmtId="0" xfId="0" applyAlignment="1" applyBorder="1" applyFont="1">
      <alignment horizontal="center"/>
    </xf>
    <xf borderId="66" fillId="0" fontId="5" numFmtId="0" xfId="0" applyAlignment="1" applyBorder="1" applyFont="1">
      <alignment horizontal="center"/>
    </xf>
    <xf borderId="67" fillId="0" fontId="5" numFmtId="0" xfId="0" applyAlignment="1" applyBorder="1" applyFont="1">
      <alignment horizontal="center"/>
    </xf>
    <xf borderId="68" fillId="2" fontId="5" numFmtId="0" xfId="0" applyAlignment="1" applyBorder="1" applyFont="1">
      <alignment horizontal="center"/>
    </xf>
    <xf borderId="43" fillId="0" fontId="5" numFmtId="0" xfId="0" applyAlignment="1" applyBorder="1" applyFont="1">
      <alignment horizontal="center"/>
    </xf>
    <xf borderId="72" fillId="0" fontId="7" numFmtId="0" xfId="0" applyAlignment="1" applyBorder="1" applyFont="1">
      <alignment horizontal="center" readingOrder="0" vertical="center"/>
    </xf>
    <xf borderId="42" fillId="2" fontId="7" numFmtId="0" xfId="0" applyAlignment="1" applyBorder="1" applyFont="1">
      <alignment horizontal="center" readingOrder="0" vertical="center"/>
    </xf>
    <xf borderId="16" fillId="0" fontId="14" numFmtId="0" xfId="0" applyAlignment="1" applyBorder="1" applyFont="1">
      <alignment horizontal="center" readingOrder="0" vertical="center"/>
    </xf>
    <xf borderId="0" fillId="2" fontId="7" numFmtId="0" xfId="0" applyFont="1"/>
    <xf borderId="73" fillId="17" fontId="5" numFmtId="0" xfId="0" applyAlignment="1" applyBorder="1" applyFill="1" applyFont="1">
      <alignment horizontal="center" vertical="bottom"/>
    </xf>
    <xf borderId="74" fillId="17" fontId="5" numFmtId="0" xfId="0" applyAlignment="1" applyBorder="1" applyFont="1">
      <alignment horizontal="center" vertical="bottom"/>
    </xf>
    <xf borderId="75" fillId="17" fontId="5" numFmtId="0" xfId="0" applyAlignment="1" applyBorder="1" applyFont="1">
      <alignment horizontal="center" vertical="bottom"/>
    </xf>
    <xf borderId="0" fillId="2" fontId="5" numFmtId="0" xfId="0" applyAlignment="1" applyFont="1">
      <alignment vertical="bottom"/>
    </xf>
    <xf borderId="73" fillId="18" fontId="12" numFmtId="0" xfId="0" applyAlignment="1" applyBorder="1" applyFill="1" applyFont="1">
      <alignment horizontal="center" vertical="bottom"/>
    </xf>
    <xf borderId="74" fillId="18" fontId="12" numFmtId="0" xfId="0" applyAlignment="1" applyBorder="1" applyFont="1">
      <alignment horizontal="center" vertical="bottom"/>
    </xf>
    <xf borderId="75" fillId="18" fontId="12" numFmtId="0" xfId="0" applyAlignment="1" applyBorder="1" applyFont="1">
      <alignment horizontal="center" vertical="bottom"/>
    </xf>
    <xf borderId="76" fillId="2" fontId="5" numFmtId="0" xfId="0" applyAlignment="1" applyBorder="1" applyFont="1">
      <alignment horizontal="center" readingOrder="0" vertical="bottom"/>
    </xf>
    <xf borderId="0" fillId="2" fontId="5" numFmtId="0" xfId="0" applyAlignment="1" applyFont="1">
      <alignment horizontal="center" vertical="bottom"/>
    </xf>
    <xf borderId="77" fillId="2" fontId="5" numFmtId="0" xfId="0" applyAlignment="1" applyBorder="1" applyFont="1">
      <alignment vertical="bottom"/>
    </xf>
    <xf borderId="0" fillId="2" fontId="5" numFmtId="0" xfId="0" applyAlignment="1" applyFont="1">
      <alignment vertical="bottom"/>
    </xf>
    <xf borderId="76" fillId="2" fontId="5" numFmtId="0" xfId="0" applyAlignment="1" applyBorder="1" applyFont="1">
      <alignment vertical="bottom"/>
    </xf>
    <xf borderId="77" fillId="2" fontId="5" numFmtId="0" xfId="0" applyAlignment="1" applyBorder="1" applyFont="1">
      <alignment vertical="bottom"/>
    </xf>
    <xf borderId="78" fillId="2" fontId="5" numFmtId="0" xfId="0" applyAlignment="1" applyBorder="1" applyFont="1">
      <alignment horizontal="center" readingOrder="0" vertical="bottom"/>
    </xf>
    <xf borderId="79" fillId="2" fontId="5" numFmtId="0" xfId="0" applyAlignment="1" applyBorder="1" applyFont="1">
      <alignment vertical="bottom"/>
    </xf>
    <xf borderId="79" fillId="2" fontId="5" numFmtId="0" xfId="0" applyAlignment="1" applyBorder="1" applyFont="1">
      <alignment horizontal="center" vertical="bottom"/>
    </xf>
    <xf borderId="80" fillId="2" fontId="5" numFmtId="0" xfId="0" applyAlignment="1" applyBorder="1" applyFont="1">
      <alignment readingOrder="0" vertical="bottom"/>
    </xf>
    <xf borderId="78" fillId="2" fontId="5" numFmtId="0" xfId="0" applyAlignment="1" applyBorder="1" applyFont="1">
      <alignment vertical="bottom"/>
    </xf>
    <xf borderId="79" fillId="2" fontId="5" numFmtId="0" xfId="0" applyAlignment="1" applyBorder="1" applyFont="1">
      <alignment vertical="bottom"/>
    </xf>
    <xf borderId="80" fillId="2" fontId="5" numFmtId="0" xfId="0" applyAlignment="1" applyBorder="1" applyFont="1">
      <alignment vertical="bottom"/>
    </xf>
    <xf borderId="73" fillId="17" fontId="12" numFmtId="0" xfId="0" applyAlignment="1" applyBorder="1" applyFont="1">
      <alignment horizontal="center" vertical="bottom"/>
    </xf>
    <xf borderId="74" fillId="17" fontId="12" numFmtId="0" xfId="0" applyAlignment="1" applyBorder="1" applyFont="1">
      <alignment horizontal="center" vertical="bottom"/>
    </xf>
    <xf borderId="0" fillId="2" fontId="5" numFmtId="165" xfId="0" applyAlignment="1" applyFont="1" applyNumberFormat="1">
      <alignment horizontal="center" vertical="bottom"/>
    </xf>
    <xf borderId="0" fillId="2" fontId="5" numFmtId="0" xfId="0" applyAlignment="1" applyFont="1">
      <alignment horizontal="center" vertical="bottom"/>
    </xf>
    <xf borderId="0" fillId="2" fontId="5" numFmtId="0" xfId="0" applyAlignment="1" applyFont="1">
      <alignment readingOrder="0" vertical="bottom"/>
    </xf>
    <xf borderId="79" fillId="2" fontId="5" numFmtId="0" xfId="0" applyAlignment="1" applyBorder="1" applyFont="1">
      <alignment readingOrder="0" vertical="bottom"/>
    </xf>
    <xf borderId="79" fillId="2" fontId="5" numFmtId="0" xfId="0" applyAlignment="1" applyBorder="1" applyFont="1">
      <alignment horizontal="center" readingOrder="0" vertical="bottom"/>
    </xf>
    <xf borderId="0" fillId="2" fontId="7" numFmtId="0" xfId="0" applyAlignment="1" applyFont="1">
      <alignment horizontal="center" readingOrder="0" vertical="center"/>
    </xf>
    <xf borderId="81" fillId="0" fontId="7" numFmtId="0" xfId="0" applyBorder="1" applyFont="1"/>
    <xf borderId="27" fillId="0" fontId="7" numFmtId="0" xfId="0" applyBorder="1" applyFont="1"/>
    <xf borderId="82" fillId="0" fontId="7" numFmtId="0" xfId="0" applyBorder="1" applyFont="1"/>
    <xf borderId="83" fillId="0" fontId="7" numFmtId="0" xfId="0" applyAlignment="1" applyBorder="1" applyFont="1">
      <alignment horizontal="center" readingOrder="0" vertical="center"/>
    </xf>
    <xf borderId="83" fillId="0" fontId="7" numFmtId="0" xfId="0" applyAlignment="1" applyBorder="1" applyFont="1">
      <alignment horizontal="center" readingOrder="0"/>
    </xf>
    <xf borderId="83" fillId="19" fontId="15" numFmtId="0" xfId="0" applyAlignment="1" applyBorder="1" applyFill="1" applyFont="1">
      <alignment horizontal="center" readingOrder="0" vertical="center"/>
    </xf>
    <xf borderId="83" fillId="19" fontId="15" numFmtId="0" xfId="0" applyAlignment="1" applyBorder="1" applyFont="1">
      <alignment horizontal="center" readingOrder="0"/>
    </xf>
    <xf borderId="83" fillId="19" fontId="5" numFmtId="0" xfId="0" applyAlignment="1" applyBorder="1" applyFont="1">
      <alignment horizontal="center" vertical="bottom"/>
    </xf>
    <xf borderId="83" fillId="19" fontId="7" numFmtId="0" xfId="0" applyAlignment="1" applyBorder="1" applyFont="1">
      <alignment horizontal="center" readingOrder="0"/>
    </xf>
    <xf borderId="84" fillId="0" fontId="7" numFmtId="0" xfId="0" applyAlignment="1" applyBorder="1" applyFont="1">
      <alignment horizontal="center" readingOrder="0" vertical="center"/>
    </xf>
    <xf borderId="84" fillId="0" fontId="7" numFmtId="0" xfId="0" applyAlignment="1" applyBorder="1" applyFont="1">
      <alignment readingOrder="0" vertical="center"/>
    </xf>
    <xf borderId="83" fillId="0" fontId="7" numFmtId="167" xfId="0" applyAlignment="1" applyBorder="1" applyFont="1" applyNumberFormat="1">
      <alignment horizontal="center" readingOrder="0" vertical="center"/>
    </xf>
    <xf borderId="84" fillId="0" fontId="5" numFmtId="167" xfId="0" applyAlignment="1" applyBorder="1" applyFont="1" applyNumberFormat="1">
      <alignment horizontal="right" vertical="center"/>
    </xf>
    <xf borderId="83" fillId="0" fontId="7" numFmtId="0" xfId="0" applyAlignment="1" applyBorder="1" applyFont="1">
      <alignment readingOrder="0"/>
    </xf>
    <xf borderId="83" fillId="0" fontId="7" numFmtId="167" xfId="0" applyAlignment="1" applyBorder="1" applyFont="1" applyNumberFormat="1">
      <alignment readingOrder="0"/>
    </xf>
    <xf borderId="85" fillId="0" fontId="8" numFmtId="0" xfId="0" applyBorder="1" applyFont="1"/>
    <xf borderId="86" fillId="0" fontId="8" numFmtId="0" xfId="0" applyBorder="1" applyFont="1"/>
    <xf borderId="21" fillId="0" fontId="7" numFmtId="0" xfId="0" applyBorder="1" applyFont="1"/>
    <xf borderId="19" fillId="0" fontId="7" numFmtId="0" xfId="0" applyAlignment="1" applyBorder="1" applyFont="1">
      <alignment horizontal="center"/>
    </xf>
    <xf borderId="83" fillId="19" fontId="7" numFmtId="0" xfId="0" applyAlignment="1" applyBorder="1" applyFont="1">
      <alignment horizontal="center" readingOrder="0" vertical="center"/>
    </xf>
    <xf borderId="83" fillId="0" fontId="7" numFmtId="0" xfId="0" applyAlignment="1" applyBorder="1" applyFont="1">
      <alignment horizontal="right" readingOrder="0"/>
    </xf>
    <xf borderId="0" fillId="0" fontId="7" numFmtId="0" xfId="0" applyAlignment="1" applyFont="1">
      <alignment horizontal="center"/>
    </xf>
    <xf borderId="83" fillId="19" fontId="16" numFmtId="0" xfId="0" applyAlignment="1" applyBorder="1" applyFont="1">
      <alignment horizontal="center" readingOrder="0" shrinkToFit="0" vertical="center" wrapText="1"/>
    </xf>
    <xf borderId="84" fillId="0" fontId="7" numFmtId="167" xfId="0" applyAlignment="1" applyBorder="1" applyFont="1" applyNumberFormat="1">
      <alignment readingOrder="0" vertical="center"/>
    </xf>
    <xf borderId="26" fillId="16" fontId="7" numFmtId="0" xfId="0" applyAlignment="1" applyBorder="1" applyFont="1">
      <alignment readingOrder="0"/>
    </xf>
    <xf borderId="18" fillId="16" fontId="7" numFmtId="0" xfId="0" applyAlignment="1" applyBorder="1" applyFont="1">
      <alignment readingOrder="0"/>
    </xf>
    <xf borderId="49" fillId="0" fontId="7" numFmtId="0" xfId="0" applyAlignment="1" applyBorder="1" applyFont="1">
      <alignment readingOrder="0"/>
    </xf>
    <xf borderId="49" fillId="0" fontId="7" numFmtId="0" xfId="0" applyAlignment="1" applyBorder="1" applyFont="1">
      <alignment horizontal="left" readingOrder="0"/>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EFEFEF"/>
          <bgColor rgb="FFEFEFEF"/>
        </patternFill>
      </fill>
      <border/>
    </dxf>
  </dxfs>
  <tableStyles count="2">
    <tableStyle count="2" pivot="0" name="박원우 님-style">
      <tableStyleElement dxfId="1" type="firstRowStripe"/>
      <tableStyleElement dxfId="2" type="secondRowStripe"/>
    </tableStyle>
    <tableStyle count="2" pivot="0" name="Monster tabl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레벨, 도달 스테이지, 광고 시청 누적수_평균</a:t>
            </a:r>
          </a:p>
        </c:rich>
      </c:tx>
      <c:overlay val="0"/>
    </c:title>
    <c:plotArea>
      <c:layout/>
      <c:barChart>
        <c:barDir val="col"/>
        <c:ser>
          <c:idx val="0"/>
          <c:order val="0"/>
          <c:tx>
            <c:strRef>
              <c:f>'평균결론'!$C$2</c:f>
            </c:strRef>
          </c:tx>
          <c:spPr>
            <a:solidFill>
              <a:schemeClr val="accent1"/>
            </a:solidFill>
            <a:ln cmpd="sng">
              <a:solidFill>
                <a:srgbClr val="000000"/>
              </a:solidFill>
            </a:ln>
          </c:spPr>
          <c:cat>
            <c:strRef>
              <c:f>'평균결론'!$B$3:$B$7</c:f>
            </c:strRef>
          </c:cat>
          <c:val>
            <c:numRef>
              <c:f>'평균결론'!$C$3:$C$7</c:f>
              <c:numCache/>
            </c:numRef>
          </c:val>
        </c:ser>
        <c:ser>
          <c:idx val="1"/>
          <c:order val="1"/>
          <c:tx>
            <c:strRef>
              <c:f>'평균결론'!$D$2</c:f>
            </c:strRef>
          </c:tx>
          <c:spPr>
            <a:solidFill>
              <a:schemeClr val="accent2"/>
            </a:solidFill>
            <a:ln cmpd="sng">
              <a:solidFill>
                <a:srgbClr val="000000"/>
              </a:solidFill>
            </a:ln>
          </c:spPr>
          <c:cat>
            <c:strRef>
              <c:f>'평균결론'!$B$3:$B$7</c:f>
            </c:strRef>
          </c:cat>
          <c:val>
            <c:numRef>
              <c:f>'평균결론'!$D$3:$D$7</c:f>
              <c:numCache/>
            </c:numRef>
          </c:val>
        </c:ser>
        <c:ser>
          <c:idx val="2"/>
          <c:order val="2"/>
          <c:tx>
            <c:strRef>
              <c:f>'평균결론'!$E$2</c:f>
            </c:strRef>
          </c:tx>
          <c:spPr>
            <a:solidFill>
              <a:schemeClr val="accent3"/>
            </a:solidFill>
            <a:ln cmpd="sng">
              <a:solidFill>
                <a:srgbClr val="000000"/>
              </a:solidFill>
            </a:ln>
          </c:spPr>
          <c:cat>
            <c:strRef>
              <c:f>'평균결론'!$B$3:$B$7</c:f>
            </c:strRef>
          </c:cat>
          <c:val>
            <c:numRef>
              <c:f>'평균결론'!$E$3:$E$7</c:f>
              <c:numCache/>
            </c:numRef>
          </c:val>
        </c:ser>
        <c:axId val="1921936943"/>
        <c:axId val="979378351"/>
      </c:barChart>
      <c:catAx>
        <c:axId val="19219369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플레이 타임</a:t>
                </a:r>
              </a:p>
            </c:rich>
          </c:tx>
          <c:overlay val="0"/>
        </c:title>
        <c:numFmt formatCode="General" sourceLinked="1"/>
        <c:majorTickMark val="none"/>
        <c:minorTickMark val="none"/>
        <c:spPr/>
        <c:txPr>
          <a:bodyPr/>
          <a:lstStyle/>
          <a:p>
            <a:pPr lvl="0">
              <a:defRPr b="0">
                <a:solidFill>
                  <a:srgbClr val="000000"/>
                </a:solidFill>
                <a:latin typeface="+mn-lt"/>
              </a:defRPr>
            </a:pPr>
          </a:p>
        </c:txPr>
        <c:crossAx val="979378351"/>
      </c:catAx>
      <c:valAx>
        <c:axId val="979378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193694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개별 진행도</a:t>
            </a:r>
          </a:p>
        </c:rich>
      </c:tx>
      <c:overlay val="0"/>
    </c:title>
    <c:plotArea>
      <c:layout/>
      <c:lineChart>
        <c:ser>
          <c:idx val="0"/>
          <c:order val="0"/>
          <c:tx>
            <c:strRef>
              <c:f>'합본'!$F$5</c:f>
            </c:strRef>
          </c:tx>
          <c:spPr>
            <a:ln cmpd="sng" w="19050">
              <a:solidFill>
                <a:srgbClr val="6D9EEB">
                  <a:alpha val="100000"/>
                </a:srgbClr>
              </a:solidFill>
            </a:ln>
          </c:spPr>
          <c:marker>
            <c:symbol val="circle"/>
            <c:size val="7"/>
            <c:spPr>
              <a:solidFill>
                <a:srgbClr val="6D9EEB">
                  <a:alpha val="100000"/>
                </a:srgbClr>
              </a:solidFill>
              <a:ln cmpd="sng">
                <a:solidFill>
                  <a:srgbClr val="6D9EEB">
                    <a:alpha val="100000"/>
                  </a:srgbClr>
                </a:solidFill>
              </a:ln>
            </c:spPr>
          </c:marker>
          <c:cat>
            <c:strRef>
              <c:f>'합본'!$B$6:$B$10</c:f>
            </c:strRef>
          </c:cat>
          <c:val>
            <c:numRef>
              <c:f>'합본'!$F$6:$F$10</c:f>
              <c:numCache/>
            </c:numRef>
          </c:val>
          <c:smooth val="0"/>
        </c:ser>
        <c:ser>
          <c:idx val="1"/>
          <c:order val="1"/>
          <c:tx>
            <c:strRef>
              <c:f>'합본'!$F$25</c:f>
            </c:strRef>
          </c:tx>
          <c:spPr>
            <a:ln cmpd="sng" w="19050">
              <a:solidFill>
                <a:srgbClr val="FFE599">
                  <a:alpha val="100000"/>
                </a:srgbClr>
              </a:solidFill>
            </a:ln>
          </c:spPr>
          <c:marker>
            <c:symbol val="circle"/>
            <c:size val="7"/>
            <c:spPr>
              <a:solidFill>
                <a:srgbClr val="FFE599">
                  <a:alpha val="100000"/>
                </a:srgbClr>
              </a:solidFill>
              <a:ln cmpd="sng">
                <a:solidFill>
                  <a:srgbClr val="FFE599">
                    <a:alpha val="100000"/>
                  </a:srgbClr>
                </a:solidFill>
              </a:ln>
            </c:spPr>
          </c:marker>
          <c:dPt>
            <c:idx val="3"/>
            <c:marker>
              <c:symbol val="none"/>
            </c:marker>
          </c:dPt>
          <c:cat>
            <c:strRef>
              <c:f>'합본'!$B$6:$B$10</c:f>
            </c:strRef>
          </c:cat>
          <c:val>
            <c:numRef>
              <c:f>'합본'!$F$26:$F$30</c:f>
              <c:numCache/>
            </c:numRef>
          </c:val>
          <c:smooth val="0"/>
        </c:ser>
        <c:ser>
          <c:idx val="2"/>
          <c:order val="2"/>
          <c:tx>
            <c:strRef>
              <c:f>'합본'!$F$35</c:f>
            </c:strRef>
          </c:tx>
          <c:spPr>
            <a:ln cmpd="sng" w="19050">
              <a:solidFill>
                <a:srgbClr val="FBBC04"/>
              </a:solidFill>
            </a:ln>
          </c:spPr>
          <c:marker>
            <c:symbol val="circle"/>
            <c:size val="7"/>
            <c:spPr>
              <a:solidFill>
                <a:srgbClr val="FBBC04"/>
              </a:solidFill>
              <a:ln cmpd="sng">
                <a:solidFill>
                  <a:srgbClr val="FBBC04"/>
                </a:solidFill>
              </a:ln>
            </c:spPr>
          </c:marker>
          <c:cat>
            <c:strRef>
              <c:f>'합본'!$B$6:$B$10</c:f>
            </c:strRef>
          </c:cat>
          <c:val>
            <c:numRef>
              <c:f>'합본'!$F$36:$F$40</c:f>
              <c:numCache/>
            </c:numRef>
          </c:val>
          <c:smooth val="0"/>
        </c:ser>
        <c:ser>
          <c:idx val="3"/>
          <c:order val="3"/>
          <c:tx>
            <c:strRef>
              <c:f>'합본'!$F$45</c:f>
            </c:strRef>
          </c:tx>
          <c:spPr>
            <a:ln cmpd="sng" w="19050">
              <a:solidFill>
                <a:srgbClr val="3C78D8">
                  <a:alpha val="100000"/>
                </a:srgbClr>
              </a:solidFill>
            </a:ln>
          </c:spPr>
          <c:marker>
            <c:symbol val="circle"/>
            <c:size val="7"/>
            <c:spPr>
              <a:solidFill>
                <a:srgbClr val="3C78D8">
                  <a:alpha val="100000"/>
                </a:srgbClr>
              </a:solidFill>
              <a:ln cmpd="sng">
                <a:solidFill>
                  <a:srgbClr val="3C78D8">
                    <a:alpha val="100000"/>
                  </a:srgbClr>
                </a:solidFill>
              </a:ln>
            </c:spPr>
          </c:marker>
          <c:dPt>
            <c:idx val="4"/>
            <c:marker>
              <c:symbol val="none"/>
            </c:marker>
          </c:dPt>
          <c:dLbls>
            <c:numFmt formatCode="General" sourceLinked="1"/>
            <c:txPr>
              <a:bodyPr/>
              <a:lstStyle/>
              <a:p>
                <a:pPr lvl="0">
                  <a:defRPr/>
                </a:pPr>
              </a:p>
            </c:txPr>
            <c:showLegendKey val="0"/>
            <c:showVal val="1"/>
            <c:showCatName val="0"/>
            <c:showSerName val="0"/>
            <c:showPercent val="0"/>
            <c:showBubbleSize val="0"/>
          </c:dLbls>
          <c:cat>
            <c:strRef>
              <c:f>'합본'!$B$6:$B$10</c:f>
            </c:strRef>
          </c:cat>
          <c:val>
            <c:numRef>
              <c:f>'합본'!$F$46:$F$50</c:f>
              <c:numCache/>
            </c:numRef>
          </c:val>
          <c:smooth val="0"/>
        </c:ser>
        <c:ser>
          <c:idx val="4"/>
          <c:order val="4"/>
          <c:tx>
            <c:strRef>
              <c:f>'합본'!$F$55</c:f>
            </c:strRef>
          </c:tx>
          <c:spPr>
            <a:ln cmpd="sng" w="19050">
              <a:solidFill>
                <a:schemeClr val="accent5"/>
              </a:solidFill>
            </a:ln>
          </c:spPr>
          <c:marker>
            <c:symbol val="circle"/>
            <c:size val="7"/>
            <c:spPr>
              <a:solidFill>
                <a:schemeClr val="accent5"/>
              </a:solidFill>
              <a:ln cmpd="sng">
                <a:solidFill>
                  <a:schemeClr val="accent5"/>
                </a:solidFill>
              </a:ln>
            </c:spPr>
          </c:marker>
          <c:dLbls>
            <c:numFmt formatCode="General" sourceLinked="1"/>
            <c:txPr>
              <a:bodyPr/>
              <a:lstStyle/>
              <a:p>
                <a:pPr lvl="0">
                  <a:defRPr/>
                </a:pPr>
              </a:p>
            </c:txPr>
            <c:showLegendKey val="0"/>
            <c:showVal val="1"/>
            <c:showCatName val="0"/>
            <c:showSerName val="0"/>
            <c:showPercent val="0"/>
            <c:showBubbleSize val="0"/>
          </c:dLbls>
          <c:cat>
            <c:strRef>
              <c:f>'합본'!$B$6:$B$10</c:f>
            </c:strRef>
          </c:cat>
          <c:val>
            <c:numRef>
              <c:f>'합본'!$F$56:$F$60</c:f>
              <c:numCache/>
            </c:numRef>
          </c:val>
          <c:smooth val="0"/>
        </c:ser>
        <c:ser>
          <c:idx val="5"/>
          <c:order val="5"/>
          <c:tx>
            <c:strRef>
              <c:f>'합본'!$F$15</c:f>
            </c:strRef>
          </c:tx>
          <c:spPr>
            <a:ln cmpd="sng" w="19050">
              <a:solidFill>
                <a:srgbClr val="0000FF">
                  <a:alpha val="100000"/>
                </a:srgbClr>
              </a:solidFill>
            </a:ln>
          </c:spPr>
          <c:marker>
            <c:symbol val="circle"/>
            <c:size val="7"/>
            <c:spPr>
              <a:solidFill>
                <a:srgbClr val="0000FF">
                  <a:alpha val="100000"/>
                </a:srgbClr>
              </a:solidFill>
              <a:ln cmpd="sng">
                <a:solidFill>
                  <a:srgbClr val="0000FF">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'합본'!$B$6:$B$10</c:f>
            </c:strRef>
          </c:cat>
          <c:val>
            <c:numRef>
              <c:f>'합본'!$F$16:$F$20</c:f>
              <c:numCache/>
            </c:numRef>
          </c:val>
          <c:smooth val="0"/>
        </c:ser>
        <c:ser>
          <c:idx val="6"/>
          <c:order val="6"/>
          <c:tx>
            <c:v>평균값</c:v>
          </c:tx>
          <c:spPr>
            <a:ln cmpd="sng" w="9525">
              <a:solidFill>
                <a:srgbClr val="CFE2F3">
                  <a:alpha val="100000"/>
                </a:srgbClr>
              </a:solidFill>
              <a:prstDash val="lgDash"/>
            </a:ln>
          </c:spPr>
          <c:marker>
            <c:symbol val="circle"/>
            <c:size val="2"/>
            <c:spPr>
              <a:solidFill>
                <a:srgbClr val="CFE2F3">
                  <a:alpha val="100000"/>
                </a:srgbClr>
              </a:solidFill>
              <a:ln cmpd="sng">
                <a:solidFill>
                  <a:srgbClr val="CFE2F3">
                    <a:alpha val="100000"/>
                  </a:srgbClr>
                </a:solidFill>
              </a:ln>
            </c:spPr>
          </c:marker>
          <c:dLbls>
            <c:numFmt formatCode="General" sourceLinked="1"/>
            <c:txPr>
              <a:bodyPr/>
              <a:lstStyle/>
              <a:p>
                <a:pPr lvl="0">
                  <a:defRPr b="1">
                    <a:solidFill>
                      <a:srgbClr val="3D85C6"/>
                    </a:solidFill>
                  </a:defRPr>
                </a:pPr>
              </a:p>
            </c:txPr>
            <c:showLegendKey val="0"/>
            <c:showVal val="1"/>
            <c:showCatName val="0"/>
            <c:showSerName val="0"/>
            <c:showPercent val="0"/>
            <c:showBubbleSize val="0"/>
          </c:dLbls>
          <c:cat>
            <c:strRef>
              <c:f>'합본'!$B$6:$B$10</c:f>
            </c:strRef>
          </c:cat>
          <c:val>
            <c:numRef>
              <c:f>'평균결론'!$G$3:$G$7</c:f>
              <c:numCache/>
            </c:numRef>
          </c:val>
          <c:smooth val="0"/>
        </c:ser>
        <c:axId val="1800380651"/>
        <c:axId val="1603937931"/>
      </c:lineChart>
      <c:catAx>
        <c:axId val="1800380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03937931"/>
      </c:catAx>
      <c:valAx>
        <c:axId val="1603937931"/>
        <c:scaling>
          <c:orientation val="minMax"/>
          <c:max val="8.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solidFill/>
          </a:ln>
        </c:spPr>
        <c:txPr>
          <a:bodyPr/>
          <a:lstStyle/>
          <a:p>
            <a:pPr lvl="0">
              <a:defRPr b="0">
                <a:solidFill>
                  <a:srgbClr val="000000"/>
                </a:solidFill>
                <a:latin typeface="+mn-lt"/>
              </a:defRPr>
            </a:pPr>
          </a:p>
        </c:txPr>
        <c:crossAx val="1800380651"/>
      </c:valAx>
    </c:plotArea>
    <c:legend>
      <c:legendPos val="b"/>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190750" cy="2190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200025" cy="180975"/>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15</xdr:row>
      <xdr:rowOff>123825</xdr:rowOff>
    </xdr:from>
    <xdr:ext cx="4476750" cy="3352800"/>
    <xdr:graphicFrame>
      <xdr:nvGraphicFramePr>
        <xdr:cNvPr id="1" name="Chart 1" title="차트"/>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114300</xdr:colOff>
      <xdr:row>24</xdr:row>
      <xdr:rowOff>133350</xdr:rowOff>
    </xdr:from>
    <xdr:ext cx="8734425" cy="3533775"/>
    <xdr:graphicFrame>
      <xdr:nvGraphicFramePr>
        <xdr:cNvPr id="2" name="Chart 2"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9:L30"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박원우 님-style" showColumnStripes="0" showFirstColumn="1" showLastColumn="1" showRowStripes="1"/>
</table>
</file>

<file path=xl/tables/table2.xml><?xml version="1.0" encoding="utf-8"?>
<table xmlns="http://schemas.openxmlformats.org/spreadsheetml/2006/main" headerRowCount="0" ref="B1:L20" displayName="Table_2" name="Table_2"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onster tab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gemguide.com/mobile_list.ht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BWbDnYRmNzk?si=mTDyEoPmjZmprBec"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BWbDnYRmNzk?si=mTDyEoPmjZmprBec"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4" max="4" width="33.38"/>
    <col customWidth="1" min="8" max="8" width="16.63"/>
    <col customWidth="1" min="10" max="10" width="20.13"/>
    <col customWidth="1" min="11" max="11" width="18.13"/>
    <col customWidth="1" min="12" max="12" width="19.38"/>
    <col customWidth="1" min="13" max="13" width="24.63"/>
    <col customWidth="1" min="14" max="14" width="21.75"/>
    <col customWidth="1" min="15" max="15" width="19.63"/>
    <col customWidth="1" min="16" max="16" width="18.75"/>
  </cols>
  <sheetData>
    <row r="1">
      <c r="B1" s="1"/>
      <c r="C1" s="1"/>
      <c r="D1" s="1"/>
      <c r="E1" s="1"/>
      <c r="F1" s="1"/>
      <c r="G1" s="1"/>
      <c r="H1" s="1"/>
    </row>
    <row r="2">
      <c r="B2" s="1"/>
      <c r="C2" s="1"/>
      <c r="D2" s="2" t="s">
        <v>0</v>
      </c>
      <c r="E2" s="1"/>
      <c r="F2" s="1"/>
      <c r="G2" s="1"/>
      <c r="H2" s="1"/>
    </row>
    <row r="3">
      <c r="B3" s="1"/>
      <c r="C3" s="3"/>
      <c r="D3" s="4" t="s">
        <v>1</v>
      </c>
      <c r="E3" s="4" t="s">
        <v>2</v>
      </c>
      <c r="F3" s="5" t="s">
        <v>3</v>
      </c>
      <c r="G3" s="6" t="s">
        <v>4</v>
      </c>
      <c r="H3" s="6" t="s">
        <v>5</v>
      </c>
      <c r="I3" s="6" t="s">
        <v>6</v>
      </c>
      <c r="J3" s="6" t="s">
        <v>7</v>
      </c>
      <c r="K3" s="6" t="s">
        <v>8</v>
      </c>
      <c r="L3" s="6" t="s">
        <v>9</v>
      </c>
      <c r="M3" s="6" t="s">
        <v>10</v>
      </c>
      <c r="N3" s="5" t="s">
        <v>11</v>
      </c>
      <c r="O3" s="5" t="s">
        <v>12</v>
      </c>
      <c r="P3" s="4" t="s">
        <v>13</v>
      </c>
    </row>
    <row r="4">
      <c r="B4" s="7"/>
      <c r="C4" s="8" t="s">
        <v>14</v>
      </c>
      <c r="D4" s="9" t="s">
        <v>15</v>
      </c>
      <c r="E4" s="10" t="s">
        <v>16</v>
      </c>
      <c r="F4" s="11" t="s">
        <v>17</v>
      </c>
      <c r="G4" s="12" t="s">
        <v>18</v>
      </c>
      <c r="H4" s="11" t="s">
        <v>19</v>
      </c>
      <c r="I4" s="11" t="s">
        <v>20</v>
      </c>
      <c r="J4" s="13"/>
      <c r="K4" s="13"/>
      <c r="L4" s="13"/>
      <c r="M4" s="13"/>
      <c r="N4" s="11" t="s">
        <v>21</v>
      </c>
      <c r="O4" s="11" t="s">
        <v>22</v>
      </c>
      <c r="P4" s="13"/>
    </row>
    <row r="5">
      <c r="B5" s="7"/>
      <c r="D5" s="14"/>
      <c r="F5" s="13"/>
      <c r="G5" s="13"/>
      <c r="H5" s="13"/>
      <c r="I5" s="13"/>
      <c r="J5" s="13"/>
      <c r="K5" s="13"/>
      <c r="L5" s="13"/>
      <c r="M5" s="13"/>
      <c r="N5" s="13"/>
      <c r="O5" s="13"/>
      <c r="P5" s="13"/>
    </row>
    <row r="6">
      <c r="B6" s="7"/>
      <c r="C6" s="15" t="s">
        <v>23</v>
      </c>
      <c r="D6" s="14"/>
      <c r="F6" s="11" t="s">
        <v>24</v>
      </c>
      <c r="G6" s="11" t="s">
        <v>25</v>
      </c>
      <c r="H6" s="13"/>
      <c r="I6" s="11" t="s">
        <v>26</v>
      </c>
      <c r="J6" s="13"/>
      <c r="K6" s="13"/>
      <c r="L6" s="13"/>
      <c r="M6" s="13"/>
      <c r="N6" s="13"/>
      <c r="O6" s="13"/>
      <c r="P6" s="13"/>
    </row>
    <row r="7">
      <c r="B7" s="7"/>
      <c r="D7" s="14"/>
      <c r="F7" s="13"/>
      <c r="G7" s="13"/>
      <c r="H7" s="13"/>
      <c r="I7" s="13"/>
      <c r="J7" s="13"/>
      <c r="K7" s="13"/>
      <c r="L7" s="13"/>
      <c r="M7" s="13"/>
      <c r="N7" s="13"/>
      <c r="O7" s="13"/>
      <c r="P7" s="13"/>
    </row>
    <row r="8">
      <c r="B8" s="7"/>
      <c r="C8" s="16" t="s">
        <v>27</v>
      </c>
      <c r="D8" s="14"/>
      <c r="F8" s="13"/>
      <c r="G8" s="13"/>
      <c r="H8" s="13"/>
      <c r="I8" s="13"/>
      <c r="J8" s="13"/>
      <c r="K8" s="13"/>
      <c r="L8" s="13"/>
      <c r="M8" s="13"/>
      <c r="N8" s="13"/>
      <c r="O8" s="13"/>
      <c r="P8" s="13"/>
    </row>
    <row r="9">
      <c r="B9" s="7"/>
      <c r="D9" s="14"/>
      <c r="F9" s="13"/>
      <c r="G9" s="13"/>
      <c r="H9" s="13"/>
      <c r="I9" s="13"/>
      <c r="J9" s="13"/>
      <c r="K9" s="13"/>
      <c r="L9" s="13"/>
      <c r="M9" s="13"/>
      <c r="N9" s="13"/>
      <c r="O9" s="13"/>
      <c r="P9" s="13"/>
    </row>
    <row r="10">
      <c r="B10" s="7"/>
      <c r="C10" s="17" t="s">
        <v>28</v>
      </c>
      <c r="D10" s="7" t="s">
        <v>29</v>
      </c>
      <c r="F10" s="11" t="s">
        <v>30</v>
      </c>
      <c r="G10" s="11" t="s">
        <v>31</v>
      </c>
      <c r="H10" s="11" t="s">
        <v>32</v>
      </c>
      <c r="I10" s="11" t="s">
        <v>20</v>
      </c>
      <c r="J10" s="13"/>
      <c r="K10" s="13"/>
      <c r="L10" s="13"/>
      <c r="M10" s="13"/>
      <c r="N10" s="13"/>
      <c r="O10" s="13"/>
      <c r="P10" s="13"/>
    </row>
    <row r="11">
      <c r="B11" s="7"/>
      <c r="D11" s="7" t="s">
        <v>33</v>
      </c>
      <c r="F11" s="18"/>
      <c r="G11" s="18"/>
      <c r="H11" s="18"/>
      <c r="I11" s="18"/>
      <c r="J11" s="18"/>
      <c r="K11" s="18"/>
      <c r="L11" s="18"/>
      <c r="M11" s="18"/>
      <c r="N11" s="18"/>
      <c r="O11" s="18"/>
      <c r="P11" s="18"/>
    </row>
    <row r="12">
      <c r="B12" s="7"/>
      <c r="C12" s="19" t="s">
        <v>34</v>
      </c>
      <c r="D12" s="7" t="s">
        <v>35</v>
      </c>
      <c r="F12" s="12" t="s">
        <v>36</v>
      </c>
      <c r="G12" s="12" t="s">
        <v>37</v>
      </c>
      <c r="H12" s="12" t="s">
        <v>38</v>
      </c>
      <c r="I12" s="12">
        <v>4.0</v>
      </c>
      <c r="J12" s="18"/>
      <c r="K12" s="18"/>
      <c r="L12" s="18"/>
      <c r="M12" s="18"/>
      <c r="N12" s="18"/>
      <c r="O12" s="18"/>
      <c r="P12" s="18"/>
    </row>
    <row r="13">
      <c r="B13" s="7"/>
      <c r="D13" s="7" t="s">
        <v>39</v>
      </c>
      <c r="F13" s="18"/>
      <c r="G13" s="18"/>
      <c r="H13" s="18"/>
      <c r="I13" s="18"/>
      <c r="J13" s="18"/>
      <c r="K13" s="18"/>
      <c r="L13" s="18"/>
      <c r="M13" s="18"/>
      <c r="N13" s="18"/>
      <c r="O13" s="18"/>
      <c r="P13" s="18"/>
    </row>
    <row r="14">
      <c r="B14" s="1"/>
      <c r="C14" s="20" t="s">
        <v>40</v>
      </c>
      <c r="D14" s="7" t="s">
        <v>41</v>
      </c>
      <c r="F14" s="18"/>
      <c r="G14" s="18"/>
      <c r="H14" s="18"/>
      <c r="I14" s="18"/>
      <c r="J14" s="18"/>
      <c r="K14" s="18"/>
      <c r="L14" s="18"/>
      <c r="M14" s="18"/>
      <c r="N14" s="18"/>
      <c r="O14" s="18"/>
      <c r="P14" s="18"/>
    </row>
    <row r="15">
      <c r="B15" s="1"/>
      <c r="D15" s="7" t="s">
        <v>42</v>
      </c>
      <c r="F15" s="18"/>
      <c r="G15" s="18"/>
      <c r="H15" s="18"/>
      <c r="I15" s="18"/>
      <c r="J15" s="18"/>
      <c r="K15" s="18"/>
      <c r="L15" s="18"/>
      <c r="M15" s="18"/>
      <c r="N15" s="18"/>
      <c r="O15" s="18"/>
      <c r="P15" s="18"/>
    </row>
    <row r="16">
      <c r="B16" s="1"/>
      <c r="C16" s="21" t="s">
        <v>43</v>
      </c>
      <c r="D16" s="1"/>
      <c r="F16" s="18"/>
      <c r="G16" s="18"/>
      <c r="H16" s="18"/>
      <c r="I16" s="18"/>
      <c r="J16" s="18"/>
      <c r="K16" s="18"/>
      <c r="L16" s="18"/>
      <c r="M16" s="18"/>
      <c r="N16" s="18"/>
      <c r="O16" s="18"/>
      <c r="P16" s="18"/>
    </row>
    <row r="17">
      <c r="B17" s="1"/>
      <c r="C17" s="1"/>
      <c r="D17" s="1"/>
      <c r="F17" s="18"/>
      <c r="G17" s="18"/>
      <c r="H17" s="18"/>
      <c r="I17" s="18"/>
      <c r="J17" s="18"/>
      <c r="K17" s="18"/>
      <c r="L17" s="18"/>
      <c r="M17" s="18"/>
      <c r="N17" s="18"/>
      <c r="O17" s="18"/>
      <c r="P17" s="18"/>
    </row>
    <row r="18">
      <c r="B18" s="1"/>
      <c r="C18" s="1"/>
      <c r="D18" s="1"/>
      <c r="E18" s="1"/>
    </row>
    <row r="19">
      <c r="B19" s="1"/>
      <c r="C19" s="1"/>
      <c r="D19" s="1"/>
      <c r="E19" s="1"/>
      <c r="F19" s="1"/>
      <c r="G19" s="1"/>
      <c r="H19" s="1"/>
    </row>
    <row r="20">
      <c r="B20" s="1"/>
      <c r="C20" s="1"/>
      <c r="D20" s="1"/>
      <c r="E20" s="1"/>
      <c r="F20" s="1"/>
      <c r="G20" s="1"/>
      <c r="H20" s="1"/>
    </row>
    <row r="21">
      <c r="B21" s="1"/>
      <c r="C21" s="1"/>
      <c r="D21" s="1"/>
      <c r="E21" s="1"/>
      <c r="F21" s="1"/>
      <c r="G21" s="1"/>
      <c r="H21" s="1"/>
    </row>
    <row r="22">
      <c r="B22" s="1"/>
      <c r="C22" s="1"/>
      <c r="E22" s="1"/>
      <c r="F22" s="1"/>
      <c r="G22" s="1"/>
      <c r="H22" s="1"/>
    </row>
  </sheetData>
  <mergeCells count="1">
    <mergeCell ref="E4:E17"/>
  </mergeCells>
  <hyperlinks>
    <hyperlink r:id="rId1" ref="D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2" max="2" width="29.0"/>
    <col customWidth="1" min="3" max="28" width="2.63"/>
  </cols>
  <sheetData>
    <row r="1">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row>
    <row r="2" ht="172.5" customHeight="1">
      <c r="A2" s="24"/>
      <c r="B2" s="25"/>
      <c r="C2" s="26"/>
      <c r="D2" s="27"/>
      <c r="E2" s="28"/>
      <c r="F2" s="28"/>
      <c r="G2" s="28"/>
      <c r="H2" s="28"/>
      <c r="I2" s="28"/>
      <c r="J2" s="28"/>
      <c r="K2" s="28"/>
      <c r="L2" s="28"/>
      <c r="M2" s="28"/>
      <c r="N2" s="28"/>
      <c r="O2" s="28"/>
      <c r="P2" s="28"/>
      <c r="Q2" s="28"/>
      <c r="R2" s="28"/>
      <c r="S2" s="28"/>
      <c r="T2" s="28"/>
      <c r="U2" s="28"/>
      <c r="V2" s="28"/>
      <c r="W2" s="28"/>
      <c r="X2" s="28"/>
      <c r="Y2" s="28"/>
      <c r="Z2" s="28"/>
      <c r="AA2" s="29"/>
      <c r="AB2" s="30"/>
    </row>
    <row r="3">
      <c r="A3" s="24"/>
      <c r="B3" s="31" t="s">
        <v>44</v>
      </c>
      <c r="C3" s="26"/>
      <c r="D3" s="32"/>
      <c r="AA3" s="33"/>
      <c r="AB3" s="30"/>
    </row>
    <row r="4">
      <c r="A4" s="24"/>
      <c r="B4" s="34" t="s">
        <v>45</v>
      </c>
      <c r="C4" s="26"/>
      <c r="D4" s="32"/>
      <c r="AA4" s="33"/>
      <c r="AB4" s="30"/>
    </row>
    <row r="5">
      <c r="A5" s="22"/>
      <c r="B5" s="23"/>
      <c r="C5" s="26"/>
      <c r="D5" s="32"/>
      <c r="AA5" s="33"/>
      <c r="AB5" s="30"/>
    </row>
    <row r="6">
      <c r="A6" s="22"/>
      <c r="B6" s="31" t="s">
        <v>46</v>
      </c>
      <c r="C6" s="26"/>
      <c r="D6" s="32"/>
      <c r="AA6" s="33"/>
      <c r="AB6" s="30"/>
    </row>
    <row r="7">
      <c r="A7" s="22"/>
      <c r="B7" s="34" t="s">
        <v>47</v>
      </c>
      <c r="C7" s="26"/>
      <c r="D7" s="32"/>
      <c r="AA7" s="33"/>
      <c r="AB7" s="30"/>
    </row>
    <row r="8">
      <c r="A8" s="22"/>
      <c r="B8" s="23"/>
      <c r="C8" s="26"/>
      <c r="D8" s="32"/>
      <c r="AA8" s="33"/>
      <c r="AB8" s="30"/>
    </row>
    <row r="9">
      <c r="A9" s="24"/>
      <c r="B9" s="31" t="s">
        <v>48</v>
      </c>
      <c r="C9" s="26"/>
      <c r="D9" s="32"/>
      <c r="AA9" s="33"/>
      <c r="AB9" s="30"/>
    </row>
    <row r="10">
      <c r="A10" s="24"/>
      <c r="B10" s="34" t="s">
        <v>49</v>
      </c>
      <c r="C10" s="26"/>
      <c r="D10" s="32"/>
      <c r="AA10" s="33"/>
      <c r="AB10" s="30"/>
    </row>
    <row r="11">
      <c r="A11" s="22"/>
      <c r="B11" s="23"/>
      <c r="C11" s="26"/>
      <c r="D11" s="32"/>
      <c r="AA11" s="33"/>
      <c r="AB11" s="30"/>
    </row>
    <row r="12">
      <c r="A12" s="24"/>
      <c r="B12" s="35" t="s">
        <v>50</v>
      </c>
      <c r="C12" s="26"/>
      <c r="D12" s="32"/>
      <c r="AA12" s="33"/>
      <c r="AB12" s="30"/>
    </row>
    <row r="13">
      <c r="A13" s="24"/>
      <c r="B13" s="36" t="s">
        <v>51</v>
      </c>
      <c r="C13" s="26"/>
      <c r="D13" s="37"/>
      <c r="E13" s="38"/>
      <c r="F13" s="38"/>
      <c r="G13" s="38"/>
      <c r="H13" s="38"/>
      <c r="I13" s="38"/>
      <c r="J13" s="38"/>
      <c r="K13" s="38"/>
      <c r="L13" s="38"/>
      <c r="M13" s="38"/>
      <c r="N13" s="38"/>
      <c r="O13" s="38"/>
      <c r="P13" s="38"/>
      <c r="Q13" s="38"/>
      <c r="R13" s="38"/>
      <c r="S13" s="38"/>
      <c r="T13" s="38"/>
      <c r="U13" s="38"/>
      <c r="V13" s="38"/>
      <c r="W13" s="38"/>
      <c r="X13" s="38"/>
      <c r="Y13" s="38"/>
      <c r="Z13" s="38"/>
      <c r="AA13" s="39"/>
      <c r="AB13" s="30"/>
    </row>
    <row r="14">
      <c r="A14" s="22"/>
      <c r="B14" s="40"/>
      <c r="C14" s="22"/>
      <c r="D14" s="40"/>
      <c r="E14" s="40"/>
      <c r="F14" s="40"/>
      <c r="G14" s="40"/>
      <c r="H14" s="40"/>
      <c r="I14" s="40"/>
      <c r="J14" s="40"/>
      <c r="K14" s="40"/>
      <c r="L14" s="40"/>
      <c r="M14" s="40"/>
      <c r="N14" s="40"/>
      <c r="O14" s="40"/>
      <c r="P14" s="40"/>
      <c r="Q14" s="40"/>
      <c r="R14" s="40"/>
      <c r="S14" s="40"/>
      <c r="T14" s="40"/>
      <c r="U14" s="40"/>
      <c r="V14" s="40"/>
      <c r="W14" s="40"/>
      <c r="X14" s="40"/>
      <c r="Y14" s="40"/>
      <c r="Z14" s="40"/>
      <c r="AA14" s="40"/>
      <c r="AB14" s="22"/>
    </row>
  </sheetData>
  <mergeCells count="1">
    <mergeCell ref="D2:AA13"/>
  </mergeCells>
  <hyperlinks>
    <hyperlink r:id="rId1" ref="B13"/>
  </hyperlinks>
  <printOptions gridLines="1" horizontalCentered="1"/>
  <pageMargins bottom="0.75" footer="0.0" header="0.0" left="0.7" right="0.7" top="0.75"/>
  <pageSetup fitToHeight="0" paperSize="9"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0.13"/>
    <col customWidth="1" min="3" max="4" width="6.38"/>
    <col customWidth="1" min="5" max="6" width="10.13"/>
    <col customWidth="1" min="7" max="7" width="43.25"/>
    <col customWidth="1" min="8" max="8" width="42.25"/>
    <col customWidth="1" min="9" max="9" width="38.13"/>
    <col customWidth="1" min="10" max="10" width="12.63"/>
    <col customWidth="1" min="11" max="11" width="33.38"/>
    <col customWidth="1" min="12" max="12" width="2.63"/>
  </cols>
  <sheetData>
    <row r="1">
      <c r="A1" s="41"/>
      <c r="B1" s="42"/>
      <c r="C1" s="42"/>
      <c r="D1" s="41"/>
      <c r="E1" s="43"/>
      <c r="F1" s="43"/>
      <c r="G1" s="44"/>
      <c r="H1" s="44"/>
      <c r="I1" s="41"/>
      <c r="J1" s="41"/>
      <c r="K1" s="41"/>
      <c r="L1" s="45"/>
    </row>
    <row r="2">
      <c r="A2" s="46"/>
      <c r="B2" s="35" t="s">
        <v>52</v>
      </c>
      <c r="C2" s="47" t="s">
        <v>53</v>
      </c>
      <c r="D2" s="48"/>
      <c r="E2" s="49"/>
      <c r="F2" s="49"/>
      <c r="G2" s="35" t="s">
        <v>54</v>
      </c>
      <c r="H2" s="35" t="s">
        <v>55</v>
      </c>
      <c r="I2" s="50"/>
      <c r="J2" s="50"/>
      <c r="K2" s="41"/>
      <c r="L2" s="45"/>
    </row>
    <row r="3">
      <c r="A3" s="46"/>
      <c r="B3" s="51" t="s">
        <v>23</v>
      </c>
      <c r="C3" s="52" t="s">
        <v>56</v>
      </c>
      <c r="D3" s="48"/>
      <c r="E3" s="49"/>
      <c r="F3" s="49"/>
      <c r="G3" s="51" t="s">
        <v>57</v>
      </c>
      <c r="H3" s="51" t="s">
        <v>58</v>
      </c>
      <c r="I3" s="50"/>
      <c r="J3" s="50"/>
      <c r="K3" s="41"/>
      <c r="L3" s="45"/>
    </row>
    <row r="4">
      <c r="A4" s="41"/>
      <c r="B4" s="53"/>
      <c r="C4" s="53"/>
      <c r="D4" s="54"/>
      <c r="E4" s="55"/>
      <c r="F4" s="49"/>
      <c r="G4" s="56"/>
      <c r="H4" s="56"/>
      <c r="I4" s="54"/>
      <c r="J4" s="54"/>
      <c r="K4" s="41"/>
      <c r="L4" s="45"/>
    </row>
    <row r="5">
      <c r="A5" s="46"/>
      <c r="B5" s="35" t="s">
        <v>11</v>
      </c>
      <c r="C5" s="35" t="s">
        <v>6</v>
      </c>
      <c r="D5" s="35" t="s">
        <v>59</v>
      </c>
      <c r="E5" s="35" t="s">
        <v>60</v>
      </c>
      <c r="F5" s="57" t="s">
        <v>61</v>
      </c>
      <c r="G5" s="58" t="s">
        <v>8</v>
      </c>
      <c r="H5" s="59" t="s">
        <v>9</v>
      </c>
      <c r="I5" s="58" t="s">
        <v>10</v>
      </c>
      <c r="J5" s="35" t="s">
        <v>62</v>
      </c>
      <c r="K5" s="41"/>
      <c r="L5" s="45"/>
    </row>
    <row r="6">
      <c r="A6" s="46"/>
      <c r="B6" s="51" t="s">
        <v>63</v>
      </c>
      <c r="C6" s="51">
        <v>2.0</v>
      </c>
      <c r="D6" s="51">
        <v>3.0</v>
      </c>
      <c r="E6" s="51">
        <v>1.0</v>
      </c>
      <c r="F6" s="51">
        <f t="shared" ref="F6:F10" si="1">D6 + (E6 * 0.1)</f>
        <v>3.1</v>
      </c>
      <c r="G6" s="60" t="s">
        <v>64</v>
      </c>
      <c r="H6" s="60" t="s">
        <v>65</v>
      </c>
      <c r="I6" s="51" t="s">
        <v>66</v>
      </c>
      <c r="J6" s="51">
        <v>1.0</v>
      </c>
      <c r="K6" s="41"/>
      <c r="L6" s="45"/>
    </row>
    <row r="7">
      <c r="A7" s="46"/>
      <c r="B7" s="51" t="s">
        <v>67</v>
      </c>
      <c r="C7" s="51">
        <v>3.0</v>
      </c>
      <c r="D7" s="51">
        <v>4.0</v>
      </c>
      <c r="E7" s="51">
        <v>7.0</v>
      </c>
      <c r="F7" s="51">
        <f t="shared" si="1"/>
        <v>4.7</v>
      </c>
      <c r="G7" s="60" t="s">
        <v>68</v>
      </c>
      <c r="H7" s="60" t="s">
        <v>69</v>
      </c>
      <c r="I7" s="51" t="s">
        <v>70</v>
      </c>
      <c r="J7" s="51">
        <v>1.0</v>
      </c>
      <c r="K7" s="41"/>
      <c r="L7" s="45"/>
    </row>
    <row r="8">
      <c r="A8" s="46"/>
      <c r="B8" s="51" t="s">
        <v>71</v>
      </c>
      <c r="C8" s="51">
        <v>3.0</v>
      </c>
      <c r="D8" s="51">
        <v>5.0</v>
      </c>
      <c r="E8" s="51">
        <v>7.0</v>
      </c>
      <c r="F8" s="51">
        <f t="shared" si="1"/>
        <v>5.7</v>
      </c>
      <c r="G8" s="60" t="s">
        <v>72</v>
      </c>
      <c r="H8" s="60" t="s">
        <v>69</v>
      </c>
      <c r="I8" s="51" t="s">
        <v>73</v>
      </c>
      <c r="J8" s="51">
        <v>1.0</v>
      </c>
      <c r="K8" s="41"/>
      <c r="L8" s="45"/>
    </row>
    <row r="9">
      <c r="A9" s="46"/>
      <c r="B9" s="51" t="s">
        <v>74</v>
      </c>
      <c r="C9" s="51">
        <v>3.0</v>
      </c>
      <c r="D9" s="51">
        <v>6.0</v>
      </c>
      <c r="E9" s="51">
        <v>10.0</v>
      </c>
      <c r="F9" s="51">
        <f t="shared" si="1"/>
        <v>7</v>
      </c>
      <c r="G9" s="60" t="s">
        <v>75</v>
      </c>
      <c r="H9" s="60" t="s">
        <v>76</v>
      </c>
      <c r="I9" s="51" t="s">
        <v>77</v>
      </c>
      <c r="J9" s="51">
        <v>1.0</v>
      </c>
      <c r="K9" s="41"/>
      <c r="L9" s="45"/>
    </row>
    <row r="10">
      <c r="A10" s="46"/>
      <c r="B10" s="61" t="s">
        <v>78</v>
      </c>
      <c r="C10" s="61">
        <v>4.0</v>
      </c>
      <c r="D10" s="61">
        <v>7.0</v>
      </c>
      <c r="E10" s="61">
        <v>11.0</v>
      </c>
      <c r="F10" s="61">
        <f t="shared" si="1"/>
        <v>8.1</v>
      </c>
      <c r="G10" s="62" t="s">
        <v>79</v>
      </c>
      <c r="H10" s="62" t="s">
        <v>80</v>
      </c>
      <c r="I10" s="61" t="s">
        <v>77</v>
      </c>
      <c r="J10" s="61">
        <v>1.0</v>
      </c>
      <c r="K10" s="41"/>
      <c r="L10" s="45"/>
    </row>
    <row r="11">
      <c r="A11" s="41"/>
      <c r="B11" s="42"/>
      <c r="C11" s="42"/>
      <c r="D11" s="42"/>
      <c r="E11" s="63"/>
      <c r="F11" s="63"/>
      <c r="G11" s="44"/>
      <c r="H11" s="44"/>
      <c r="I11" s="44"/>
      <c r="J11" s="41"/>
      <c r="K11" s="41"/>
      <c r="L11" s="45"/>
    </row>
    <row r="12">
      <c r="A12" s="46"/>
      <c r="B12" s="35" t="s">
        <v>52</v>
      </c>
      <c r="C12" s="47" t="s">
        <v>53</v>
      </c>
      <c r="D12" s="48"/>
      <c r="E12" s="35" t="s">
        <v>50</v>
      </c>
      <c r="F12" s="64"/>
      <c r="G12" s="64"/>
      <c r="H12" s="65"/>
      <c r="I12" s="65"/>
      <c r="J12" s="50"/>
      <c r="K12" s="41"/>
      <c r="L12" s="45"/>
    </row>
    <row r="13">
      <c r="A13" s="46"/>
      <c r="B13" s="51" t="s">
        <v>40</v>
      </c>
      <c r="C13" s="52" t="s">
        <v>81</v>
      </c>
      <c r="D13" s="48"/>
      <c r="E13" s="36" t="s">
        <v>51</v>
      </c>
      <c r="F13" s="64"/>
      <c r="G13" s="64"/>
      <c r="H13" s="65" t="s">
        <v>82</v>
      </c>
      <c r="I13" s="65"/>
      <c r="J13" s="50"/>
      <c r="K13" s="41"/>
      <c r="L13" s="45"/>
    </row>
    <row r="14">
      <c r="A14" s="41"/>
      <c r="B14" s="53"/>
      <c r="C14" s="53"/>
      <c r="D14" s="53"/>
      <c r="E14" s="66"/>
      <c r="F14" s="66"/>
      <c r="G14" s="56"/>
      <c r="H14" s="56"/>
      <c r="I14" s="56"/>
      <c r="J14" s="54"/>
      <c r="K14" s="41"/>
      <c r="L14" s="45"/>
    </row>
    <row r="15">
      <c r="A15" s="46"/>
      <c r="B15" s="35" t="s">
        <v>11</v>
      </c>
      <c r="C15" s="35" t="s">
        <v>6</v>
      </c>
      <c r="D15" s="35" t="s">
        <v>59</v>
      </c>
      <c r="E15" s="67" t="s">
        <v>60</v>
      </c>
      <c r="F15" s="57" t="s">
        <v>83</v>
      </c>
      <c r="G15" s="59" t="s">
        <v>8</v>
      </c>
      <c r="H15" s="59" t="s">
        <v>9</v>
      </c>
      <c r="I15" s="59" t="s">
        <v>10</v>
      </c>
      <c r="J15" s="35" t="s">
        <v>62</v>
      </c>
      <c r="K15" s="41"/>
      <c r="L15" s="45"/>
    </row>
    <row r="16">
      <c r="A16" s="46"/>
      <c r="B16" s="51" t="s">
        <v>63</v>
      </c>
      <c r="C16" s="51">
        <v>1.0</v>
      </c>
      <c r="D16" s="51">
        <v>2.0</v>
      </c>
      <c r="E16" s="68" t="s">
        <v>84</v>
      </c>
      <c r="F16" s="68">
        <f t="shared" ref="F16:F20" si="2">D16 + (E16 * 0.1)</f>
        <v>2.2</v>
      </c>
      <c r="G16" s="60" t="s">
        <v>85</v>
      </c>
      <c r="H16" s="60" t="s">
        <v>86</v>
      </c>
      <c r="I16" s="60" t="s">
        <v>87</v>
      </c>
      <c r="J16" s="69">
        <f>1+1</f>
        <v>2</v>
      </c>
      <c r="K16" s="41"/>
      <c r="L16" s="45"/>
    </row>
    <row r="17">
      <c r="A17" s="46"/>
      <c r="B17" s="51" t="s">
        <v>67</v>
      </c>
      <c r="C17" s="51">
        <v>2.0</v>
      </c>
      <c r="D17" s="51">
        <v>3.0</v>
      </c>
      <c r="E17" s="68" t="s">
        <v>88</v>
      </c>
      <c r="F17" s="68">
        <f t="shared" si="2"/>
        <v>3.3</v>
      </c>
      <c r="G17" s="60" t="s">
        <v>85</v>
      </c>
      <c r="H17" s="60" t="s">
        <v>89</v>
      </c>
      <c r="I17" s="60" t="s">
        <v>90</v>
      </c>
      <c r="J17" s="51">
        <v>4.0</v>
      </c>
      <c r="K17" s="41"/>
      <c r="L17" s="45"/>
    </row>
    <row r="18">
      <c r="A18" s="46"/>
      <c r="B18" s="51" t="s">
        <v>71</v>
      </c>
      <c r="C18" s="51">
        <v>2.0</v>
      </c>
      <c r="D18" s="51">
        <v>4.0</v>
      </c>
      <c r="E18" s="68" t="s">
        <v>91</v>
      </c>
      <c r="F18" s="68">
        <f t="shared" si="2"/>
        <v>4.4</v>
      </c>
      <c r="G18" s="60" t="s">
        <v>92</v>
      </c>
      <c r="H18" s="60" t="s">
        <v>93</v>
      </c>
      <c r="I18" s="60" t="s">
        <v>94</v>
      </c>
      <c r="J18" s="51">
        <v>6.0</v>
      </c>
      <c r="K18" s="41"/>
      <c r="L18" s="45"/>
    </row>
    <row r="19">
      <c r="A19" s="46"/>
      <c r="B19" s="51" t="s">
        <v>74</v>
      </c>
      <c r="C19" s="51">
        <v>2.0</v>
      </c>
      <c r="D19" s="51">
        <v>5.0</v>
      </c>
      <c r="E19" s="68" t="s">
        <v>95</v>
      </c>
      <c r="F19" s="68">
        <f t="shared" si="2"/>
        <v>5.5</v>
      </c>
      <c r="G19" s="60" t="s">
        <v>85</v>
      </c>
      <c r="H19" s="60" t="s">
        <v>96</v>
      </c>
      <c r="I19" s="60" t="s">
        <v>97</v>
      </c>
      <c r="J19" s="51">
        <v>10.0</v>
      </c>
      <c r="K19" s="41"/>
      <c r="L19" s="45"/>
    </row>
    <row r="20">
      <c r="A20" s="46"/>
      <c r="B20" s="70" t="s">
        <v>78</v>
      </c>
      <c r="C20" s="70">
        <v>2.0</v>
      </c>
      <c r="D20" s="70">
        <v>6.0</v>
      </c>
      <c r="E20" s="71" t="s">
        <v>98</v>
      </c>
      <c r="F20" s="71">
        <f t="shared" si="2"/>
        <v>6.6</v>
      </c>
      <c r="G20" s="72" t="s">
        <v>99</v>
      </c>
      <c r="H20" s="72" t="s">
        <v>100</v>
      </c>
      <c r="I20" s="72" t="s">
        <v>73</v>
      </c>
      <c r="J20" s="70">
        <v>12.0</v>
      </c>
      <c r="K20" s="41"/>
      <c r="L20" s="45"/>
    </row>
    <row r="21">
      <c r="A21" s="41"/>
      <c r="B21" s="42"/>
      <c r="C21" s="42"/>
      <c r="D21" s="42"/>
      <c r="E21" s="63"/>
      <c r="F21" s="63"/>
      <c r="G21" s="73"/>
      <c r="H21" s="44"/>
      <c r="I21" s="41"/>
      <c r="J21" s="41"/>
      <c r="K21" s="41"/>
      <c r="L21" s="45"/>
    </row>
    <row r="22">
      <c r="A22" s="46"/>
      <c r="B22" s="35" t="s">
        <v>52</v>
      </c>
      <c r="C22" s="47" t="s">
        <v>53</v>
      </c>
      <c r="D22" s="48"/>
      <c r="E22" s="74"/>
      <c r="F22" s="74"/>
      <c r="G22" s="64"/>
      <c r="H22" s="64"/>
      <c r="I22" s="50"/>
      <c r="J22" s="50"/>
      <c r="K22" s="41"/>
      <c r="L22" s="45"/>
    </row>
    <row r="23">
      <c r="A23" s="46"/>
      <c r="B23" s="51" t="s">
        <v>27</v>
      </c>
      <c r="C23" s="75" t="s">
        <v>101</v>
      </c>
      <c r="D23" s="48"/>
      <c r="E23" s="74"/>
      <c r="F23" s="64"/>
      <c r="H23" s="64"/>
      <c r="I23" s="50"/>
      <c r="J23" s="50"/>
      <c r="K23" s="41"/>
      <c r="L23" s="45"/>
    </row>
    <row r="24">
      <c r="A24" s="41"/>
      <c r="B24" s="53"/>
      <c r="C24" s="53"/>
      <c r="D24" s="54"/>
      <c r="E24" s="66"/>
      <c r="F24" s="76"/>
      <c r="G24" s="64"/>
      <c r="H24" s="56"/>
      <c r="I24" s="54"/>
      <c r="J24" s="54"/>
      <c r="K24" s="41"/>
      <c r="L24" s="45"/>
    </row>
    <row r="25">
      <c r="A25" s="46"/>
      <c r="B25" s="35" t="s">
        <v>11</v>
      </c>
      <c r="C25" s="35" t="s">
        <v>6</v>
      </c>
      <c r="D25" s="35" t="s">
        <v>59</v>
      </c>
      <c r="E25" s="67" t="s">
        <v>60</v>
      </c>
      <c r="F25" s="57" t="s">
        <v>102</v>
      </c>
      <c r="G25" s="59" t="s">
        <v>8</v>
      </c>
      <c r="H25" s="59" t="s">
        <v>9</v>
      </c>
      <c r="I25" s="58" t="s">
        <v>10</v>
      </c>
      <c r="J25" s="35" t="s">
        <v>62</v>
      </c>
      <c r="K25" s="58" t="s">
        <v>12</v>
      </c>
      <c r="L25" s="45"/>
    </row>
    <row r="26">
      <c r="A26" s="46"/>
      <c r="B26" s="51" t="s">
        <v>63</v>
      </c>
      <c r="C26" s="51">
        <v>2.0</v>
      </c>
      <c r="D26" s="51">
        <v>2.0</v>
      </c>
      <c r="E26" s="68" t="s">
        <v>103</v>
      </c>
      <c r="F26" s="68">
        <f t="shared" ref="F26:F30" si="3">D26 + (E26 * 0.1)</f>
        <v>2.1</v>
      </c>
      <c r="G26" s="60" t="s">
        <v>104</v>
      </c>
      <c r="H26" s="60" t="s">
        <v>105</v>
      </c>
      <c r="I26" s="51" t="s">
        <v>106</v>
      </c>
      <c r="J26" s="77">
        <v>0.0</v>
      </c>
      <c r="K26" s="78"/>
      <c r="L26" s="45"/>
    </row>
    <row r="27">
      <c r="A27" s="46"/>
      <c r="B27" s="51" t="s">
        <v>67</v>
      </c>
      <c r="C27" s="51">
        <v>2.0</v>
      </c>
      <c r="D27" s="51">
        <v>4.0</v>
      </c>
      <c r="E27" s="68" t="s">
        <v>84</v>
      </c>
      <c r="F27" s="68">
        <f t="shared" si="3"/>
        <v>4.2</v>
      </c>
      <c r="G27" s="60" t="s">
        <v>107</v>
      </c>
      <c r="H27" s="60" t="s">
        <v>108</v>
      </c>
      <c r="I27" s="51" t="s">
        <v>109</v>
      </c>
      <c r="J27" s="77">
        <v>0.0</v>
      </c>
      <c r="K27" s="51" t="s">
        <v>110</v>
      </c>
      <c r="L27" s="45"/>
    </row>
    <row r="28">
      <c r="A28" s="46"/>
      <c r="B28" s="51" t="s">
        <v>71</v>
      </c>
      <c r="C28" s="51">
        <v>3.0</v>
      </c>
      <c r="D28" s="51">
        <v>5.0</v>
      </c>
      <c r="E28" s="68" t="s">
        <v>88</v>
      </c>
      <c r="F28" s="68">
        <f t="shared" si="3"/>
        <v>5.3</v>
      </c>
      <c r="G28" s="60" t="s">
        <v>72</v>
      </c>
      <c r="H28" s="60" t="s">
        <v>58</v>
      </c>
      <c r="I28" s="51" t="s">
        <v>111</v>
      </c>
      <c r="J28" s="77">
        <v>0.0</v>
      </c>
      <c r="K28" s="77" t="s">
        <v>112</v>
      </c>
      <c r="L28" s="45"/>
    </row>
    <row r="29">
      <c r="A29" s="41"/>
      <c r="B29" s="77" t="s">
        <v>74</v>
      </c>
      <c r="C29" s="77">
        <v>4.0</v>
      </c>
      <c r="D29" s="77">
        <v>6.0</v>
      </c>
      <c r="E29" s="79" t="s">
        <v>113</v>
      </c>
      <c r="F29" s="79">
        <f t="shared" si="3"/>
        <v>6.7</v>
      </c>
      <c r="G29" s="80" t="s">
        <v>114</v>
      </c>
      <c r="H29" s="80" t="s">
        <v>58</v>
      </c>
      <c r="I29" s="77" t="s">
        <v>115</v>
      </c>
      <c r="J29" s="77">
        <v>0.0</v>
      </c>
      <c r="K29" s="77" t="s">
        <v>116</v>
      </c>
      <c r="L29" s="45"/>
    </row>
    <row r="30">
      <c r="A30" s="18"/>
      <c r="B30" s="77" t="s">
        <v>78</v>
      </c>
      <c r="C30" s="77">
        <v>4.0</v>
      </c>
      <c r="D30" s="77">
        <v>7.0</v>
      </c>
      <c r="E30" s="79" t="s">
        <v>91</v>
      </c>
      <c r="F30" s="79">
        <f t="shared" si="3"/>
        <v>7.4</v>
      </c>
      <c r="G30" s="80" t="s">
        <v>117</v>
      </c>
      <c r="H30" s="80" t="s">
        <v>58</v>
      </c>
      <c r="I30" s="78"/>
      <c r="J30" s="77">
        <v>0.0</v>
      </c>
      <c r="K30" s="77" t="s">
        <v>118</v>
      </c>
      <c r="L30" s="45"/>
    </row>
    <row r="31">
      <c r="A31" s="41"/>
      <c r="B31" s="81"/>
      <c r="C31" s="81"/>
      <c r="D31" s="81"/>
      <c r="E31" s="82"/>
      <c r="F31" s="82"/>
      <c r="G31" s="83"/>
      <c r="H31" s="83"/>
      <c r="I31" s="45"/>
      <c r="J31" s="45"/>
      <c r="K31" s="45"/>
      <c r="L31" s="45"/>
    </row>
    <row r="32">
      <c r="A32" s="46"/>
      <c r="B32" s="35" t="s">
        <v>52</v>
      </c>
      <c r="C32" s="47" t="s">
        <v>53</v>
      </c>
      <c r="D32" s="84"/>
      <c r="E32" s="85"/>
      <c r="F32" s="85"/>
      <c r="G32" s="86"/>
      <c r="H32" s="86"/>
      <c r="I32" s="87"/>
      <c r="J32" s="87"/>
      <c r="K32" s="45"/>
      <c r="L32" s="45"/>
    </row>
    <row r="33">
      <c r="A33" s="46"/>
      <c r="B33" s="77" t="s">
        <v>14</v>
      </c>
      <c r="C33" s="88" t="s">
        <v>119</v>
      </c>
      <c r="D33" s="89"/>
      <c r="E33" s="85"/>
      <c r="F33" s="85"/>
      <c r="G33" s="86"/>
      <c r="H33" s="86"/>
      <c r="I33" s="87"/>
      <c r="J33" s="87"/>
      <c r="K33" s="45"/>
      <c r="L33" s="45"/>
    </row>
    <row r="34">
      <c r="A34" s="45"/>
      <c r="B34" s="90"/>
      <c r="C34" s="90"/>
      <c r="D34" s="91"/>
      <c r="E34" s="92"/>
      <c r="F34" s="92"/>
      <c r="G34" s="93"/>
      <c r="H34" s="93"/>
      <c r="I34" s="91"/>
      <c r="J34" s="91"/>
      <c r="K34" s="45"/>
      <c r="L34" s="45"/>
    </row>
    <row r="35">
      <c r="A35" s="46"/>
      <c r="B35" s="35" t="s">
        <v>11</v>
      </c>
      <c r="C35" s="35" t="s">
        <v>6</v>
      </c>
      <c r="D35" s="35" t="s">
        <v>59</v>
      </c>
      <c r="E35" s="67" t="s">
        <v>60</v>
      </c>
      <c r="F35" s="57" t="s">
        <v>120</v>
      </c>
      <c r="G35" s="59" t="s">
        <v>8</v>
      </c>
      <c r="H35" s="59" t="s">
        <v>9</v>
      </c>
      <c r="I35" s="58" t="s">
        <v>10</v>
      </c>
      <c r="J35" s="35" t="s">
        <v>62</v>
      </c>
      <c r="K35" s="58" t="s">
        <v>12</v>
      </c>
      <c r="L35" s="45"/>
    </row>
    <row r="36">
      <c r="A36" s="94"/>
      <c r="B36" s="77" t="s">
        <v>63</v>
      </c>
      <c r="C36" s="77">
        <v>2.0</v>
      </c>
      <c r="D36" s="77">
        <v>3.0</v>
      </c>
      <c r="E36" s="79" t="s">
        <v>84</v>
      </c>
      <c r="F36" s="79">
        <f t="shared" ref="F36:F40" si="4">D36 + (E36 * 0.1)</f>
        <v>3.2</v>
      </c>
      <c r="G36" s="80" t="s">
        <v>121</v>
      </c>
      <c r="H36" s="80" t="s">
        <v>122</v>
      </c>
      <c r="I36" s="77" t="s">
        <v>123</v>
      </c>
      <c r="J36" s="77">
        <v>1.0</v>
      </c>
      <c r="K36" s="78"/>
      <c r="L36" s="45"/>
    </row>
    <row r="37">
      <c r="A37" s="46"/>
      <c r="B37" s="77" t="s">
        <v>67</v>
      </c>
      <c r="C37" s="77">
        <v>3.0</v>
      </c>
      <c r="D37" s="77">
        <v>4.0</v>
      </c>
      <c r="E37" s="79" t="s">
        <v>124</v>
      </c>
      <c r="F37" s="79">
        <f t="shared" si="4"/>
        <v>4.8</v>
      </c>
      <c r="G37" s="80" t="s">
        <v>125</v>
      </c>
      <c r="H37" s="80" t="s">
        <v>126</v>
      </c>
      <c r="I37" s="77" t="s">
        <v>94</v>
      </c>
      <c r="J37" s="77">
        <v>2.0</v>
      </c>
      <c r="K37" s="77" t="s">
        <v>127</v>
      </c>
      <c r="L37" s="45"/>
    </row>
    <row r="38">
      <c r="A38" s="94"/>
      <c r="B38" s="77" t="s">
        <v>71</v>
      </c>
      <c r="C38" s="77">
        <v>3.0</v>
      </c>
      <c r="D38" s="77">
        <v>5.0</v>
      </c>
      <c r="E38" s="79" t="s">
        <v>103</v>
      </c>
      <c r="F38" s="79">
        <f t="shared" si="4"/>
        <v>5.1</v>
      </c>
      <c r="G38" s="80" t="s">
        <v>128</v>
      </c>
      <c r="H38" s="80"/>
      <c r="I38" s="77" t="s">
        <v>70</v>
      </c>
      <c r="J38" s="77">
        <v>4.0</v>
      </c>
      <c r="K38" s="78"/>
      <c r="L38" s="45"/>
    </row>
    <row r="39">
      <c r="A39" s="94"/>
      <c r="B39" s="77" t="s">
        <v>74</v>
      </c>
      <c r="C39" s="77">
        <v>4.0</v>
      </c>
      <c r="D39" s="77">
        <v>5.0</v>
      </c>
      <c r="E39" s="79" t="s">
        <v>129</v>
      </c>
      <c r="F39" s="79">
        <f t="shared" si="4"/>
        <v>5.9</v>
      </c>
      <c r="G39" s="80" t="s">
        <v>130</v>
      </c>
      <c r="H39" s="80" t="s">
        <v>131</v>
      </c>
      <c r="I39" s="77" t="s">
        <v>73</v>
      </c>
      <c r="J39" s="77">
        <v>6.0</v>
      </c>
      <c r="K39" s="78"/>
      <c r="L39" s="45"/>
    </row>
    <row r="40">
      <c r="A40" s="94"/>
      <c r="B40" s="77" t="s">
        <v>78</v>
      </c>
      <c r="C40" s="77">
        <v>4.0</v>
      </c>
      <c r="D40" s="77">
        <v>7.0</v>
      </c>
      <c r="E40" s="79" t="s">
        <v>98</v>
      </c>
      <c r="F40" s="79">
        <f t="shared" si="4"/>
        <v>7.6</v>
      </c>
      <c r="G40" s="80" t="s">
        <v>130</v>
      </c>
      <c r="H40" s="80"/>
      <c r="I40" s="77" t="s">
        <v>132</v>
      </c>
      <c r="J40" s="77">
        <v>7.0</v>
      </c>
      <c r="K40" s="77" t="s">
        <v>133</v>
      </c>
      <c r="L40" s="45"/>
    </row>
    <row r="41">
      <c r="A41" s="45"/>
      <c r="B41" s="81"/>
      <c r="C41" s="81"/>
      <c r="D41" s="81"/>
      <c r="E41" s="82"/>
      <c r="F41" s="82"/>
      <c r="G41" s="83"/>
      <c r="H41" s="83"/>
      <c r="I41" s="45"/>
      <c r="J41" s="45"/>
      <c r="K41" s="45"/>
      <c r="L41" s="45"/>
    </row>
    <row r="42">
      <c r="A42" s="94"/>
      <c r="B42" s="35" t="s">
        <v>52</v>
      </c>
      <c r="C42" s="47" t="s">
        <v>53</v>
      </c>
      <c r="D42" s="84"/>
      <c r="E42" s="95"/>
      <c r="F42" s="95"/>
      <c r="G42" s="86"/>
      <c r="H42" s="86"/>
      <c r="I42" s="87"/>
      <c r="J42" s="87"/>
      <c r="K42" s="87"/>
      <c r="L42" s="45"/>
    </row>
    <row r="43">
      <c r="A43" s="94"/>
      <c r="B43" s="77" t="s">
        <v>28</v>
      </c>
      <c r="C43" s="96" t="s">
        <v>30</v>
      </c>
      <c r="D43" s="89"/>
      <c r="E43" s="95"/>
      <c r="F43" s="95"/>
      <c r="G43" s="86"/>
      <c r="H43" s="86"/>
      <c r="I43" s="87"/>
      <c r="J43" s="87"/>
      <c r="K43" s="87"/>
      <c r="L43" s="45"/>
    </row>
    <row r="44">
      <c r="A44" s="45"/>
      <c r="B44" s="90"/>
      <c r="C44" s="90"/>
      <c r="D44" s="91"/>
      <c r="E44" s="92"/>
      <c r="F44" s="92"/>
      <c r="G44" s="93"/>
      <c r="H44" s="93"/>
      <c r="I44" s="91"/>
      <c r="J44" s="91"/>
      <c r="K44" s="91"/>
      <c r="L44" s="45"/>
    </row>
    <row r="45">
      <c r="A45" s="46"/>
      <c r="B45" s="35" t="s">
        <v>11</v>
      </c>
      <c r="C45" s="35" t="s">
        <v>6</v>
      </c>
      <c r="D45" s="35" t="s">
        <v>59</v>
      </c>
      <c r="E45" s="67" t="s">
        <v>60</v>
      </c>
      <c r="F45" s="57" t="s">
        <v>134</v>
      </c>
      <c r="G45" s="59" t="s">
        <v>8</v>
      </c>
      <c r="H45" s="59" t="s">
        <v>9</v>
      </c>
      <c r="I45" s="58" t="s">
        <v>10</v>
      </c>
      <c r="J45" s="35" t="s">
        <v>62</v>
      </c>
      <c r="K45" s="35" t="s">
        <v>12</v>
      </c>
      <c r="L45" s="45"/>
    </row>
    <row r="46">
      <c r="A46" s="94"/>
      <c r="B46" s="77" t="s">
        <v>63</v>
      </c>
      <c r="C46" s="77">
        <v>1.0</v>
      </c>
      <c r="D46" s="77">
        <v>2.0</v>
      </c>
      <c r="E46" s="79" t="s">
        <v>103</v>
      </c>
      <c r="F46" s="79">
        <f t="shared" ref="F46:F50" si="5">D46 + (E46 * 0.1)</f>
        <v>2.1</v>
      </c>
      <c r="G46" s="80" t="s">
        <v>135</v>
      </c>
      <c r="H46" s="80" t="s">
        <v>136</v>
      </c>
      <c r="I46" s="77" t="s">
        <v>137</v>
      </c>
      <c r="J46" s="77">
        <v>1.0</v>
      </c>
      <c r="K46" s="77" t="s">
        <v>138</v>
      </c>
      <c r="L46" s="45"/>
    </row>
    <row r="47">
      <c r="A47" s="94"/>
      <c r="B47" s="77" t="s">
        <v>67</v>
      </c>
      <c r="C47" s="77">
        <v>2.0</v>
      </c>
      <c r="D47" s="77">
        <v>3.0</v>
      </c>
      <c r="E47" s="79" t="s">
        <v>113</v>
      </c>
      <c r="F47" s="79">
        <f t="shared" si="5"/>
        <v>3.7</v>
      </c>
      <c r="G47" s="80" t="s">
        <v>139</v>
      </c>
      <c r="H47" s="80" t="s">
        <v>140</v>
      </c>
      <c r="I47" s="77" t="s">
        <v>90</v>
      </c>
      <c r="J47" s="77">
        <v>2.0</v>
      </c>
      <c r="K47" s="77" t="s">
        <v>141</v>
      </c>
      <c r="L47" s="45"/>
    </row>
    <row r="48">
      <c r="A48" s="94"/>
      <c r="B48" s="77" t="s">
        <v>71</v>
      </c>
      <c r="C48" s="77">
        <v>3.0</v>
      </c>
      <c r="D48" s="77">
        <v>5.0</v>
      </c>
      <c r="E48" s="79" t="s">
        <v>103</v>
      </c>
      <c r="F48" s="79">
        <f t="shared" si="5"/>
        <v>5.1</v>
      </c>
      <c r="G48" s="80" t="s">
        <v>139</v>
      </c>
      <c r="H48" s="80" t="s">
        <v>142</v>
      </c>
      <c r="I48" s="77" t="s">
        <v>143</v>
      </c>
      <c r="J48" s="77">
        <v>3.0</v>
      </c>
      <c r="K48" s="77" t="s">
        <v>144</v>
      </c>
      <c r="L48" s="45"/>
    </row>
    <row r="49">
      <c r="A49" s="94"/>
      <c r="B49" s="77" t="s">
        <v>74</v>
      </c>
      <c r="C49" s="77">
        <v>3.0</v>
      </c>
      <c r="D49" s="77">
        <v>5.0</v>
      </c>
      <c r="E49" s="79" t="s">
        <v>129</v>
      </c>
      <c r="F49" s="79">
        <f t="shared" si="5"/>
        <v>5.9</v>
      </c>
      <c r="G49" s="80" t="s">
        <v>145</v>
      </c>
      <c r="H49" s="80" t="s">
        <v>146</v>
      </c>
      <c r="I49" s="78"/>
      <c r="J49" s="77">
        <v>4.0</v>
      </c>
      <c r="K49" s="77" t="s">
        <v>147</v>
      </c>
      <c r="L49" s="45"/>
    </row>
    <row r="50">
      <c r="A50" s="94"/>
      <c r="B50" s="61" t="s">
        <v>78</v>
      </c>
      <c r="C50" s="61">
        <v>4.0</v>
      </c>
      <c r="D50" s="61">
        <v>7.0</v>
      </c>
      <c r="E50" s="61">
        <v>11.0</v>
      </c>
      <c r="F50" s="61">
        <f t="shared" si="5"/>
        <v>8.1</v>
      </c>
      <c r="G50" s="62" t="s">
        <v>148</v>
      </c>
      <c r="H50" s="62" t="s">
        <v>149</v>
      </c>
      <c r="I50" s="61" t="s">
        <v>150</v>
      </c>
      <c r="J50" s="61">
        <v>7.0</v>
      </c>
      <c r="K50" s="77" t="s">
        <v>151</v>
      </c>
      <c r="L50" s="45"/>
    </row>
    <row r="51">
      <c r="A51" s="45"/>
      <c r="B51" s="97"/>
      <c r="C51" s="97"/>
      <c r="D51" s="97"/>
      <c r="E51" s="98"/>
      <c r="F51" s="98"/>
      <c r="G51" s="99"/>
      <c r="H51" s="99"/>
      <c r="I51" s="97"/>
      <c r="J51" s="100"/>
      <c r="K51" s="97"/>
      <c r="L51" s="45"/>
    </row>
    <row r="52">
      <c r="A52" s="41"/>
      <c r="B52" s="35" t="s">
        <v>52</v>
      </c>
      <c r="C52" s="47" t="s">
        <v>53</v>
      </c>
      <c r="D52" s="84"/>
      <c r="E52" s="85"/>
      <c r="F52" s="85"/>
      <c r="G52" s="86"/>
      <c r="H52" s="86"/>
      <c r="I52" s="87"/>
      <c r="J52" s="87"/>
      <c r="K52" s="45"/>
      <c r="L52" s="45"/>
    </row>
    <row r="53">
      <c r="A53" s="46"/>
      <c r="B53" s="77" t="s">
        <v>34</v>
      </c>
      <c r="C53" s="88" t="s">
        <v>152</v>
      </c>
      <c r="D53" s="89"/>
      <c r="E53" s="85"/>
      <c r="F53" s="85"/>
      <c r="G53" s="86"/>
      <c r="H53" s="86"/>
      <c r="I53" s="87"/>
      <c r="J53" s="87"/>
      <c r="K53" s="45"/>
      <c r="L53" s="45"/>
    </row>
    <row r="54">
      <c r="A54" s="94"/>
      <c r="B54" s="90"/>
      <c r="C54" s="90"/>
      <c r="D54" s="91"/>
      <c r="E54" s="92"/>
      <c r="F54" s="92"/>
      <c r="G54" s="93"/>
      <c r="H54" s="93"/>
      <c r="I54" s="91"/>
      <c r="J54" s="91"/>
      <c r="K54" s="45"/>
      <c r="L54" s="45"/>
    </row>
    <row r="55">
      <c r="A55" s="41"/>
      <c r="B55" s="35" t="s">
        <v>11</v>
      </c>
      <c r="C55" s="35" t="s">
        <v>6</v>
      </c>
      <c r="D55" s="35" t="s">
        <v>59</v>
      </c>
      <c r="E55" s="67" t="s">
        <v>60</v>
      </c>
      <c r="F55" s="57" t="s">
        <v>153</v>
      </c>
      <c r="G55" s="59" t="s">
        <v>8</v>
      </c>
      <c r="H55" s="59" t="s">
        <v>9</v>
      </c>
      <c r="I55" s="58" t="s">
        <v>10</v>
      </c>
      <c r="J55" s="35" t="s">
        <v>62</v>
      </c>
      <c r="K55" s="101" t="s">
        <v>12</v>
      </c>
      <c r="L55" s="45"/>
    </row>
    <row r="56">
      <c r="A56" s="94"/>
      <c r="B56" s="77" t="s">
        <v>63</v>
      </c>
      <c r="C56" s="77">
        <v>2.0</v>
      </c>
      <c r="D56" s="77">
        <v>3.0</v>
      </c>
      <c r="E56" s="79" t="s">
        <v>91</v>
      </c>
      <c r="F56" s="79">
        <f t="shared" ref="F56:F60" si="6">D56 + (E56 * 0.1)</f>
        <v>3.4</v>
      </c>
      <c r="G56" s="80" t="s">
        <v>154</v>
      </c>
      <c r="H56" s="80" t="s">
        <v>155</v>
      </c>
      <c r="I56" s="77" t="s">
        <v>156</v>
      </c>
      <c r="J56" s="77">
        <v>0.0</v>
      </c>
      <c r="K56" s="102" t="s">
        <v>157</v>
      </c>
      <c r="L56" s="103"/>
    </row>
    <row r="57">
      <c r="A57" s="94"/>
      <c r="B57" s="77" t="s">
        <v>67</v>
      </c>
      <c r="C57" s="77">
        <v>3.0</v>
      </c>
      <c r="D57" s="77">
        <v>5.0</v>
      </c>
      <c r="E57" s="79" t="s">
        <v>103</v>
      </c>
      <c r="F57" s="79">
        <f t="shared" si="6"/>
        <v>5.1</v>
      </c>
      <c r="G57" s="80" t="s">
        <v>158</v>
      </c>
      <c r="H57" s="80" t="s">
        <v>159</v>
      </c>
      <c r="I57" s="77" t="s">
        <v>160</v>
      </c>
      <c r="J57" s="77">
        <v>0.0</v>
      </c>
      <c r="K57" s="104"/>
      <c r="L57" s="103"/>
    </row>
    <row r="58">
      <c r="A58" s="94"/>
      <c r="B58" s="77" t="s">
        <v>71</v>
      </c>
      <c r="C58" s="77">
        <v>3.0</v>
      </c>
      <c r="D58" s="77">
        <v>6.0</v>
      </c>
      <c r="E58" s="79" t="s">
        <v>91</v>
      </c>
      <c r="F58" s="79">
        <f t="shared" si="6"/>
        <v>6.4</v>
      </c>
      <c r="G58" s="105" t="s">
        <v>161</v>
      </c>
      <c r="H58" s="80" t="s">
        <v>162</v>
      </c>
      <c r="I58" s="77" t="s">
        <v>162</v>
      </c>
      <c r="J58" s="77">
        <v>0.0</v>
      </c>
      <c r="K58" s="106"/>
      <c r="L58" s="103"/>
    </row>
    <row r="59">
      <c r="A59" s="94"/>
      <c r="B59" s="77" t="s">
        <v>74</v>
      </c>
      <c r="C59" s="77">
        <v>4.0</v>
      </c>
      <c r="D59" s="77">
        <v>7.0</v>
      </c>
      <c r="E59" s="79" t="s">
        <v>95</v>
      </c>
      <c r="F59" s="79">
        <f t="shared" si="6"/>
        <v>7.5</v>
      </c>
      <c r="G59" s="80" t="s">
        <v>163</v>
      </c>
      <c r="H59" s="80" t="s">
        <v>164</v>
      </c>
      <c r="I59" s="77" t="s">
        <v>164</v>
      </c>
      <c r="J59" s="77">
        <v>0.0</v>
      </c>
      <c r="K59" s="104"/>
      <c r="L59" s="103"/>
    </row>
    <row r="60">
      <c r="A60" s="94"/>
      <c r="B60" s="107" t="s">
        <v>78</v>
      </c>
      <c r="C60" s="107">
        <v>4.0</v>
      </c>
      <c r="D60" s="107">
        <v>7.0</v>
      </c>
      <c r="E60" s="108" t="s">
        <v>129</v>
      </c>
      <c r="F60" s="108">
        <f t="shared" si="6"/>
        <v>7.9</v>
      </c>
      <c r="G60" s="105" t="s">
        <v>163</v>
      </c>
      <c r="H60" s="105" t="s">
        <v>164</v>
      </c>
      <c r="I60" s="107" t="s">
        <v>164</v>
      </c>
      <c r="J60" s="109">
        <v>0.0</v>
      </c>
      <c r="K60" s="110"/>
      <c r="L60" s="103"/>
    </row>
    <row r="61">
      <c r="A61" s="45"/>
      <c r="B61" s="97"/>
      <c r="C61" s="97"/>
      <c r="D61" s="97"/>
      <c r="E61" s="98"/>
      <c r="F61" s="98"/>
      <c r="G61" s="99"/>
      <c r="H61" s="111"/>
      <c r="I61" s="97"/>
      <c r="J61" s="97"/>
      <c r="K61" s="97"/>
      <c r="L61" s="45"/>
    </row>
  </sheetData>
  <mergeCells count="13">
    <mergeCell ref="C33:D33"/>
    <mergeCell ref="C42:D42"/>
    <mergeCell ref="C43:D43"/>
    <mergeCell ref="C52:D52"/>
    <mergeCell ref="C53:D53"/>
    <mergeCell ref="K56:K60"/>
    <mergeCell ref="C2:D2"/>
    <mergeCell ref="C3:D3"/>
    <mergeCell ref="C12:D12"/>
    <mergeCell ref="C13:D13"/>
    <mergeCell ref="C22:D22"/>
    <mergeCell ref="C23:D23"/>
    <mergeCell ref="C32:D32"/>
  </mergeCells>
  <hyperlinks>
    <hyperlink r:id="rId1" ref="E1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4.63"/>
    <col customWidth="1" min="3" max="5" width="13.88"/>
    <col customWidth="1" min="6" max="6" width="2.63"/>
    <col customWidth="1" min="7" max="10" width="13.88"/>
    <col customWidth="1" min="11" max="11" width="2.63"/>
  </cols>
  <sheetData>
    <row r="1">
      <c r="A1" s="46"/>
      <c r="B1" s="53"/>
      <c r="C1" s="53"/>
      <c r="D1" s="53"/>
      <c r="E1" s="54"/>
      <c r="F1" s="41"/>
      <c r="G1" s="41"/>
      <c r="H1" s="41"/>
      <c r="I1" s="41"/>
      <c r="J1" s="41"/>
      <c r="K1" s="41"/>
    </row>
    <row r="2">
      <c r="A2" s="41"/>
      <c r="B2" s="35" t="s">
        <v>11</v>
      </c>
      <c r="C2" s="35" t="s">
        <v>6</v>
      </c>
      <c r="D2" s="35" t="s">
        <v>165</v>
      </c>
      <c r="E2" s="112" t="s">
        <v>62</v>
      </c>
      <c r="G2" s="112" t="s">
        <v>166</v>
      </c>
      <c r="H2" s="41"/>
      <c r="I2" s="41"/>
      <c r="J2" s="41"/>
      <c r="K2" s="41"/>
    </row>
    <row r="3">
      <c r="A3" s="46"/>
      <c r="B3" s="51" t="s">
        <v>63</v>
      </c>
      <c r="C3" s="113">
        <f>AVERAGE('합본'!C6,'합본'!C16,'합본'!C26,'합본'!C36,'합본'!C46,'합본'!C56)</f>
        <v>1.666666667</v>
      </c>
      <c r="D3" s="113">
        <f>AVERAGE('합본'!D6,'합본'!D16,'합본'!D26,'합본'!D36,'합본'!D46,'합본'!D56)</f>
        <v>2.5</v>
      </c>
      <c r="E3" s="113">
        <f>AVERAGE('합본'!J6,'합본'!J16,'합본'!J26,'합본'!J36,'합본'!J56)</f>
        <v>0.8</v>
      </c>
      <c r="G3" s="113">
        <f>AVERAGE('합본'!F6,'합본'!F16,'합본'!F26,'합본'!F36,'합본'!F46,'합본'!F56)</f>
        <v>2.683333333</v>
      </c>
      <c r="H3" s="41"/>
      <c r="I3" s="41"/>
      <c r="J3" s="41"/>
      <c r="K3" s="41"/>
    </row>
    <row r="4">
      <c r="A4" s="46"/>
      <c r="B4" s="51" t="s">
        <v>67</v>
      </c>
      <c r="C4" s="113">
        <f>AVERAGE('합본'!C7,'합본'!C17,'합본'!C27,'합본'!C37,'합본'!C47,'합본'!C57)</f>
        <v>2.5</v>
      </c>
      <c r="D4" s="113">
        <f>AVERAGE('합본'!D7,'합본'!D17,'합본'!D27,'합본'!D37,'합본'!D47,'합본'!D57)</f>
        <v>3.833333333</v>
      </c>
      <c r="E4" s="113">
        <f>AVERAGE('합본'!J7,'합본'!J17,'합본'!J27,'합본'!J37,'합본'!J57)</f>
        <v>1.4</v>
      </c>
      <c r="G4" s="113">
        <f>AVERAGE('합본'!F7,'합본'!F17,'합본'!F27,'합본'!F37,'합본'!F47,'합본'!F57)</f>
        <v>4.3</v>
      </c>
      <c r="H4" s="41"/>
      <c r="I4" s="41"/>
      <c r="J4" s="41"/>
      <c r="K4" s="41"/>
    </row>
    <row r="5">
      <c r="A5" s="46"/>
      <c r="B5" s="51" t="s">
        <v>71</v>
      </c>
      <c r="C5" s="113">
        <f>AVERAGE('합본'!C8,'합본'!C18,'합본'!C28,'합본'!C38,'합본'!C48,'합본'!C58)</f>
        <v>2.833333333</v>
      </c>
      <c r="D5" s="113">
        <f>AVERAGE('합본'!D8,'합본'!D18,'합본'!D28,'합본'!D38,'합본'!D48,'합본'!D58)</f>
        <v>5</v>
      </c>
      <c r="E5" s="113">
        <f>AVERAGE('합본'!J8,'합본'!J18,'합본'!J28,'합본'!J38,'합본'!J58)</f>
        <v>2.2</v>
      </c>
      <c r="G5" s="113">
        <f>AVERAGE('합본'!F8,'합본'!F18,'합본'!F28,'합본'!F38,'합본'!F48,'합본'!F58)</f>
        <v>5.333333333</v>
      </c>
      <c r="H5" s="41"/>
      <c r="I5" s="41"/>
      <c r="J5" s="41"/>
      <c r="K5" s="41"/>
    </row>
    <row r="6">
      <c r="A6" s="46"/>
      <c r="B6" s="51" t="s">
        <v>74</v>
      </c>
      <c r="C6" s="113">
        <f>AVERAGE('합본'!C9,'합본'!C19,'합본'!C29,'합본'!C39,'합본'!C49,'합본'!C59)</f>
        <v>3.333333333</v>
      </c>
      <c r="D6" s="113">
        <f>AVERAGE('합본'!D9,'합본'!D19,'합본'!D29,'합본'!D39,'합본'!D49,'합본'!D59)</f>
        <v>5.666666667</v>
      </c>
      <c r="E6" s="113">
        <f>AVERAGE('합본'!J9,'합본'!J19,'합본'!J29,'합본'!J39,'합본'!J59)</f>
        <v>3.4</v>
      </c>
      <c r="G6" s="113">
        <f>AVERAGE('합본'!F9,'합본'!F19,'합본'!F29,'합본'!F39,'합본'!F49,'합본'!F59)</f>
        <v>6.416666667</v>
      </c>
      <c r="H6" s="41"/>
      <c r="I6" s="41"/>
      <c r="J6" s="41"/>
      <c r="K6" s="41"/>
    </row>
    <row r="7">
      <c r="A7" s="46"/>
      <c r="B7" s="51" t="s">
        <v>78</v>
      </c>
      <c r="C7" s="113">
        <f>AVERAGE('합본'!C10,'합본'!C20,'합본'!C30,'합본'!C40,'합본'!C50,'합본'!C60)</f>
        <v>3.666666667</v>
      </c>
      <c r="D7" s="113">
        <f>AVERAGE('합본'!D10,'합본'!D20,'합본'!D30,'합본'!D40,'합본'!D50,'합본'!D60)</f>
        <v>6.833333333</v>
      </c>
      <c r="E7" s="113">
        <f>AVERAGE('합본'!J10,'합본'!J20,'합본'!J30,'합본'!J40,'합본'!J60)</f>
        <v>4</v>
      </c>
      <c r="G7" s="113">
        <f>AVERAGE('합본'!F10,'합본'!F20,'합본'!F30,'합본'!F40,'합본'!F50,'합본'!F60)</f>
        <v>7.616666667</v>
      </c>
      <c r="H7" s="41"/>
      <c r="I7" s="41"/>
      <c r="J7" s="41"/>
      <c r="K7" s="41"/>
    </row>
    <row r="8">
      <c r="A8" s="41"/>
      <c r="B8" s="114"/>
      <c r="C8" s="114"/>
      <c r="D8" s="114"/>
      <c r="E8" s="114"/>
      <c r="F8" s="41"/>
      <c r="G8" s="41"/>
      <c r="H8" s="41"/>
      <c r="I8" s="41"/>
      <c r="J8" s="41"/>
      <c r="K8" s="41"/>
    </row>
    <row r="9">
      <c r="A9" s="41"/>
      <c r="B9" s="35" t="s">
        <v>167</v>
      </c>
      <c r="C9" s="47" t="s">
        <v>168</v>
      </c>
      <c r="D9" s="115"/>
      <c r="E9" s="48"/>
      <c r="F9" s="41"/>
      <c r="G9" s="35" t="s">
        <v>169</v>
      </c>
      <c r="H9" s="47"/>
      <c r="I9" s="115"/>
      <c r="J9" s="48"/>
      <c r="K9" s="41"/>
    </row>
    <row r="10">
      <c r="A10" s="41"/>
      <c r="B10" s="51" t="s">
        <v>170</v>
      </c>
      <c r="C10" s="116" t="s">
        <v>171</v>
      </c>
      <c r="D10" s="115"/>
      <c r="E10" s="48"/>
      <c r="F10" s="41"/>
      <c r="G10" s="51" t="s">
        <v>172</v>
      </c>
      <c r="H10" s="117" t="s">
        <v>173</v>
      </c>
      <c r="I10" s="118"/>
      <c r="J10" s="119"/>
      <c r="K10" s="41"/>
    </row>
    <row r="11">
      <c r="A11" s="41"/>
      <c r="B11" s="114"/>
      <c r="C11" s="114"/>
      <c r="D11" s="114"/>
      <c r="E11" s="114"/>
      <c r="F11" s="41"/>
      <c r="G11" s="42"/>
      <c r="H11" s="42"/>
      <c r="I11" s="42"/>
      <c r="J11" s="42"/>
      <c r="K11" s="41"/>
    </row>
    <row r="12">
      <c r="A12" s="41"/>
      <c r="B12" s="35" t="s">
        <v>174</v>
      </c>
      <c r="C12" s="47" t="s">
        <v>175</v>
      </c>
      <c r="D12" s="115"/>
      <c r="E12" s="48"/>
      <c r="F12" s="120"/>
      <c r="G12" s="121" t="s">
        <v>176</v>
      </c>
      <c r="H12" s="122"/>
      <c r="I12" s="122"/>
      <c r="J12" s="123"/>
      <c r="K12" s="124"/>
    </row>
    <row r="13">
      <c r="A13" s="41"/>
      <c r="B13" s="51" t="s">
        <v>177</v>
      </c>
      <c r="C13" s="125" t="s">
        <v>178</v>
      </c>
      <c r="D13" s="115"/>
      <c r="E13" s="48"/>
      <c r="F13" s="46"/>
      <c r="G13" s="126" t="s">
        <v>179</v>
      </c>
      <c r="H13" s="127"/>
      <c r="I13" s="127"/>
      <c r="J13" s="128"/>
      <c r="K13" s="124"/>
    </row>
    <row r="14">
      <c r="A14" s="41"/>
      <c r="B14" s="51" t="s">
        <v>180</v>
      </c>
      <c r="C14" s="125" t="s">
        <v>181</v>
      </c>
      <c r="D14" s="115"/>
      <c r="E14" s="48"/>
      <c r="F14" s="124"/>
      <c r="G14" s="114"/>
      <c r="H14" s="114"/>
      <c r="I14" s="114"/>
      <c r="J14" s="114"/>
      <c r="K14" s="41"/>
    </row>
    <row r="15" ht="42.75" customHeight="1">
      <c r="A15" s="41"/>
      <c r="B15" s="51" t="s">
        <v>182</v>
      </c>
      <c r="C15" s="125" t="s">
        <v>183</v>
      </c>
      <c r="D15" s="115"/>
      <c r="E15" s="48"/>
      <c r="F15" s="41"/>
      <c r="G15" s="114"/>
      <c r="H15" s="114"/>
      <c r="I15" s="114"/>
      <c r="J15" s="114"/>
      <c r="K15" s="124"/>
    </row>
    <row r="16">
      <c r="A16" s="41"/>
      <c r="B16" s="51" t="s">
        <v>184</v>
      </c>
      <c r="C16" s="125" t="s">
        <v>185</v>
      </c>
      <c r="D16" s="115"/>
      <c r="E16" s="48"/>
      <c r="F16" s="41"/>
      <c r="G16" s="41"/>
      <c r="H16" s="114"/>
      <c r="I16" s="114"/>
      <c r="J16" s="114"/>
      <c r="K16" s="41"/>
    </row>
    <row r="17">
      <c r="A17" s="41"/>
      <c r="B17" s="51" t="s">
        <v>186</v>
      </c>
      <c r="C17" s="125" t="s">
        <v>187</v>
      </c>
      <c r="D17" s="115"/>
      <c r="E17" s="48"/>
      <c r="F17" s="124"/>
      <c r="G17" s="41"/>
      <c r="H17" s="41"/>
      <c r="I17" s="41"/>
      <c r="J17" s="41"/>
      <c r="K17" s="41"/>
    </row>
    <row r="18">
      <c r="A18" s="41"/>
      <c r="B18" s="51" t="s">
        <v>49</v>
      </c>
      <c r="C18" s="125" t="s">
        <v>188</v>
      </c>
      <c r="D18" s="115"/>
      <c r="E18" s="48"/>
      <c r="F18" s="41"/>
      <c r="G18" s="41"/>
      <c r="H18" s="41"/>
      <c r="I18" s="41"/>
      <c r="J18" s="41"/>
      <c r="K18" s="41"/>
    </row>
    <row r="19">
      <c r="A19" s="41"/>
      <c r="B19" s="114"/>
      <c r="C19" s="114"/>
      <c r="D19" s="114"/>
      <c r="E19" s="114"/>
      <c r="F19" s="41"/>
      <c r="G19" s="41"/>
      <c r="H19" s="41"/>
      <c r="I19" s="41"/>
      <c r="J19" s="41"/>
      <c r="K19" s="41"/>
    </row>
    <row r="20">
      <c r="A20" s="41"/>
      <c r="B20" s="125" t="s">
        <v>189</v>
      </c>
      <c r="C20" s="115"/>
      <c r="D20" s="115"/>
      <c r="E20" s="48"/>
      <c r="F20" s="41"/>
      <c r="G20" s="41"/>
      <c r="H20" s="41"/>
      <c r="I20" s="41"/>
      <c r="J20" s="41"/>
      <c r="K20" s="41"/>
    </row>
    <row r="21">
      <c r="A21" s="41"/>
      <c r="B21" s="125" t="s">
        <v>190</v>
      </c>
      <c r="C21" s="115"/>
      <c r="D21" s="115"/>
      <c r="E21" s="48"/>
      <c r="F21" s="41"/>
      <c r="G21" s="41"/>
      <c r="H21" s="41"/>
      <c r="I21" s="41"/>
      <c r="J21" s="41"/>
      <c r="K21" s="41"/>
    </row>
    <row r="22">
      <c r="A22" s="41"/>
      <c r="B22" s="125" t="s">
        <v>191</v>
      </c>
      <c r="C22" s="115"/>
      <c r="D22" s="115"/>
      <c r="E22" s="48"/>
      <c r="F22" s="41"/>
      <c r="G22" s="41"/>
      <c r="H22" s="41"/>
      <c r="I22" s="41"/>
      <c r="J22" s="41"/>
      <c r="K22" s="41"/>
    </row>
    <row r="23">
      <c r="A23" s="41"/>
      <c r="B23" s="125" t="s">
        <v>192</v>
      </c>
      <c r="C23" s="115"/>
      <c r="D23" s="115"/>
      <c r="E23" s="48"/>
      <c r="F23" s="41"/>
      <c r="G23" s="41"/>
      <c r="H23" s="41"/>
      <c r="I23" s="41"/>
      <c r="J23" s="41"/>
      <c r="K23" s="41"/>
    </row>
    <row r="24">
      <c r="A24" s="41"/>
      <c r="B24" s="125" t="s">
        <v>193</v>
      </c>
      <c r="C24" s="115"/>
      <c r="D24" s="115"/>
      <c r="E24" s="48"/>
      <c r="F24" s="41"/>
      <c r="G24" s="41"/>
      <c r="H24" s="41"/>
      <c r="I24" s="41"/>
      <c r="J24" s="41"/>
      <c r="K24" s="41"/>
    </row>
    <row r="25">
      <c r="A25" s="41"/>
      <c r="B25" s="114"/>
      <c r="C25" s="129"/>
      <c r="D25" s="130"/>
      <c r="E25" s="130"/>
      <c r="F25" s="41"/>
      <c r="G25" s="41"/>
      <c r="H25" s="41"/>
      <c r="I25" s="41"/>
      <c r="J25" s="41"/>
      <c r="K25" s="41"/>
    </row>
    <row r="26">
      <c r="A26" s="41"/>
      <c r="B26" s="114"/>
      <c r="C26" s="129"/>
      <c r="D26" s="130"/>
      <c r="E26" s="130"/>
      <c r="F26" s="41"/>
      <c r="G26" s="41"/>
      <c r="H26" s="41"/>
      <c r="I26" s="41"/>
      <c r="J26" s="41"/>
      <c r="K26" s="41"/>
    </row>
    <row r="27">
      <c r="A27" s="41"/>
      <c r="B27" s="114"/>
      <c r="C27" s="129"/>
      <c r="D27" s="130"/>
      <c r="E27" s="130"/>
      <c r="F27" s="41"/>
      <c r="G27" s="41"/>
      <c r="H27" s="41"/>
      <c r="I27" s="41"/>
      <c r="J27" s="41"/>
      <c r="K27" s="41"/>
    </row>
    <row r="28">
      <c r="A28" s="41"/>
      <c r="B28" s="114"/>
      <c r="C28" s="129"/>
      <c r="D28" s="130"/>
      <c r="E28" s="130"/>
      <c r="F28" s="41"/>
      <c r="G28" s="41"/>
      <c r="H28" s="41"/>
      <c r="I28" s="41"/>
      <c r="J28" s="41"/>
      <c r="K28" s="41"/>
    </row>
    <row r="29">
      <c r="A29" s="41"/>
      <c r="B29" s="114"/>
      <c r="C29" s="129"/>
      <c r="D29" s="130"/>
      <c r="E29" s="130"/>
      <c r="F29" s="41"/>
      <c r="G29" s="41"/>
      <c r="H29" s="41"/>
      <c r="I29" s="41"/>
      <c r="J29" s="41"/>
      <c r="K29" s="41"/>
    </row>
    <row r="30">
      <c r="A30" s="41"/>
      <c r="B30" s="114"/>
      <c r="C30" s="129"/>
      <c r="D30" s="130"/>
      <c r="E30" s="130"/>
      <c r="F30" s="41"/>
      <c r="G30" s="41"/>
      <c r="H30" s="41"/>
      <c r="I30" s="41"/>
      <c r="J30" s="41"/>
      <c r="K30" s="41"/>
    </row>
    <row r="31">
      <c r="A31" s="41"/>
      <c r="B31" s="114"/>
      <c r="C31" s="129"/>
      <c r="D31" s="130"/>
      <c r="E31" s="130"/>
      <c r="F31" s="41"/>
      <c r="G31" s="41"/>
      <c r="H31" s="41"/>
      <c r="I31" s="41"/>
      <c r="J31" s="41"/>
      <c r="K31" s="41"/>
    </row>
    <row r="32">
      <c r="A32" s="41"/>
      <c r="B32" s="114"/>
      <c r="C32" s="129"/>
      <c r="D32" s="130"/>
      <c r="E32" s="130"/>
      <c r="F32" s="41"/>
      <c r="G32" s="41"/>
      <c r="H32" s="41"/>
      <c r="I32" s="41"/>
      <c r="J32" s="41"/>
      <c r="K32" s="41"/>
    </row>
    <row r="33">
      <c r="A33" s="41"/>
      <c r="B33" s="114"/>
      <c r="C33" s="129"/>
      <c r="D33" s="130"/>
      <c r="E33" s="130"/>
      <c r="F33" s="41"/>
      <c r="G33" s="41"/>
      <c r="H33" s="41"/>
      <c r="I33" s="41"/>
      <c r="J33" s="41"/>
      <c r="K33" s="41"/>
    </row>
    <row r="34">
      <c r="A34" s="41"/>
      <c r="B34" s="114"/>
      <c r="C34" s="129"/>
      <c r="D34" s="130"/>
      <c r="E34" s="130"/>
      <c r="F34" s="41"/>
      <c r="G34" s="41"/>
      <c r="H34" s="41"/>
      <c r="I34" s="41"/>
      <c r="J34" s="41"/>
      <c r="K34" s="41"/>
    </row>
    <row r="35">
      <c r="A35" s="41"/>
      <c r="B35" s="114"/>
      <c r="C35" s="129"/>
      <c r="D35" s="130"/>
      <c r="E35" s="130"/>
      <c r="F35" s="41"/>
      <c r="G35" s="41"/>
      <c r="H35" s="41"/>
      <c r="I35" s="41"/>
      <c r="J35" s="41"/>
      <c r="K35" s="41"/>
    </row>
    <row r="36">
      <c r="A36" s="41"/>
      <c r="B36" s="114"/>
      <c r="C36" s="129"/>
      <c r="D36" s="130"/>
      <c r="E36" s="130"/>
      <c r="F36" s="41"/>
      <c r="G36" s="41"/>
      <c r="H36" s="41"/>
      <c r="I36" s="41"/>
      <c r="J36" s="41"/>
      <c r="K36" s="41"/>
    </row>
    <row r="37">
      <c r="A37" s="41"/>
      <c r="B37" s="114"/>
      <c r="C37" s="129"/>
      <c r="D37" s="130"/>
      <c r="E37" s="130"/>
      <c r="F37" s="41"/>
      <c r="G37" s="41"/>
      <c r="H37" s="41"/>
      <c r="I37" s="41"/>
      <c r="J37" s="41"/>
      <c r="K37" s="41"/>
    </row>
    <row r="38">
      <c r="A38" s="41"/>
      <c r="B38" s="114"/>
      <c r="C38" s="129"/>
      <c r="D38" s="130"/>
      <c r="E38" s="130"/>
      <c r="F38" s="41"/>
      <c r="G38" s="41"/>
      <c r="H38" s="41"/>
      <c r="I38" s="41"/>
      <c r="J38" s="41"/>
      <c r="K38" s="41"/>
    </row>
    <row r="39">
      <c r="A39" s="41"/>
      <c r="B39" s="114"/>
      <c r="C39" s="129"/>
      <c r="D39" s="130"/>
      <c r="E39" s="130"/>
      <c r="F39" s="41"/>
      <c r="G39" s="41"/>
      <c r="H39" s="41"/>
      <c r="I39" s="41"/>
      <c r="J39" s="41"/>
      <c r="K39" s="41"/>
    </row>
    <row r="40">
      <c r="A40" s="41"/>
      <c r="B40" s="114"/>
      <c r="C40" s="129"/>
      <c r="D40" s="130"/>
      <c r="E40" s="130"/>
      <c r="F40" s="41"/>
      <c r="G40" s="41"/>
      <c r="H40" s="41"/>
      <c r="I40" s="41"/>
      <c r="J40" s="41"/>
      <c r="K40" s="41"/>
    </row>
    <row r="41">
      <c r="A41" s="41"/>
      <c r="B41" s="114"/>
      <c r="C41" s="129"/>
      <c r="D41" s="130"/>
      <c r="E41" s="130"/>
      <c r="F41" s="41"/>
      <c r="G41" s="41"/>
      <c r="H41" s="41"/>
      <c r="I41" s="41"/>
      <c r="J41" s="41"/>
      <c r="K41" s="41"/>
    </row>
    <row r="42">
      <c r="A42" s="41"/>
      <c r="B42" s="114"/>
      <c r="C42" s="129"/>
      <c r="D42" s="130"/>
      <c r="E42" s="130"/>
      <c r="F42" s="41"/>
      <c r="G42" s="41"/>
      <c r="H42" s="41"/>
      <c r="I42" s="41"/>
      <c r="J42" s="41"/>
      <c r="K42" s="41"/>
    </row>
    <row r="43">
      <c r="A43" s="41"/>
      <c r="B43" s="131"/>
      <c r="C43" s="132"/>
      <c r="D43" s="133"/>
      <c r="E43" s="133"/>
      <c r="F43" s="42"/>
      <c r="G43" s="42"/>
      <c r="H43" s="42"/>
      <c r="I43" s="42"/>
      <c r="J43" s="42"/>
      <c r="K43" s="41"/>
    </row>
    <row r="44">
      <c r="A44" s="46"/>
      <c r="B44" s="134" t="s">
        <v>40</v>
      </c>
      <c r="C44" s="125" t="s">
        <v>194</v>
      </c>
      <c r="D44" s="115"/>
      <c r="E44" s="115"/>
      <c r="F44" s="115"/>
      <c r="G44" s="115"/>
      <c r="H44" s="115"/>
      <c r="I44" s="115"/>
      <c r="J44" s="48"/>
      <c r="K44" s="124"/>
    </row>
    <row r="45">
      <c r="A45" s="46"/>
      <c r="B45" s="134" t="s">
        <v>34</v>
      </c>
      <c r="C45" s="125" t="s">
        <v>195</v>
      </c>
      <c r="D45" s="115"/>
      <c r="E45" s="115"/>
      <c r="F45" s="115"/>
      <c r="G45" s="115"/>
      <c r="H45" s="115"/>
      <c r="I45" s="115"/>
      <c r="J45" s="48"/>
      <c r="K45" s="124"/>
    </row>
    <row r="46">
      <c r="A46" s="46"/>
      <c r="B46" s="134" t="s">
        <v>28</v>
      </c>
      <c r="C46" s="125" t="s">
        <v>196</v>
      </c>
      <c r="D46" s="115"/>
      <c r="E46" s="115"/>
      <c r="F46" s="115"/>
      <c r="G46" s="115"/>
      <c r="H46" s="115"/>
      <c r="I46" s="115"/>
      <c r="J46" s="48"/>
      <c r="K46" s="124"/>
    </row>
    <row r="47">
      <c r="A47" s="46"/>
      <c r="B47" s="134" t="s">
        <v>14</v>
      </c>
      <c r="C47" s="125" t="s">
        <v>197</v>
      </c>
      <c r="D47" s="115"/>
      <c r="E47" s="115"/>
      <c r="F47" s="115"/>
      <c r="G47" s="115"/>
      <c r="H47" s="115"/>
      <c r="I47" s="115"/>
      <c r="J47" s="48"/>
      <c r="K47" s="124"/>
    </row>
    <row r="48">
      <c r="A48" s="46"/>
      <c r="B48" s="134" t="s">
        <v>23</v>
      </c>
      <c r="C48" s="125" t="s">
        <v>198</v>
      </c>
      <c r="D48" s="115"/>
      <c r="E48" s="115"/>
      <c r="F48" s="115"/>
      <c r="G48" s="115"/>
      <c r="H48" s="115"/>
      <c r="I48" s="115"/>
      <c r="J48" s="48"/>
      <c r="K48" s="124"/>
    </row>
    <row r="49">
      <c r="A49" s="46"/>
      <c r="B49" s="134" t="s">
        <v>27</v>
      </c>
      <c r="C49" s="125" t="s">
        <v>199</v>
      </c>
      <c r="D49" s="115"/>
      <c r="E49" s="115"/>
      <c r="F49" s="115"/>
      <c r="G49" s="115"/>
      <c r="H49" s="115"/>
      <c r="I49" s="115"/>
      <c r="J49" s="48"/>
      <c r="K49" s="124"/>
    </row>
    <row r="50">
      <c r="A50" s="46"/>
      <c r="B50" s="134"/>
      <c r="C50" s="125"/>
      <c r="D50" s="115"/>
      <c r="E50" s="115"/>
      <c r="F50" s="115"/>
      <c r="G50" s="115"/>
      <c r="H50" s="115"/>
      <c r="I50" s="115"/>
      <c r="J50" s="48"/>
      <c r="K50" s="124"/>
    </row>
    <row r="51">
      <c r="A51" s="41"/>
      <c r="B51" s="125" t="s">
        <v>200</v>
      </c>
      <c r="C51" s="115"/>
      <c r="D51" s="115"/>
      <c r="E51" s="115"/>
      <c r="F51" s="115"/>
      <c r="G51" s="115"/>
      <c r="H51" s="115"/>
      <c r="I51" s="115"/>
      <c r="J51" s="48"/>
      <c r="K51" s="41"/>
    </row>
    <row r="52">
      <c r="A52" s="41"/>
      <c r="B52" s="114"/>
      <c r="C52" s="129"/>
      <c r="D52" s="130"/>
      <c r="E52" s="130"/>
      <c r="F52" s="41"/>
      <c r="G52" s="41"/>
      <c r="H52" s="41"/>
      <c r="I52" s="41"/>
      <c r="J52" s="41"/>
      <c r="K52" s="41"/>
    </row>
  </sheetData>
  <mergeCells count="25">
    <mergeCell ref="C9:E9"/>
    <mergeCell ref="H9:J9"/>
    <mergeCell ref="C10:E10"/>
    <mergeCell ref="C12:E12"/>
    <mergeCell ref="G12:J12"/>
    <mergeCell ref="C13:E13"/>
    <mergeCell ref="G13:J13"/>
    <mergeCell ref="C14:E14"/>
    <mergeCell ref="C15:E15"/>
    <mergeCell ref="C16:E16"/>
    <mergeCell ref="C17:E17"/>
    <mergeCell ref="C18:E18"/>
    <mergeCell ref="B20:E20"/>
    <mergeCell ref="B21:E21"/>
    <mergeCell ref="C48:J48"/>
    <mergeCell ref="C49:J49"/>
    <mergeCell ref="C50:J50"/>
    <mergeCell ref="B51:J51"/>
    <mergeCell ref="B22:E22"/>
    <mergeCell ref="B23:E23"/>
    <mergeCell ref="B24:E24"/>
    <mergeCell ref="C44:J44"/>
    <mergeCell ref="C45:J45"/>
    <mergeCell ref="C46:J46"/>
    <mergeCell ref="C47:J4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6" max="6" width="59.13"/>
    <col customWidth="1" min="7" max="7" width="54.0"/>
    <col customWidth="1" min="8" max="8" width="44.0"/>
    <col customWidth="1" min="9" max="9" width="21.75"/>
    <col customWidth="1" min="10" max="10" width="25.13"/>
    <col customWidth="1" min="11" max="11" width="27.0"/>
  </cols>
  <sheetData>
    <row r="1">
      <c r="A1" s="41"/>
      <c r="B1" s="42"/>
      <c r="C1" s="42"/>
      <c r="D1" s="42"/>
      <c r="E1" s="41"/>
      <c r="F1" s="41"/>
      <c r="G1" s="41"/>
      <c r="H1" s="41"/>
      <c r="I1" s="41"/>
      <c r="J1" s="41"/>
      <c r="K1" s="41"/>
    </row>
    <row r="2">
      <c r="A2" s="46"/>
      <c r="B2" s="35" t="s">
        <v>52</v>
      </c>
      <c r="C2" s="35"/>
      <c r="D2" s="47" t="s">
        <v>53</v>
      </c>
      <c r="E2" s="48"/>
      <c r="F2" s="50"/>
      <c r="G2" s="50"/>
      <c r="H2" s="50"/>
      <c r="I2" s="50"/>
      <c r="J2" s="50"/>
      <c r="K2" s="41"/>
    </row>
    <row r="3">
      <c r="A3" s="46"/>
      <c r="B3" s="51" t="s">
        <v>23</v>
      </c>
      <c r="C3" s="51"/>
      <c r="D3" s="75" t="s">
        <v>201</v>
      </c>
      <c r="E3" s="48"/>
      <c r="F3" s="50"/>
      <c r="G3" s="50"/>
      <c r="H3" s="50"/>
      <c r="I3" s="50"/>
      <c r="J3" s="50"/>
      <c r="K3" s="41"/>
    </row>
    <row r="4">
      <c r="A4" s="41"/>
      <c r="B4" s="53"/>
      <c r="C4" s="53"/>
      <c r="D4" s="53"/>
      <c r="E4" s="54"/>
      <c r="F4" s="54"/>
      <c r="G4" s="54"/>
      <c r="H4" s="54"/>
      <c r="I4" s="54"/>
      <c r="J4" s="54"/>
      <c r="K4" s="41"/>
    </row>
    <row r="5">
      <c r="A5" s="46"/>
      <c r="B5" s="35" t="s">
        <v>11</v>
      </c>
      <c r="C5" s="35" t="s">
        <v>6</v>
      </c>
      <c r="D5" s="35" t="s">
        <v>59</v>
      </c>
      <c r="E5" s="35" t="s">
        <v>59</v>
      </c>
      <c r="F5" s="58" t="s">
        <v>8</v>
      </c>
      <c r="G5" s="58" t="s">
        <v>9</v>
      </c>
      <c r="H5" s="58" t="s">
        <v>10</v>
      </c>
      <c r="I5" s="35" t="s">
        <v>62</v>
      </c>
      <c r="J5" s="58" t="s">
        <v>12</v>
      </c>
      <c r="K5" s="124"/>
    </row>
    <row r="6">
      <c r="A6" s="46"/>
      <c r="B6" s="51" t="s">
        <v>63</v>
      </c>
      <c r="C6" s="51">
        <v>2.0</v>
      </c>
      <c r="D6" s="51">
        <v>3.0</v>
      </c>
      <c r="E6" s="51" t="s">
        <v>202</v>
      </c>
      <c r="F6" s="60" t="s">
        <v>64</v>
      </c>
      <c r="G6" s="51" t="s">
        <v>203</v>
      </c>
      <c r="H6" s="51" t="s">
        <v>66</v>
      </c>
      <c r="I6" s="51">
        <v>1.0</v>
      </c>
      <c r="J6" s="51" t="s">
        <v>204</v>
      </c>
      <c r="K6" s="124"/>
    </row>
    <row r="7">
      <c r="A7" s="46"/>
      <c r="B7" s="51" t="s">
        <v>67</v>
      </c>
      <c r="C7" s="51">
        <v>3.0</v>
      </c>
      <c r="D7" s="51">
        <v>4.0</v>
      </c>
      <c r="E7" s="51" t="s">
        <v>205</v>
      </c>
      <c r="F7" s="60" t="s">
        <v>68</v>
      </c>
      <c r="G7" s="51" t="s">
        <v>206</v>
      </c>
      <c r="H7" s="51" t="s">
        <v>70</v>
      </c>
      <c r="I7" s="51">
        <v>0.0</v>
      </c>
      <c r="J7" s="51"/>
      <c r="K7" s="124"/>
    </row>
    <row r="8">
      <c r="A8" s="46"/>
      <c r="B8" s="51" t="s">
        <v>71</v>
      </c>
      <c r="C8" s="51">
        <v>3.0</v>
      </c>
      <c r="D8" s="51">
        <v>5.0</v>
      </c>
      <c r="E8" s="51" t="s">
        <v>205</v>
      </c>
      <c r="F8" s="60" t="s">
        <v>72</v>
      </c>
      <c r="G8" s="51" t="s">
        <v>206</v>
      </c>
      <c r="H8" s="51" t="s">
        <v>73</v>
      </c>
      <c r="I8" s="51">
        <v>0.0</v>
      </c>
      <c r="J8" s="69"/>
      <c r="K8" s="124"/>
    </row>
    <row r="9">
      <c r="A9" s="46"/>
      <c r="B9" s="51" t="s">
        <v>74</v>
      </c>
      <c r="C9" s="51">
        <v>3.0</v>
      </c>
      <c r="D9" s="51">
        <v>6.0</v>
      </c>
      <c r="E9" s="51" t="s">
        <v>207</v>
      </c>
      <c r="F9" s="60" t="s">
        <v>75</v>
      </c>
      <c r="G9" s="51" t="s">
        <v>208</v>
      </c>
      <c r="H9" s="51" t="s">
        <v>77</v>
      </c>
      <c r="I9" s="51">
        <v>0.0</v>
      </c>
      <c r="J9" s="69"/>
      <c r="K9" s="124"/>
    </row>
    <row r="10">
      <c r="A10" s="46"/>
      <c r="B10" s="51" t="s">
        <v>78</v>
      </c>
      <c r="C10" s="51">
        <v>4.0</v>
      </c>
      <c r="D10" s="51">
        <v>7.0</v>
      </c>
      <c r="E10" s="51" t="s">
        <v>209</v>
      </c>
      <c r="F10" s="80" t="s">
        <v>114</v>
      </c>
      <c r="G10" s="51" t="s">
        <v>210</v>
      </c>
      <c r="H10" s="51" t="s">
        <v>77</v>
      </c>
      <c r="I10" s="51">
        <v>0.0</v>
      </c>
      <c r="J10" s="69"/>
      <c r="K10" s="124"/>
    </row>
    <row r="11" ht="15.0" customHeight="1">
      <c r="A11" s="41"/>
      <c r="B11" s="114"/>
      <c r="C11" s="114"/>
      <c r="D11" s="114"/>
      <c r="E11" s="114"/>
      <c r="F11" s="114"/>
      <c r="G11" s="114"/>
      <c r="H11" s="114"/>
      <c r="I11" s="114"/>
      <c r="J11" s="114"/>
      <c r="K11" s="41"/>
    </row>
    <row r="12" ht="15.0" customHeight="1">
      <c r="A12" s="18"/>
      <c r="B12" s="18"/>
      <c r="C12" s="18"/>
      <c r="D12" s="18"/>
      <c r="E12" s="18"/>
      <c r="F12" s="18"/>
      <c r="G12" s="18"/>
      <c r="H12" s="18"/>
      <c r="I12" s="18"/>
      <c r="J12" s="18"/>
      <c r="K12" s="18"/>
    </row>
    <row r="13" ht="15.0" customHeight="1">
      <c r="A13" s="18"/>
      <c r="B13" s="18"/>
      <c r="C13" s="18"/>
      <c r="D13" s="18"/>
      <c r="E13" s="18"/>
      <c r="F13" s="18"/>
      <c r="G13" s="18"/>
      <c r="H13" s="18"/>
      <c r="I13" s="18"/>
      <c r="J13" s="18"/>
      <c r="K13" s="18"/>
    </row>
    <row r="14" ht="15.0" customHeight="1">
      <c r="A14" s="18"/>
      <c r="B14" s="18"/>
      <c r="C14" s="18"/>
      <c r="D14" s="18"/>
      <c r="E14" s="18"/>
      <c r="F14" s="18"/>
      <c r="G14" s="18"/>
      <c r="H14" s="18"/>
      <c r="I14" s="18"/>
      <c r="J14" s="18"/>
      <c r="K14" s="18"/>
    </row>
    <row r="15" ht="15.0" customHeight="1">
      <c r="A15" s="18"/>
      <c r="B15" s="18"/>
      <c r="C15" s="18"/>
      <c r="D15" s="18"/>
      <c r="E15" s="12" t="s">
        <v>211</v>
      </c>
      <c r="F15" s="12" t="s">
        <v>212</v>
      </c>
      <c r="G15" s="12" t="s">
        <v>213</v>
      </c>
      <c r="H15" s="12" t="s">
        <v>214</v>
      </c>
      <c r="I15" s="12" t="s">
        <v>215</v>
      </c>
      <c r="J15" s="18"/>
      <c r="K15" s="18"/>
    </row>
    <row r="16" ht="15.0" customHeight="1">
      <c r="A16" s="18"/>
      <c r="B16" s="18"/>
      <c r="C16" s="18"/>
      <c r="D16" s="18"/>
      <c r="E16" s="12" t="s">
        <v>216</v>
      </c>
      <c r="F16" s="18"/>
      <c r="G16" s="18"/>
      <c r="H16" s="18"/>
      <c r="I16" s="18"/>
      <c r="J16" s="18"/>
      <c r="K16" s="18"/>
    </row>
    <row r="17" ht="15.0" customHeight="1">
      <c r="A17" s="18"/>
      <c r="B17" s="18"/>
      <c r="C17" s="18"/>
      <c r="D17" s="18"/>
      <c r="E17" s="12" t="s">
        <v>217</v>
      </c>
      <c r="F17" s="18"/>
      <c r="G17" s="18"/>
      <c r="H17" s="18"/>
      <c r="I17" s="18"/>
      <c r="J17" s="18"/>
      <c r="K17" s="18"/>
    </row>
    <row r="18" ht="15.0" customHeight="1">
      <c r="A18" s="18"/>
      <c r="B18" s="18"/>
      <c r="C18" s="18"/>
      <c r="D18" s="18"/>
      <c r="E18" s="12" t="s">
        <v>218</v>
      </c>
      <c r="F18" s="18"/>
      <c r="G18" s="18"/>
      <c r="H18" s="18"/>
      <c r="I18" s="18"/>
      <c r="J18" s="18"/>
      <c r="K18" s="18"/>
    </row>
    <row r="19" ht="15.0" customHeight="1">
      <c r="A19" s="18"/>
      <c r="B19" s="18"/>
      <c r="C19" s="18"/>
      <c r="D19" s="18"/>
      <c r="E19" s="12" t="s">
        <v>219</v>
      </c>
      <c r="F19" s="18"/>
      <c r="G19" s="18"/>
      <c r="H19" s="18"/>
      <c r="I19" s="18"/>
      <c r="J19" s="18"/>
      <c r="K19" s="18"/>
    </row>
    <row r="20" ht="15.0" customHeight="1">
      <c r="A20" s="18"/>
      <c r="B20" s="18"/>
      <c r="C20" s="18"/>
      <c r="D20" s="18"/>
      <c r="E20" s="18"/>
      <c r="F20" s="18"/>
      <c r="G20" s="18"/>
      <c r="H20" s="18"/>
      <c r="I20" s="18"/>
      <c r="J20" s="18"/>
      <c r="K20" s="18"/>
    </row>
    <row r="21" ht="15.0" customHeight="1">
      <c r="A21" s="18"/>
      <c r="B21" s="18"/>
      <c r="C21" s="18"/>
      <c r="D21" s="18"/>
      <c r="E21" s="12" t="s">
        <v>220</v>
      </c>
      <c r="F21" s="18"/>
      <c r="G21" s="18"/>
      <c r="H21" s="18"/>
      <c r="I21" s="18"/>
      <c r="J21" s="18"/>
      <c r="K21" s="18"/>
    </row>
    <row r="22" ht="15.0" customHeight="1">
      <c r="A22" s="18"/>
      <c r="B22" s="18"/>
      <c r="C22" s="18"/>
      <c r="D22" s="18"/>
      <c r="E22" s="12" t="s">
        <v>221</v>
      </c>
      <c r="F22" s="18"/>
      <c r="G22" s="18"/>
      <c r="H22" s="18"/>
      <c r="I22" s="18"/>
      <c r="J22" s="18"/>
      <c r="K22" s="18"/>
    </row>
    <row r="23" ht="15.0" customHeight="1">
      <c r="A23" s="18"/>
      <c r="B23" s="18"/>
      <c r="C23" s="18"/>
      <c r="D23" s="18"/>
      <c r="E23" s="12" t="s">
        <v>222</v>
      </c>
      <c r="F23" s="18"/>
      <c r="G23" s="18"/>
      <c r="H23" s="18"/>
      <c r="I23" s="18"/>
      <c r="J23" s="18"/>
      <c r="K23" s="18"/>
    </row>
    <row r="24" ht="15.0" customHeight="1">
      <c r="A24" s="18"/>
      <c r="B24" s="18"/>
      <c r="C24" s="18"/>
      <c r="D24" s="18"/>
      <c r="E24" s="12" t="s">
        <v>223</v>
      </c>
      <c r="F24" s="18"/>
      <c r="G24" s="18"/>
      <c r="H24" s="18"/>
      <c r="I24" s="18"/>
      <c r="J24" s="18"/>
      <c r="K24" s="18"/>
    </row>
    <row r="25" ht="15.0" customHeight="1">
      <c r="A25" s="18"/>
      <c r="B25" s="18"/>
      <c r="C25" s="18"/>
      <c r="D25" s="18"/>
      <c r="E25" s="12" t="s">
        <v>224</v>
      </c>
      <c r="F25" s="18"/>
      <c r="G25" s="18"/>
      <c r="H25" s="18"/>
      <c r="I25" s="18"/>
      <c r="J25" s="18"/>
      <c r="K25" s="18"/>
    </row>
    <row r="26" ht="15.0" customHeight="1">
      <c r="A26" s="18"/>
      <c r="B26" s="18"/>
      <c r="C26" s="18"/>
      <c r="D26" s="18"/>
      <c r="E26" s="12" t="s">
        <v>225</v>
      </c>
      <c r="F26" s="18"/>
      <c r="G26" s="18"/>
      <c r="H26" s="18"/>
      <c r="I26" s="18"/>
      <c r="J26" s="18"/>
      <c r="K26" s="18"/>
    </row>
    <row r="27" ht="15.0" customHeight="1">
      <c r="A27" s="18"/>
      <c r="B27" s="18"/>
      <c r="C27" s="18"/>
      <c r="D27" s="18"/>
      <c r="E27" s="18"/>
      <c r="F27" s="18"/>
      <c r="G27" s="18"/>
      <c r="H27" s="18"/>
      <c r="I27" s="18"/>
      <c r="J27" s="18"/>
      <c r="K27" s="18"/>
    </row>
    <row r="28" ht="15.0" customHeight="1">
      <c r="A28" s="18"/>
      <c r="B28" s="18"/>
      <c r="C28" s="18"/>
      <c r="D28" s="18"/>
      <c r="E28" s="12" t="s">
        <v>226</v>
      </c>
      <c r="F28" s="18"/>
      <c r="G28" s="18"/>
      <c r="H28" s="18"/>
      <c r="I28" s="18"/>
      <c r="J28" s="18"/>
      <c r="K28" s="18"/>
    </row>
    <row r="29" ht="15.0" customHeight="1">
      <c r="A29" s="18"/>
      <c r="B29" s="18"/>
      <c r="C29" s="18"/>
      <c r="D29" s="18"/>
      <c r="E29" s="12" t="s">
        <v>162</v>
      </c>
      <c r="F29" s="18"/>
      <c r="G29" s="18"/>
      <c r="H29" s="18"/>
      <c r="I29" s="18"/>
      <c r="J29" s="18"/>
      <c r="K29" s="18"/>
    </row>
    <row r="30" ht="15.0" customHeight="1">
      <c r="A30" s="18"/>
      <c r="B30" s="18"/>
      <c r="C30" s="18"/>
      <c r="D30" s="18"/>
      <c r="E30" s="12" t="s">
        <v>227</v>
      </c>
      <c r="F30" s="18"/>
      <c r="G30" s="18"/>
      <c r="H30" s="18"/>
      <c r="I30" s="18"/>
      <c r="J30" s="18"/>
      <c r="K30" s="18"/>
    </row>
    <row r="31" ht="15.0" customHeight="1">
      <c r="A31" s="18"/>
      <c r="B31" s="18"/>
      <c r="C31" s="18"/>
      <c r="D31" s="18"/>
      <c r="E31" s="12" t="s">
        <v>228</v>
      </c>
      <c r="F31" s="18"/>
      <c r="G31" s="18"/>
      <c r="H31" s="18"/>
      <c r="I31" s="18"/>
      <c r="J31" s="18"/>
      <c r="K31" s="18"/>
    </row>
    <row r="32" ht="15.0" customHeight="1">
      <c r="A32" s="18"/>
      <c r="B32" s="18"/>
      <c r="C32" s="18"/>
      <c r="D32" s="18"/>
      <c r="E32" s="12" t="s">
        <v>229</v>
      </c>
      <c r="F32" s="18"/>
      <c r="G32" s="18"/>
      <c r="H32" s="18"/>
      <c r="I32" s="18"/>
      <c r="J32" s="18"/>
      <c r="K32" s="18"/>
    </row>
    <row r="33" ht="15.0" customHeight="1">
      <c r="A33" s="18"/>
      <c r="B33" s="18"/>
      <c r="C33" s="18"/>
      <c r="D33" s="18"/>
      <c r="E33" s="12" t="s">
        <v>230</v>
      </c>
      <c r="F33" s="18"/>
      <c r="G33" s="18"/>
      <c r="H33" s="18"/>
      <c r="I33" s="18"/>
      <c r="J33" s="18"/>
      <c r="K33" s="18"/>
    </row>
    <row r="34" ht="15.0" customHeight="1">
      <c r="A34" s="18"/>
      <c r="B34" s="18"/>
      <c r="C34" s="18"/>
      <c r="D34" s="18"/>
      <c r="E34" s="12" t="s">
        <v>216</v>
      </c>
      <c r="F34" s="18"/>
      <c r="G34" s="18"/>
      <c r="H34" s="18"/>
      <c r="I34" s="18"/>
      <c r="J34" s="18"/>
      <c r="K34" s="18"/>
    </row>
    <row r="35" ht="15.0" customHeight="1">
      <c r="A35" s="18"/>
      <c r="B35" s="18"/>
      <c r="C35" s="18"/>
      <c r="D35" s="18"/>
      <c r="E35" s="18"/>
      <c r="F35" s="18"/>
      <c r="G35" s="18"/>
      <c r="H35" s="18"/>
      <c r="I35" s="18"/>
      <c r="J35" s="18"/>
      <c r="K35" s="18"/>
    </row>
    <row r="36" ht="15.0" customHeight="1">
      <c r="A36" s="18"/>
      <c r="B36" s="18"/>
      <c r="C36" s="18"/>
      <c r="D36" s="18"/>
      <c r="E36" s="18"/>
      <c r="F36" s="18"/>
      <c r="G36" s="18"/>
      <c r="H36" s="18"/>
      <c r="I36" s="18"/>
      <c r="J36" s="18"/>
      <c r="K36" s="18"/>
    </row>
    <row r="37" ht="15.0" customHeight="1">
      <c r="A37" s="18"/>
      <c r="B37" s="18"/>
      <c r="C37" s="18"/>
      <c r="D37" s="18"/>
      <c r="E37" s="18"/>
      <c r="F37" s="18"/>
      <c r="G37" s="18"/>
      <c r="H37" s="18"/>
      <c r="I37" s="18"/>
      <c r="J37" s="18"/>
      <c r="K37" s="18"/>
    </row>
    <row r="38" ht="15.0" customHeight="1">
      <c r="A38" s="18"/>
      <c r="B38" s="18"/>
      <c r="C38" s="18"/>
      <c r="D38" s="18"/>
      <c r="E38" s="18"/>
      <c r="F38" s="18"/>
      <c r="G38" s="18"/>
      <c r="H38" s="18"/>
      <c r="I38" s="18"/>
      <c r="J38" s="18"/>
      <c r="K38" s="18"/>
    </row>
    <row r="39" ht="15.0" customHeight="1">
      <c r="A39" s="18"/>
      <c r="B39" s="18"/>
      <c r="C39" s="18"/>
      <c r="D39" s="18"/>
      <c r="E39" s="18"/>
      <c r="F39" s="18"/>
      <c r="G39" s="18"/>
      <c r="H39" s="18"/>
      <c r="I39" s="18"/>
      <c r="J39" s="18"/>
      <c r="K39" s="18"/>
    </row>
    <row r="40" ht="15.0" customHeight="1">
      <c r="A40" s="18"/>
      <c r="B40" s="18"/>
      <c r="C40" s="18"/>
      <c r="D40" s="18"/>
      <c r="E40" s="18"/>
      <c r="F40" s="18"/>
      <c r="G40" s="18"/>
      <c r="H40" s="18"/>
      <c r="I40" s="18"/>
      <c r="J40" s="18"/>
      <c r="K40" s="18"/>
    </row>
    <row r="41" ht="15.0" customHeight="1">
      <c r="A41" s="18"/>
      <c r="B41" s="18"/>
      <c r="C41" s="18"/>
      <c r="D41" s="18"/>
      <c r="E41" s="18"/>
      <c r="F41" s="18"/>
      <c r="G41" s="18"/>
      <c r="H41" s="18"/>
      <c r="I41" s="18"/>
      <c r="J41" s="18"/>
      <c r="K41" s="18"/>
    </row>
    <row r="42" ht="15.0" customHeight="1">
      <c r="A42" s="18"/>
      <c r="B42" s="18"/>
      <c r="C42" s="18"/>
      <c r="D42" s="18"/>
      <c r="E42" s="18"/>
      <c r="F42" s="18"/>
      <c r="G42" s="18"/>
      <c r="H42" s="18"/>
      <c r="I42" s="18"/>
      <c r="J42" s="18"/>
      <c r="K42" s="18"/>
    </row>
    <row r="43" ht="15.0" customHeight="1">
      <c r="A43" s="18"/>
      <c r="B43" s="18"/>
      <c r="C43" s="18"/>
      <c r="D43" s="18"/>
      <c r="E43" s="18"/>
      <c r="F43" s="18"/>
      <c r="G43" s="18"/>
      <c r="H43" s="18"/>
      <c r="I43" s="18"/>
      <c r="J43" s="18"/>
      <c r="K43" s="18"/>
    </row>
    <row r="44" ht="15.0" customHeight="1">
      <c r="A44" s="18"/>
      <c r="B44" s="18"/>
      <c r="C44" s="18"/>
      <c r="D44" s="18"/>
      <c r="E44" s="18"/>
      <c r="F44" s="18"/>
      <c r="G44" s="18"/>
      <c r="H44" s="18"/>
      <c r="I44" s="18"/>
      <c r="J44" s="18"/>
      <c r="K44" s="18"/>
    </row>
    <row r="45" ht="15.0" customHeight="1">
      <c r="A45" s="18"/>
      <c r="B45" s="18"/>
      <c r="C45" s="18"/>
      <c r="D45" s="18"/>
      <c r="E45" s="18"/>
      <c r="F45" s="18"/>
      <c r="G45" s="18"/>
      <c r="H45" s="18"/>
      <c r="I45" s="18"/>
      <c r="J45" s="18"/>
      <c r="K45" s="18"/>
    </row>
    <row r="46" ht="15.0" customHeight="1">
      <c r="A46" s="18"/>
      <c r="B46" s="18"/>
      <c r="C46" s="18"/>
      <c r="D46" s="18"/>
      <c r="E46" s="18"/>
      <c r="F46" s="18"/>
      <c r="G46" s="18"/>
      <c r="H46" s="18"/>
      <c r="I46" s="18"/>
      <c r="J46" s="18"/>
      <c r="K46" s="18"/>
    </row>
    <row r="47" ht="15.0" customHeight="1">
      <c r="A47" s="18"/>
      <c r="B47" s="18"/>
      <c r="C47" s="18"/>
      <c r="D47" s="18"/>
      <c r="E47" s="18"/>
      <c r="F47" s="18"/>
      <c r="G47" s="18"/>
      <c r="H47" s="18"/>
      <c r="I47" s="18"/>
      <c r="J47" s="18"/>
      <c r="K47" s="18"/>
    </row>
    <row r="48" ht="15.0" customHeight="1">
      <c r="A48" s="18"/>
      <c r="B48" s="18"/>
      <c r="C48" s="18"/>
      <c r="D48" s="18"/>
      <c r="E48" s="18"/>
      <c r="F48" s="18"/>
      <c r="G48" s="18"/>
      <c r="H48" s="18"/>
      <c r="I48" s="18"/>
      <c r="J48" s="18"/>
      <c r="K48" s="18"/>
    </row>
    <row r="49" ht="15.0" customHeight="1">
      <c r="A49" s="18"/>
      <c r="B49" s="18"/>
      <c r="C49" s="18"/>
      <c r="D49" s="18"/>
      <c r="E49" s="18"/>
      <c r="F49" s="18"/>
      <c r="G49" s="18"/>
      <c r="H49" s="18"/>
      <c r="I49" s="18"/>
      <c r="J49" s="18"/>
      <c r="K49" s="18"/>
    </row>
    <row r="50" ht="15.0" customHeight="1">
      <c r="A50" s="18"/>
      <c r="B50" s="18"/>
      <c r="C50" s="18"/>
      <c r="D50" s="18"/>
      <c r="E50" s="18"/>
      <c r="F50" s="18"/>
      <c r="G50" s="18"/>
      <c r="H50" s="18"/>
      <c r="I50" s="18"/>
      <c r="J50" s="18"/>
      <c r="K50" s="18"/>
    </row>
    <row r="51" ht="15.0" customHeight="1">
      <c r="A51" s="18"/>
      <c r="B51" s="18"/>
      <c r="C51" s="18"/>
      <c r="D51" s="18"/>
      <c r="E51" s="18"/>
      <c r="F51" s="18"/>
      <c r="G51" s="18"/>
      <c r="H51" s="18"/>
      <c r="I51" s="18"/>
      <c r="J51" s="18"/>
      <c r="K51" s="18"/>
    </row>
  </sheetData>
  <mergeCells count="2">
    <mergeCell ref="D2:E2"/>
    <mergeCell ref="D3:E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6" max="6" width="17.13"/>
    <col customWidth="1" min="7" max="7" width="36.13"/>
    <col customWidth="1" min="8" max="8" width="23.13"/>
    <col customWidth="1" min="10" max="10" width="2.63"/>
  </cols>
  <sheetData>
    <row r="1">
      <c r="A1" s="41"/>
      <c r="B1" s="42"/>
      <c r="C1" s="42"/>
      <c r="D1" s="42"/>
      <c r="E1" s="42"/>
      <c r="F1" s="44"/>
      <c r="G1" s="44"/>
      <c r="H1" s="44"/>
      <c r="I1" s="41"/>
      <c r="J1" s="41"/>
    </row>
    <row r="2">
      <c r="A2" s="46"/>
      <c r="B2" s="35" t="s">
        <v>52</v>
      </c>
      <c r="C2" s="47" t="s">
        <v>53</v>
      </c>
      <c r="D2" s="48"/>
      <c r="E2" s="64"/>
      <c r="F2" s="64"/>
      <c r="G2" s="65"/>
      <c r="H2" s="65"/>
      <c r="I2" s="50"/>
      <c r="J2" s="41"/>
    </row>
    <row r="3">
      <c r="A3" s="46"/>
      <c r="B3" s="51" t="s">
        <v>40</v>
      </c>
      <c r="C3" s="75" t="s">
        <v>81</v>
      </c>
      <c r="D3" s="48"/>
      <c r="E3" s="64"/>
      <c r="F3" s="64"/>
      <c r="G3" s="65"/>
      <c r="H3" s="65"/>
      <c r="I3" s="50"/>
      <c r="J3" s="41"/>
    </row>
    <row r="4">
      <c r="A4" s="41"/>
      <c r="B4" s="53"/>
      <c r="C4" s="53"/>
      <c r="D4" s="53"/>
      <c r="E4" s="53"/>
      <c r="F4" s="56"/>
      <c r="G4" s="56"/>
      <c r="H4" s="56"/>
      <c r="I4" s="54"/>
      <c r="J4" s="41"/>
    </row>
    <row r="5">
      <c r="A5" s="46"/>
      <c r="B5" s="35" t="s">
        <v>11</v>
      </c>
      <c r="C5" s="35" t="s">
        <v>6</v>
      </c>
      <c r="D5" s="35" t="s">
        <v>59</v>
      </c>
      <c r="E5" s="35" t="s">
        <v>60</v>
      </c>
      <c r="F5" s="59" t="s">
        <v>8</v>
      </c>
      <c r="G5" s="59" t="s">
        <v>9</v>
      </c>
      <c r="H5" s="59" t="s">
        <v>10</v>
      </c>
      <c r="I5" s="35" t="s">
        <v>62</v>
      </c>
      <c r="J5" s="124"/>
    </row>
    <row r="6">
      <c r="A6" s="46"/>
      <c r="B6" s="51" t="s">
        <v>63</v>
      </c>
      <c r="C6" s="51">
        <v>1.0</v>
      </c>
      <c r="D6" s="51">
        <v>2.0</v>
      </c>
      <c r="E6" s="135">
        <v>45692.0</v>
      </c>
      <c r="F6" s="60" t="s">
        <v>231</v>
      </c>
      <c r="G6" s="60" t="s">
        <v>86</v>
      </c>
      <c r="H6" s="60" t="s">
        <v>87</v>
      </c>
      <c r="I6" s="69">
        <f>1+1</f>
        <v>2</v>
      </c>
      <c r="J6" s="136"/>
    </row>
    <row r="7">
      <c r="A7" s="46"/>
      <c r="B7" s="51" t="s">
        <v>67</v>
      </c>
      <c r="C7" s="51">
        <v>2.0</v>
      </c>
      <c r="D7" s="51">
        <v>3.0</v>
      </c>
      <c r="E7" s="135">
        <v>45721.0</v>
      </c>
      <c r="F7" s="60" t="s">
        <v>231</v>
      </c>
      <c r="G7" s="60" t="s">
        <v>232</v>
      </c>
      <c r="H7" s="137"/>
      <c r="I7" s="51">
        <v>4.0</v>
      </c>
      <c r="J7" s="136"/>
    </row>
    <row r="8">
      <c r="A8" s="46"/>
      <c r="B8" s="51" t="s">
        <v>71</v>
      </c>
      <c r="C8" s="51">
        <v>2.0</v>
      </c>
      <c r="D8" s="51">
        <v>4.0</v>
      </c>
      <c r="E8" s="135">
        <v>45752.0</v>
      </c>
      <c r="F8" s="60" t="s">
        <v>92</v>
      </c>
      <c r="G8" s="60" t="s">
        <v>93</v>
      </c>
      <c r="H8" s="60" t="s">
        <v>66</v>
      </c>
      <c r="I8" s="51">
        <v>6.0</v>
      </c>
      <c r="J8" s="136"/>
    </row>
    <row r="9">
      <c r="A9" s="46"/>
      <c r="B9" s="51" t="s">
        <v>74</v>
      </c>
      <c r="C9" s="51">
        <v>2.0</v>
      </c>
      <c r="D9" s="51">
        <v>5.0</v>
      </c>
      <c r="E9" s="135">
        <v>45780.0</v>
      </c>
      <c r="F9" s="60" t="s">
        <v>231</v>
      </c>
      <c r="G9" s="60" t="s">
        <v>96</v>
      </c>
      <c r="H9" s="60" t="s">
        <v>97</v>
      </c>
      <c r="I9" s="51">
        <v>10.0</v>
      </c>
      <c r="J9" s="136"/>
    </row>
    <row r="10">
      <c r="A10" s="46"/>
      <c r="B10" s="51" t="s">
        <v>78</v>
      </c>
      <c r="C10" s="51">
        <v>2.0</v>
      </c>
      <c r="D10" s="51">
        <v>6.0</v>
      </c>
      <c r="E10" s="135">
        <v>45810.0</v>
      </c>
      <c r="F10" s="60" t="s">
        <v>233</v>
      </c>
      <c r="G10" s="60" t="s">
        <v>100</v>
      </c>
      <c r="H10" s="60" t="s">
        <v>73</v>
      </c>
      <c r="I10" s="51">
        <v>12.0</v>
      </c>
      <c r="J10" s="136"/>
    </row>
    <row r="11">
      <c r="A11" s="41"/>
      <c r="B11" s="114"/>
      <c r="C11" s="114"/>
      <c r="D11" s="114"/>
      <c r="E11" s="138"/>
      <c r="F11" s="139"/>
      <c r="G11" s="139"/>
      <c r="H11" s="139"/>
      <c r="I11" s="114"/>
      <c r="J11" s="41"/>
    </row>
  </sheetData>
  <mergeCells count="2">
    <mergeCell ref="C2:D2"/>
    <mergeCell ref="C3:D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9.5"/>
    <col customWidth="1" min="3" max="3" width="21.25"/>
    <col customWidth="1" min="4" max="4" width="20.38"/>
    <col customWidth="1" min="5" max="5" width="38.13"/>
    <col customWidth="1" min="6" max="6" width="59.5"/>
    <col customWidth="1" min="7" max="7" width="29.38"/>
    <col customWidth="1" min="8" max="8" width="26.75"/>
    <col customWidth="1" min="9" max="9" width="26.0"/>
    <col customWidth="1" min="10" max="10" width="37.0"/>
  </cols>
  <sheetData>
    <row r="1">
      <c r="A1" s="41"/>
      <c r="B1" s="42"/>
      <c r="C1" s="42"/>
      <c r="D1" s="42"/>
      <c r="E1" s="42"/>
      <c r="F1" s="42"/>
      <c r="G1" s="41"/>
      <c r="H1" s="41"/>
      <c r="I1" s="41"/>
      <c r="J1" s="41"/>
      <c r="K1" s="18"/>
      <c r="L1" s="18"/>
    </row>
    <row r="2">
      <c r="A2" s="46"/>
      <c r="B2" s="35" t="s">
        <v>52</v>
      </c>
      <c r="C2" s="47" t="s">
        <v>53</v>
      </c>
      <c r="D2" s="48"/>
      <c r="E2" s="74"/>
      <c r="F2" s="64"/>
      <c r="G2" s="64"/>
      <c r="H2" s="50"/>
      <c r="I2" s="50"/>
      <c r="J2" s="41"/>
      <c r="K2" s="12"/>
      <c r="L2" s="12"/>
    </row>
    <row r="3">
      <c r="A3" s="46"/>
      <c r="B3" s="51" t="s">
        <v>27</v>
      </c>
      <c r="C3" s="75" t="s">
        <v>101</v>
      </c>
      <c r="D3" s="48"/>
      <c r="E3" s="74"/>
      <c r="G3" s="64"/>
      <c r="H3" s="50"/>
      <c r="I3" s="50"/>
      <c r="J3" s="41"/>
      <c r="K3" s="12"/>
      <c r="L3" s="12"/>
    </row>
    <row r="4">
      <c r="A4" s="41"/>
      <c r="B4" s="53"/>
      <c r="C4" s="53"/>
      <c r="D4" s="54"/>
      <c r="E4" s="66"/>
      <c r="F4" s="64"/>
      <c r="G4" s="56"/>
      <c r="H4" s="54"/>
      <c r="I4" s="54"/>
      <c r="J4" s="41"/>
      <c r="K4" s="12"/>
      <c r="L4" s="12"/>
    </row>
    <row r="5">
      <c r="A5" s="46"/>
      <c r="B5" s="35" t="s">
        <v>11</v>
      </c>
      <c r="C5" s="35" t="s">
        <v>6</v>
      </c>
      <c r="D5" s="35" t="s">
        <v>59</v>
      </c>
      <c r="E5" s="67" t="s">
        <v>60</v>
      </c>
      <c r="F5" s="59" t="s">
        <v>8</v>
      </c>
      <c r="G5" s="59" t="s">
        <v>9</v>
      </c>
      <c r="H5" s="58" t="s">
        <v>10</v>
      </c>
      <c r="I5" s="35" t="s">
        <v>62</v>
      </c>
      <c r="J5" s="58" t="s">
        <v>12</v>
      </c>
      <c r="K5" s="140"/>
      <c r="L5" s="140"/>
    </row>
    <row r="6">
      <c r="A6" s="46"/>
      <c r="B6" s="51" t="s">
        <v>63</v>
      </c>
      <c r="C6" s="51">
        <v>2.0</v>
      </c>
      <c r="D6" s="51">
        <v>2.0</v>
      </c>
      <c r="E6" s="68" t="s">
        <v>234</v>
      </c>
      <c r="F6" s="60" t="s">
        <v>104</v>
      </c>
      <c r="G6" s="60" t="s">
        <v>105</v>
      </c>
      <c r="H6" s="51" t="s">
        <v>106</v>
      </c>
      <c r="I6" s="77" t="s">
        <v>77</v>
      </c>
      <c r="J6" s="78"/>
      <c r="K6" s="12"/>
      <c r="L6" s="12"/>
    </row>
    <row r="7">
      <c r="A7" s="46"/>
      <c r="B7" s="51" t="s">
        <v>67</v>
      </c>
      <c r="C7" s="51">
        <v>2.0</v>
      </c>
      <c r="D7" s="51">
        <v>4.0</v>
      </c>
      <c r="E7" s="68" t="s">
        <v>235</v>
      </c>
      <c r="F7" s="60" t="s">
        <v>107</v>
      </c>
      <c r="G7" s="60" t="s">
        <v>108</v>
      </c>
      <c r="H7" s="51" t="s">
        <v>109</v>
      </c>
      <c r="I7" s="77" t="s">
        <v>77</v>
      </c>
      <c r="J7" s="51" t="s">
        <v>110</v>
      </c>
      <c r="K7" s="12"/>
      <c r="L7" s="12"/>
    </row>
    <row r="8">
      <c r="A8" s="46"/>
      <c r="B8" s="51" t="s">
        <v>71</v>
      </c>
      <c r="C8" s="51">
        <v>3.0</v>
      </c>
      <c r="D8" s="51">
        <v>5.0</v>
      </c>
      <c r="E8" s="68" t="s">
        <v>236</v>
      </c>
      <c r="F8" s="60" t="s">
        <v>72</v>
      </c>
      <c r="G8" s="60" t="s">
        <v>58</v>
      </c>
      <c r="H8" s="51" t="s">
        <v>111</v>
      </c>
      <c r="I8" s="77" t="s">
        <v>77</v>
      </c>
      <c r="J8" s="77" t="s">
        <v>112</v>
      </c>
      <c r="K8" s="12"/>
      <c r="L8" s="12"/>
    </row>
    <row r="9">
      <c r="A9" s="41"/>
      <c r="B9" s="51" t="s">
        <v>74</v>
      </c>
      <c r="C9" s="51">
        <v>4.0</v>
      </c>
      <c r="D9" s="51">
        <v>6.0</v>
      </c>
      <c r="E9" s="68" t="s">
        <v>237</v>
      </c>
      <c r="F9" s="60" t="s">
        <v>114</v>
      </c>
      <c r="G9" s="60" t="s">
        <v>58</v>
      </c>
      <c r="H9" s="51" t="s">
        <v>115</v>
      </c>
      <c r="I9" s="77" t="s">
        <v>77</v>
      </c>
      <c r="J9" s="77" t="s">
        <v>116</v>
      </c>
      <c r="K9" s="12"/>
      <c r="L9" s="12"/>
    </row>
    <row r="10">
      <c r="A10" s="18"/>
      <c r="B10" s="77" t="s">
        <v>78</v>
      </c>
      <c r="C10" s="77">
        <v>4.0</v>
      </c>
      <c r="D10" s="77">
        <v>7.0</v>
      </c>
      <c r="E10" s="79" t="s">
        <v>238</v>
      </c>
      <c r="F10" s="80" t="s">
        <v>117</v>
      </c>
      <c r="G10" s="80" t="s">
        <v>58</v>
      </c>
      <c r="H10" s="78"/>
      <c r="I10" s="77" t="s">
        <v>77</v>
      </c>
      <c r="J10" s="77" t="s">
        <v>118</v>
      </c>
      <c r="K10" s="141"/>
      <c r="L10" s="141"/>
    </row>
    <row r="11">
      <c r="A11" s="18"/>
      <c r="B11" s="141"/>
      <c r="C11" s="141"/>
      <c r="D11" s="141"/>
      <c r="E11" s="142"/>
      <c r="F11" s="141"/>
      <c r="G11" s="143"/>
      <c r="H11" s="143"/>
      <c r="I11" s="143"/>
      <c r="J11" s="143"/>
      <c r="K11" s="141"/>
      <c r="L11" s="141"/>
    </row>
    <row r="12">
      <c r="A12" s="18"/>
      <c r="B12" s="144" t="s">
        <v>239</v>
      </c>
      <c r="C12" s="144"/>
      <c r="D12" s="144"/>
      <c r="E12" s="144"/>
      <c r="F12" s="145"/>
      <c r="G12" s="146" t="s">
        <v>240</v>
      </c>
      <c r="H12" s="146" t="s">
        <v>241</v>
      </c>
      <c r="I12" s="147" t="s">
        <v>242</v>
      </c>
      <c r="K12" s="141"/>
      <c r="L12" s="141"/>
    </row>
    <row r="13">
      <c r="A13" s="18"/>
      <c r="B13" s="148" t="s">
        <v>243</v>
      </c>
      <c r="C13" s="148" t="s">
        <v>244</v>
      </c>
      <c r="D13" s="148" t="s">
        <v>245</v>
      </c>
      <c r="E13" s="148" t="s">
        <v>246</v>
      </c>
      <c r="F13" s="149"/>
      <c r="G13" s="150" t="s">
        <v>243</v>
      </c>
      <c r="H13" s="150" t="s">
        <v>247</v>
      </c>
      <c r="I13" s="151" t="s">
        <v>248</v>
      </c>
      <c r="K13" s="141"/>
      <c r="L13" s="141"/>
    </row>
    <row r="14">
      <c r="A14" s="18"/>
      <c r="B14" s="152">
        <v>1.0</v>
      </c>
      <c r="C14" s="151" t="s">
        <v>249</v>
      </c>
      <c r="D14" s="152" t="s">
        <v>250</v>
      </c>
      <c r="E14" s="151" t="s">
        <v>251</v>
      </c>
      <c r="F14" s="150"/>
      <c r="G14" s="153" t="s">
        <v>244</v>
      </c>
      <c r="H14" s="153" t="s">
        <v>252</v>
      </c>
      <c r="I14" s="149" t="s">
        <v>253</v>
      </c>
      <c r="K14" s="141"/>
      <c r="L14" s="141"/>
    </row>
    <row r="15">
      <c r="A15" s="18"/>
      <c r="B15" s="148">
        <v>2.0</v>
      </c>
      <c r="C15" s="149" t="s">
        <v>254</v>
      </c>
      <c r="D15" s="148" t="s">
        <v>250</v>
      </c>
      <c r="E15" s="149" t="s">
        <v>255</v>
      </c>
      <c r="F15" s="153"/>
      <c r="G15" s="150" t="s">
        <v>256</v>
      </c>
      <c r="H15" s="150" t="s">
        <v>257</v>
      </c>
      <c r="I15" s="151" t="s">
        <v>258</v>
      </c>
      <c r="K15" s="141"/>
      <c r="L15" s="141"/>
    </row>
    <row r="16">
      <c r="A16" s="18"/>
      <c r="B16" s="152">
        <v>3.0</v>
      </c>
      <c r="C16" s="151" t="s">
        <v>259</v>
      </c>
      <c r="D16" s="152" t="s">
        <v>250</v>
      </c>
      <c r="E16" s="151" t="s">
        <v>260</v>
      </c>
      <c r="F16" s="150"/>
      <c r="G16" s="153" t="s">
        <v>245</v>
      </c>
      <c r="H16" s="153" t="s">
        <v>261</v>
      </c>
      <c r="I16" s="149" t="s">
        <v>258</v>
      </c>
      <c r="K16" s="141"/>
      <c r="L16" s="141"/>
    </row>
    <row r="17">
      <c r="A17" s="18"/>
      <c r="B17" s="148">
        <v>4.0</v>
      </c>
      <c r="C17" s="149" t="s">
        <v>262</v>
      </c>
      <c r="D17" s="148" t="s">
        <v>250</v>
      </c>
      <c r="E17" s="149" t="s">
        <v>263</v>
      </c>
      <c r="F17" s="153"/>
      <c r="G17" s="150" t="s">
        <v>264</v>
      </c>
      <c r="H17" s="150" t="s">
        <v>265</v>
      </c>
      <c r="I17" s="151" t="s">
        <v>258</v>
      </c>
      <c r="K17" s="141"/>
      <c r="L17" s="141"/>
    </row>
    <row r="18">
      <c r="A18" s="18"/>
      <c r="B18" s="152">
        <v>5.0</v>
      </c>
      <c r="C18" s="151" t="s">
        <v>266</v>
      </c>
      <c r="D18" s="152" t="s">
        <v>250</v>
      </c>
      <c r="E18" s="151" t="s">
        <v>267</v>
      </c>
      <c r="F18" s="150"/>
      <c r="G18" s="153" t="s">
        <v>268</v>
      </c>
      <c r="H18" s="153" t="s">
        <v>269</v>
      </c>
      <c r="I18" s="149" t="s">
        <v>258</v>
      </c>
      <c r="K18" s="141"/>
      <c r="L18" s="141"/>
    </row>
    <row r="19">
      <c r="A19" s="18"/>
      <c r="B19" s="148">
        <v>6.0</v>
      </c>
      <c r="C19" s="149" t="s">
        <v>270</v>
      </c>
      <c r="D19" s="148" t="s">
        <v>148</v>
      </c>
      <c r="E19" s="149" t="s">
        <v>271</v>
      </c>
      <c r="F19" s="153"/>
      <c r="G19" s="150" t="s">
        <v>272</v>
      </c>
      <c r="H19" s="150" t="s">
        <v>273</v>
      </c>
      <c r="I19" s="151" t="s">
        <v>253</v>
      </c>
      <c r="K19" s="141"/>
      <c r="L19" s="141"/>
    </row>
    <row r="20">
      <c r="A20" s="18"/>
      <c r="B20" s="154">
        <v>7.0</v>
      </c>
      <c r="C20" s="150" t="s">
        <v>274</v>
      </c>
      <c r="D20" s="154" t="s">
        <v>148</v>
      </c>
      <c r="E20" s="155" t="s">
        <v>275</v>
      </c>
      <c r="F20" s="150"/>
      <c r="G20" s="149" t="s">
        <v>246</v>
      </c>
      <c r="H20" s="149" t="s">
        <v>276</v>
      </c>
      <c r="I20" s="149" t="s">
        <v>253</v>
      </c>
      <c r="K20" s="141"/>
      <c r="L20" s="141"/>
    </row>
    <row r="21">
      <c r="A21" s="18"/>
      <c r="B21" s="141"/>
      <c r="C21" s="141"/>
      <c r="D21" s="141"/>
      <c r="E21" s="142"/>
      <c r="F21" s="141"/>
      <c r="K21" s="141"/>
      <c r="L21" s="141"/>
    </row>
    <row r="22">
      <c r="A22" s="18"/>
      <c r="B22" s="143" t="s">
        <v>243</v>
      </c>
      <c r="C22" s="143" t="s">
        <v>244</v>
      </c>
      <c r="D22" s="143" t="s">
        <v>256</v>
      </c>
      <c r="E22" s="143" t="s">
        <v>245</v>
      </c>
      <c r="F22" s="143" t="s">
        <v>264</v>
      </c>
      <c r="G22" s="143" t="s">
        <v>268</v>
      </c>
      <c r="H22" s="143" t="s">
        <v>272</v>
      </c>
      <c r="I22" s="148" t="s">
        <v>246</v>
      </c>
      <c r="J22" s="141"/>
    </row>
    <row r="23">
      <c r="A23" s="18"/>
      <c r="B23" s="156">
        <v>1.0</v>
      </c>
      <c r="C23" s="156" t="s">
        <v>249</v>
      </c>
      <c r="D23" s="156" t="s">
        <v>277</v>
      </c>
      <c r="E23" s="156" t="s">
        <v>250</v>
      </c>
      <c r="F23" s="156" t="s">
        <v>277</v>
      </c>
      <c r="G23" s="156" t="s">
        <v>278</v>
      </c>
      <c r="H23" s="156" t="s">
        <v>279</v>
      </c>
      <c r="I23" s="151" t="s">
        <v>251</v>
      </c>
      <c r="J23" s="141"/>
    </row>
    <row r="24">
      <c r="A24" s="18"/>
      <c r="B24" s="156">
        <v>2.0</v>
      </c>
      <c r="C24" s="156" t="s">
        <v>254</v>
      </c>
      <c r="D24" s="156" t="s">
        <v>280</v>
      </c>
      <c r="E24" s="156" t="s">
        <v>250</v>
      </c>
      <c r="F24" s="156" t="s">
        <v>280</v>
      </c>
      <c r="G24" s="156" t="s">
        <v>278</v>
      </c>
      <c r="H24" s="156" t="s">
        <v>281</v>
      </c>
      <c r="I24" s="149" t="s">
        <v>255</v>
      </c>
      <c r="J24" s="141"/>
    </row>
    <row r="25">
      <c r="A25" s="18"/>
      <c r="B25" s="156">
        <v>3.0</v>
      </c>
      <c r="C25" s="156" t="s">
        <v>259</v>
      </c>
      <c r="D25" s="156" t="s">
        <v>282</v>
      </c>
      <c r="E25" s="156" t="s">
        <v>250</v>
      </c>
      <c r="F25" s="156" t="s">
        <v>280</v>
      </c>
      <c r="G25" s="156" t="s">
        <v>278</v>
      </c>
      <c r="H25" s="156" t="s">
        <v>283</v>
      </c>
      <c r="I25" s="151" t="s">
        <v>260</v>
      </c>
      <c r="J25" s="141"/>
    </row>
    <row r="26">
      <c r="A26" s="18"/>
      <c r="B26" s="156">
        <v>4.0</v>
      </c>
      <c r="C26" s="156" t="s">
        <v>262</v>
      </c>
      <c r="D26" s="156" t="s">
        <v>280</v>
      </c>
      <c r="E26" s="156" t="s">
        <v>250</v>
      </c>
      <c r="F26" s="156" t="s">
        <v>280</v>
      </c>
      <c r="G26" s="156" t="s">
        <v>284</v>
      </c>
      <c r="H26" s="156" t="s">
        <v>285</v>
      </c>
      <c r="I26" s="149" t="s">
        <v>263</v>
      </c>
      <c r="J26" s="141"/>
    </row>
    <row r="27">
      <c r="A27" s="18"/>
      <c r="B27" s="156">
        <v>5.0</v>
      </c>
      <c r="C27" s="156" t="s">
        <v>266</v>
      </c>
      <c r="D27" s="156" t="s">
        <v>280</v>
      </c>
      <c r="E27" s="156" t="s">
        <v>250</v>
      </c>
      <c r="F27" s="156" t="s">
        <v>280</v>
      </c>
      <c r="G27" s="156" t="s">
        <v>278</v>
      </c>
      <c r="H27" s="156" t="s">
        <v>286</v>
      </c>
      <c r="I27" s="151" t="s">
        <v>267</v>
      </c>
      <c r="J27" s="141"/>
    </row>
    <row r="28">
      <c r="A28" s="18"/>
      <c r="B28" s="156">
        <v>6.0</v>
      </c>
      <c r="C28" s="156" t="s">
        <v>270</v>
      </c>
      <c r="D28" s="156" t="s">
        <v>280</v>
      </c>
      <c r="E28" s="156" t="s">
        <v>148</v>
      </c>
      <c r="F28" s="156" t="s">
        <v>280</v>
      </c>
      <c r="G28" s="156" t="s">
        <v>278</v>
      </c>
      <c r="H28" s="156" t="s">
        <v>287</v>
      </c>
      <c r="I28" s="149" t="s">
        <v>271</v>
      </c>
      <c r="J28" s="141"/>
    </row>
    <row r="29">
      <c r="A29" s="18"/>
      <c r="B29" s="156">
        <v>7.0</v>
      </c>
      <c r="C29" s="156" t="s">
        <v>274</v>
      </c>
      <c r="D29" s="156" t="s">
        <v>280</v>
      </c>
      <c r="E29" s="156" t="s">
        <v>148</v>
      </c>
      <c r="F29" s="156" t="s">
        <v>280</v>
      </c>
      <c r="G29" s="156" t="s">
        <v>288</v>
      </c>
      <c r="H29" s="156"/>
      <c r="I29" s="155" t="s">
        <v>275</v>
      </c>
      <c r="J29" s="141"/>
    </row>
    <row r="30">
      <c r="A30" s="18"/>
      <c r="B30" s="141"/>
      <c r="C30" s="141"/>
      <c r="D30" s="141"/>
      <c r="E30" s="142"/>
      <c r="F30" s="141"/>
      <c r="G30" s="157"/>
      <c r="H30" s="141"/>
      <c r="J30" s="141"/>
      <c r="K30" s="141"/>
      <c r="L30" s="141"/>
    </row>
  </sheetData>
  <mergeCells count="2">
    <mergeCell ref="C2:D2"/>
    <mergeCell ref="C3:D3"/>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12" max="12" width="2.63"/>
  </cols>
  <sheetData>
    <row r="1">
      <c r="A1" s="41"/>
      <c r="B1" s="42"/>
      <c r="C1" s="42"/>
      <c r="D1" s="41"/>
      <c r="E1" s="41"/>
      <c r="F1" s="41"/>
      <c r="G1" s="41"/>
      <c r="H1" s="41"/>
      <c r="I1" s="41"/>
      <c r="J1" s="41"/>
      <c r="K1" s="41"/>
      <c r="L1" s="41"/>
    </row>
    <row r="2">
      <c r="A2" s="46"/>
      <c r="B2" s="35" t="s">
        <v>52</v>
      </c>
      <c r="C2" s="47" t="s">
        <v>53</v>
      </c>
      <c r="D2" s="48"/>
      <c r="E2" s="41"/>
      <c r="F2" s="50"/>
      <c r="G2" s="50"/>
      <c r="H2" s="50"/>
      <c r="I2" s="50"/>
      <c r="J2" s="50"/>
      <c r="K2" s="50"/>
      <c r="L2" s="41"/>
    </row>
    <row r="3">
      <c r="A3" s="46"/>
      <c r="B3" s="51"/>
      <c r="C3" s="75"/>
      <c r="D3" s="48"/>
      <c r="E3" s="50"/>
      <c r="F3" s="50"/>
      <c r="G3" s="50"/>
      <c r="H3" s="50"/>
      <c r="I3" s="50"/>
      <c r="J3" s="50"/>
      <c r="K3" s="50"/>
      <c r="L3" s="41"/>
    </row>
    <row r="4">
      <c r="A4" s="41"/>
      <c r="B4" s="53"/>
      <c r="C4" s="53"/>
      <c r="D4" s="54"/>
      <c r="E4" s="50"/>
      <c r="F4" s="54"/>
      <c r="G4" s="54"/>
      <c r="H4" s="54"/>
      <c r="I4" s="54"/>
      <c r="J4" s="54"/>
      <c r="K4" s="54"/>
      <c r="L4" s="41"/>
    </row>
    <row r="5">
      <c r="A5" s="46"/>
      <c r="B5" s="35" t="s">
        <v>11</v>
      </c>
      <c r="C5" s="58" t="s">
        <v>4</v>
      </c>
      <c r="D5" s="58" t="s">
        <v>5</v>
      </c>
      <c r="E5" s="58" t="s">
        <v>6</v>
      </c>
      <c r="F5" s="58" t="s">
        <v>7</v>
      </c>
      <c r="G5" s="58" t="s">
        <v>8</v>
      </c>
      <c r="H5" s="58" t="s">
        <v>9</v>
      </c>
      <c r="I5" s="58" t="s">
        <v>10</v>
      </c>
      <c r="J5" s="58" t="s">
        <v>11</v>
      </c>
      <c r="K5" s="58" t="s">
        <v>12</v>
      </c>
      <c r="L5" s="124"/>
    </row>
    <row r="6">
      <c r="A6" s="46"/>
      <c r="B6" s="51" t="s">
        <v>63</v>
      </c>
      <c r="C6" s="69"/>
      <c r="D6" s="69"/>
      <c r="E6" s="69"/>
      <c r="F6" s="69"/>
      <c r="G6" s="69"/>
      <c r="H6" s="69"/>
      <c r="I6" s="69"/>
      <c r="J6" s="69"/>
      <c r="K6" s="69"/>
      <c r="L6" s="124"/>
    </row>
    <row r="7">
      <c r="A7" s="46"/>
      <c r="B7" s="51" t="s">
        <v>67</v>
      </c>
      <c r="C7" s="69"/>
      <c r="D7" s="69"/>
      <c r="E7" s="69"/>
      <c r="F7" s="69"/>
      <c r="G7" s="69"/>
      <c r="H7" s="69"/>
      <c r="I7" s="69"/>
      <c r="J7" s="69"/>
      <c r="K7" s="69"/>
      <c r="L7" s="124"/>
    </row>
    <row r="8">
      <c r="A8" s="46"/>
      <c r="B8" s="51" t="s">
        <v>71</v>
      </c>
      <c r="C8" s="69"/>
      <c r="D8" s="69"/>
      <c r="E8" s="69"/>
      <c r="F8" s="69"/>
      <c r="G8" s="69"/>
      <c r="H8" s="69"/>
      <c r="I8" s="69"/>
      <c r="J8" s="69"/>
      <c r="K8" s="69"/>
      <c r="L8" s="124"/>
    </row>
    <row r="9">
      <c r="A9" s="46"/>
      <c r="B9" s="51" t="s">
        <v>74</v>
      </c>
      <c r="C9" s="69"/>
      <c r="D9" s="69"/>
      <c r="E9" s="69"/>
      <c r="F9" s="69"/>
      <c r="G9" s="69"/>
      <c r="H9" s="69"/>
      <c r="I9" s="69"/>
      <c r="J9" s="69"/>
      <c r="K9" s="69"/>
      <c r="L9" s="124"/>
    </row>
    <row r="10">
      <c r="A10" s="46"/>
      <c r="B10" s="51" t="s">
        <v>78</v>
      </c>
      <c r="C10" s="69"/>
      <c r="D10" s="69"/>
      <c r="E10" s="69"/>
      <c r="F10" s="69"/>
      <c r="G10" s="69"/>
      <c r="H10" s="69"/>
      <c r="I10" s="69"/>
      <c r="J10" s="69"/>
      <c r="K10" s="69"/>
      <c r="L10" s="124"/>
    </row>
    <row r="11">
      <c r="A11" s="41"/>
      <c r="B11" s="114"/>
      <c r="C11" s="114"/>
      <c r="D11" s="114"/>
      <c r="E11" s="114"/>
      <c r="F11" s="114"/>
      <c r="G11" s="114"/>
      <c r="H11" s="114"/>
      <c r="I11" s="114"/>
      <c r="J11" s="114"/>
      <c r="K11" s="114"/>
      <c r="L11" s="41"/>
    </row>
  </sheetData>
  <mergeCells count="2">
    <mergeCell ref="C2:D2"/>
    <mergeCell ref="C3:D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6" max="6" width="50.25"/>
    <col customWidth="1" min="7" max="7" width="33.5"/>
    <col customWidth="1" min="8" max="8" width="41.13"/>
    <col customWidth="1" min="10" max="10" width="26.38"/>
    <col customWidth="1" min="11" max="11" width="2.63"/>
  </cols>
  <sheetData>
    <row r="1">
      <c r="A1" s="41"/>
      <c r="B1" s="42"/>
      <c r="C1" s="42"/>
      <c r="D1" s="42"/>
      <c r="E1" s="41"/>
      <c r="F1" s="41"/>
      <c r="G1" s="41"/>
      <c r="H1" s="41"/>
      <c r="I1" s="41"/>
      <c r="J1" s="41"/>
      <c r="K1" s="41"/>
    </row>
    <row r="2">
      <c r="A2" s="46"/>
      <c r="B2" s="35" t="s">
        <v>52</v>
      </c>
      <c r="C2" s="47" t="s">
        <v>53</v>
      </c>
      <c r="D2" s="48"/>
      <c r="E2" s="50"/>
      <c r="F2" s="50"/>
      <c r="G2" s="50"/>
      <c r="H2" s="50"/>
      <c r="I2" s="50"/>
      <c r="J2" s="50"/>
      <c r="K2" s="41"/>
    </row>
    <row r="3">
      <c r="A3" s="46"/>
      <c r="B3" s="51" t="s">
        <v>14</v>
      </c>
      <c r="C3" s="75" t="s">
        <v>289</v>
      </c>
      <c r="D3" s="48"/>
      <c r="E3" s="50"/>
      <c r="F3" s="50"/>
      <c r="G3" s="50"/>
      <c r="H3" s="50"/>
      <c r="I3" s="50"/>
      <c r="J3" s="50"/>
      <c r="K3" s="41"/>
    </row>
    <row r="4">
      <c r="A4" s="41"/>
      <c r="B4" s="53"/>
      <c r="C4" s="53"/>
      <c r="D4" s="54"/>
      <c r="E4" s="54"/>
      <c r="F4" s="54"/>
      <c r="G4" s="54"/>
      <c r="H4" s="54"/>
      <c r="I4" s="54"/>
      <c r="J4" s="54"/>
      <c r="K4" s="41"/>
    </row>
    <row r="5">
      <c r="A5" s="46"/>
      <c r="B5" s="35" t="s">
        <v>11</v>
      </c>
      <c r="C5" s="35" t="s">
        <v>6</v>
      </c>
      <c r="D5" s="35" t="s">
        <v>59</v>
      </c>
      <c r="E5" s="35" t="s">
        <v>60</v>
      </c>
      <c r="F5" s="58" t="s">
        <v>8</v>
      </c>
      <c r="G5" s="58" t="s">
        <v>9</v>
      </c>
      <c r="H5" s="58" t="s">
        <v>10</v>
      </c>
      <c r="I5" s="35" t="s">
        <v>62</v>
      </c>
      <c r="J5" s="58" t="s">
        <v>12</v>
      </c>
      <c r="K5" s="124"/>
    </row>
    <row r="6">
      <c r="A6" s="46"/>
      <c r="B6" s="51" t="s">
        <v>63</v>
      </c>
      <c r="C6" s="51">
        <v>2.0</v>
      </c>
      <c r="D6" s="51">
        <v>3.0</v>
      </c>
      <c r="E6" s="135">
        <v>45718.0</v>
      </c>
      <c r="F6" s="60" t="s">
        <v>121</v>
      </c>
      <c r="G6" s="51" t="s">
        <v>122</v>
      </c>
      <c r="H6" s="51" t="s">
        <v>123</v>
      </c>
      <c r="I6" s="51">
        <v>1.0</v>
      </c>
      <c r="J6" s="69"/>
      <c r="K6" s="124"/>
    </row>
    <row r="7">
      <c r="A7" s="46"/>
      <c r="B7" s="51" t="s">
        <v>67</v>
      </c>
      <c r="C7" s="51">
        <v>3.0</v>
      </c>
      <c r="D7" s="51">
        <v>4.0</v>
      </c>
      <c r="E7" s="135">
        <v>45755.0</v>
      </c>
      <c r="F7" s="60" t="s">
        <v>125</v>
      </c>
      <c r="G7" s="51" t="s">
        <v>126</v>
      </c>
      <c r="H7" s="51" t="s">
        <v>94</v>
      </c>
      <c r="I7" s="51">
        <v>2.0</v>
      </c>
      <c r="J7" s="51" t="s">
        <v>127</v>
      </c>
      <c r="K7" s="124"/>
    </row>
    <row r="8">
      <c r="A8" s="46"/>
      <c r="B8" s="51" t="s">
        <v>71</v>
      </c>
      <c r="C8" s="51">
        <v>3.0</v>
      </c>
      <c r="D8" s="51">
        <v>5.0</v>
      </c>
      <c r="E8" s="135">
        <v>45778.0</v>
      </c>
      <c r="F8" s="60" t="s">
        <v>128</v>
      </c>
      <c r="G8" s="51"/>
      <c r="H8" s="51" t="s">
        <v>70</v>
      </c>
      <c r="I8" s="51">
        <v>4.0</v>
      </c>
      <c r="J8" s="69"/>
      <c r="K8" s="124"/>
    </row>
    <row r="9">
      <c r="A9" s="46"/>
      <c r="B9" s="51" t="s">
        <v>74</v>
      </c>
      <c r="C9" s="51">
        <v>4.0</v>
      </c>
      <c r="D9" s="51">
        <v>5.0</v>
      </c>
      <c r="E9" s="135">
        <v>45786.0</v>
      </c>
      <c r="F9" s="60" t="s">
        <v>290</v>
      </c>
      <c r="G9" s="51" t="s">
        <v>131</v>
      </c>
      <c r="H9" s="51" t="s">
        <v>73</v>
      </c>
      <c r="I9" s="51">
        <v>6.0</v>
      </c>
      <c r="J9" s="69"/>
      <c r="K9" s="124"/>
    </row>
    <row r="10">
      <c r="A10" s="46"/>
      <c r="B10" s="51" t="s">
        <v>78</v>
      </c>
      <c r="C10" s="51">
        <v>4.0</v>
      </c>
      <c r="D10" s="51">
        <v>7.0</v>
      </c>
      <c r="E10" s="135">
        <v>45844.0</v>
      </c>
      <c r="F10" s="60" t="s">
        <v>290</v>
      </c>
      <c r="G10" s="51"/>
      <c r="H10" s="51" t="s">
        <v>132</v>
      </c>
      <c r="I10" s="51">
        <v>7.0</v>
      </c>
      <c r="J10" s="69"/>
      <c r="K10" s="124"/>
    </row>
    <row r="11">
      <c r="A11" s="41"/>
      <c r="B11" s="114"/>
      <c r="C11" s="114"/>
      <c r="D11" s="114"/>
      <c r="E11" s="114"/>
      <c r="F11" s="114"/>
      <c r="G11" s="114"/>
      <c r="H11" s="114"/>
      <c r="I11" s="114"/>
      <c r="J11" s="114"/>
      <c r="K11" s="41"/>
    </row>
  </sheetData>
  <mergeCells count="2">
    <mergeCell ref="C2:D2"/>
    <mergeCell ref="C3:D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6" max="6" width="24.63"/>
    <col customWidth="1" min="7" max="7" width="80.88"/>
    <col customWidth="1" min="8" max="8" width="44.63"/>
    <col customWidth="1" min="10" max="10" width="25.0"/>
    <col customWidth="1" min="11" max="11" width="2.63"/>
  </cols>
  <sheetData>
    <row r="1">
      <c r="A1" s="41"/>
      <c r="B1" s="42"/>
      <c r="C1" s="42"/>
      <c r="D1" s="41"/>
      <c r="E1" s="41"/>
      <c r="F1" s="41"/>
      <c r="G1" s="41"/>
      <c r="H1" s="41"/>
      <c r="I1" s="41"/>
      <c r="J1" s="41"/>
      <c r="K1" s="41"/>
    </row>
    <row r="2">
      <c r="A2" s="46"/>
      <c r="B2" s="35" t="s">
        <v>52</v>
      </c>
      <c r="C2" s="47" t="s">
        <v>53</v>
      </c>
      <c r="D2" s="48"/>
      <c r="E2" s="41"/>
      <c r="F2" s="50"/>
      <c r="G2" s="50"/>
      <c r="H2" s="50"/>
      <c r="I2" s="50"/>
      <c r="J2" s="50"/>
      <c r="K2" s="41"/>
    </row>
    <row r="3">
      <c r="A3" s="46"/>
      <c r="B3" s="51"/>
      <c r="C3" s="75"/>
      <c r="D3" s="48"/>
      <c r="E3" s="41"/>
      <c r="F3" s="50"/>
      <c r="G3" s="50"/>
      <c r="H3" s="50"/>
      <c r="I3" s="50"/>
      <c r="J3" s="50"/>
      <c r="K3" s="41"/>
    </row>
    <row r="4">
      <c r="A4" s="41"/>
      <c r="B4" s="53"/>
      <c r="C4" s="53"/>
      <c r="D4" s="54"/>
      <c r="E4" s="54"/>
      <c r="F4" s="54"/>
      <c r="G4" s="54"/>
      <c r="H4" s="54"/>
      <c r="I4" s="54"/>
      <c r="J4" s="54"/>
      <c r="K4" s="41"/>
    </row>
    <row r="5">
      <c r="A5" s="46"/>
      <c r="B5" s="35" t="s">
        <v>11</v>
      </c>
      <c r="C5" s="35" t="s">
        <v>6</v>
      </c>
      <c r="D5" s="35" t="s">
        <v>59</v>
      </c>
      <c r="E5" s="35" t="s">
        <v>60</v>
      </c>
      <c r="F5" s="58" t="s">
        <v>8</v>
      </c>
      <c r="G5" s="58" t="s">
        <v>9</v>
      </c>
      <c r="H5" s="58" t="s">
        <v>10</v>
      </c>
      <c r="I5" s="35" t="s">
        <v>62</v>
      </c>
      <c r="J5" s="35" t="s">
        <v>12</v>
      </c>
      <c r="K5" s="124"/>
    </row>
    <row r="6">
      <c r="A6" s="46"/>
      <c r="B6" s="51" t="s">
        <v>63</v>
      </c>
      <c r="C6" s="51">
        <v>1.0</v>
      </c>
      <c r="D6" s="51">
        <v>2.0</v>
      </c>
      <c r="E6" s="158">
        <v>45663.0</v>
      </c>
      <c r="F6" s="51" t="s">
        <v>135</v>
      </c>
      <c r="G6" s="51" t="s">
        <v>136</v>
      </c>
      <c r="H6" s="51" t="s">
        <v>137</v>
      </c>
      <c r="I6" s="51" t="s">
        <v>291</v>
      </c>
      <c r="J6" s="51" t="s">
        <v>138</v>
      </c>
      <c r="K6" s="124"/>
    </row>
    <row r="7">
      <c r="A7" s="46"/>
      <c r="B7" s="51" t="s">
        <v>67</v>
      </c>
      <c r="C7" s="51">
        <v>2.0</v>
      </c>
      <c r="D7" s="51">
        <v>3.0</v>
      </c>
      <c r="E7" s="158">
        <v>45845.0</v>
      </c>
      <c r="F7" s="51" t="s">
        <v>292</v>
      </c>
      <c r="G7" s="51" t="s">
        <v>293</v>
      </c>
      <c r="H7" s="51" t="s">
        <v>90</v>
      </c>
      <c r="I7" s="51" t="s">
        <v>294</v>
      </c>
      <c r="J7" s="51" t="s">
        <v>141</v>
      </c>
      <c r="K7" s="124"/>
    </row>
    <row r="8">
      <c r="A8" s="46"/>
      <c r="B8" s="51" t="s">
        <v>71</v>
      </c>
      <c r="C8" s="51">
        <v>3.0</v>
      </c>
      <c r="D8" s="51">
        <v>5.0</v>
      </c>
      <c r="E8" s="158">
        <v>45663.0</v>
      </c>
      <c r="F8" s="51"/>
      <c r="G8" s="51" t="s">
        <v>142</v>
      </c>
      <c r="H8" s="51" t="s">
        <v>143</v>
      </c>
      <c r="I8" s="51" t="s">
        <v>295</v>
      </c>
      <c r="J8" s="51" t="s">
        <v>144</v>
      </c>
      <c r="K8" s="124"/>
    </row>
    <row r="9">
      <c r="A9" s="46"/>
      <c r="B9" s="51" t="s">
        <v>74</v>
      </c>
      <c r="C9" s="51">
        <v>3.0</v>
      </c>
      <c r="D9" s="51">
        <v>5.0</v>
      </c>
      <c r="E9" s="158">
        <v>45909.0</v>
      </c>
      <c r="F9" s="51" t="s">
        <v>296</v>
      </c>
      <c r="G9" s="51" t="s">
        <v>146</v>
      </c>
      <c r="H9" s="69"/>
      <c r="I9" s="51" t="s">
        <v>297</v>
      </c>
      <c r="J9" s="51" t="s">
        <v>298</v>
      </c>
      <c r="K9" s="124"/>
    </row>
    <row r="10">
      <c r="A10" s="46"/>
      <c r="B10" s="51" t="s">
        <v>78</v>
      </c>
      <c r="C10" s="51">
        <v>4.0</v>
      </c>
      <c r="D10" s="51">
        <v>7.0</v>
      </c>
      <c r="E10" s="158">
        <v>45668.0</v>
      </c>
      <c r="F10" s="51" t="s">
        <v>148</v>
      </c>
      <c r="G10" s="51" t="s">
        <v>149</v>
      </c>
      <c r="H10" s="51" t="s">
        <v>115</v>
      </c>
      <c r="I10" s="51" t="s">
        <v>299</v>
      </c>
      <c r="J10" s="51" t="s">
        <v>151</v>
      </c>
      <c r="K10" s="124"/>
    </row>
    <row r="11">
      <c r="A11" s="41"/>
      <c r="B11" s="114"/>
      <c r="C11" s="114"/>
      <c r="D11" s="114"/>
      <c r="E11" s="114"/>
      <c r="F11" s="114"/>
      <c r="G11" s="114"/>
      <c r="H11" s="114"/>
      <c r="I11" s="138"/>
      <c r="J11" s="138"/>
      <c r="K11" s="41"/>
    </row>
    <row r="12">
      <c r="A12" s="18"/>
      <c r="B12" s="114"/>
      <c r="C12" s="114"/>
      <c r="D12" s="114"/>
      <c r="E12" s="114"/>
      <c r="F12" s="114"/>
      <c r="G12" s="114"/>
      <c r="H12" s="114"/>
      <c r="I12" s="12"/>
      <c r="J12" s="12"/>
      <c r="K12" s="18"/>
    </row>
  </sheetData>
  <mergeCells count="2">
    <mergeCell ref="C2:D2"/>
    <mergeCell ref="C3:D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5" max="5" width="18.5"/>
    <col customWidth="1" min="6" max="6" width="59.75"/>
    <col customWidth="1" min="7" max="7" width="35.63"/>
    <col customWidth="1" min="8" max="8" width="38.88"/>
    <col customWidth="1" min="10" max="10" width="2.63"/>
  </cols>
  <sheetData>
    <row r="1">
      <c r="A1" s="41"/>
      <c r="B1" s="35" t="s">
        <v>52</v>
      </c>
      <c r="C1" s="47" t="s">
        <v>53</v>
      </c>
      <c r="D1" s="48"/>
      <c r="E1" s="50"/>
      <c r="F1" s="50"/>
      <c r="G1" s="50"/>
      <c r="H1" s="50"/>
      <c r="I1" s="50"/>
      <c r="J1" s="41"/>
    </row>
    <row r="2">
      <c r="A2" s="46"/>
      <c r="B2" s="51" t="s">
        <v>34</v>
      </c>
      <c r="C2" s="75" t="s">
        <v>152</v>
      </c>
      <c r="D2" s="48"/>
      <c r="E2" s="50"/>
      <c r="F2" s="50"/>
      <c r="G2" s="50"/>
      <c r="H2" s="50"/>
      <c r="I2" s="50"/>
      <c r="J2" s="41"/>
    </row>
    <row r="3">
      <c r="A3" s="46"/>
      <c r="B3" s="53"/>
      <c r="C3" s="53"/>
      <c r="D3" s="54"/>
      <c r="E3" s="54"/>
      <c r="F3" s="54"/>
      <c r="G3" s="54"/>
      <c r="H3" s="54"/>
      <c r="I3" s="54"/>
      <c r="J3" s="41"/>
    </row>
    <row r="4">
      <c r="A4" s="41"/>
      <c r="B4" s="35" t="s">
        <v>11</v>
      </c>
      <c r="C4" s="35" t="s">
        <v>6</v>
      </c>
      <c r="D4" s="35" t="s">
        <v>59</v>
      </c>
      <c r="E4" s="35" t="s">
        <v>60</v>
      </c>
      <c r="F4" s="58" t="s">
        <v>8</v>
      </c>
      <c r="G4" s="58" t="s">
        <v>9</v>
      </c>
      <c r="H4" s="58" t="s">
        <v>10</v>
      </c>
      <c r="I4" s="35" t="s">
        <v>62</v>
      </c>
      <c r="J4" s="41"/>
    </row>
    <row r="5">
      <c r="A5" s="46"/>
      <c r="B5" s="51" t="s">
        <v>63</v>
      </c>
      <c r="C5" s="51">
        <v>2.0</v>
      </c>
      <c r="D5" s="51" t="s">
        <v>300</v>
      </c>
      <c r="E5" s="51" t="s">
        <v>301</v>
      </c>
      <c r="F5" s="51" t="s">
        <v>154</v>
      </c>
      <c r="G5" s="51" t="s">
        <v>155</v>
      </c>
      <c r="H5" s="51" t="s">
        <v>156</v>
      </c>
      <c r="I5" s="51" t="s">
        <v>77</v>
      </c>
      <c r="J5" s="124"/>
    </row>
    <row r="6">
      <c r="A6" s="46"/>
      <c r="B6" s="51" t="s">
        <v>67</v>
      </c>
      <c r="C6" s="51">
        <v>3.0</v>
      </c>
      <c r="D6" s="51" t="s">
        <v>302</v>
      </c>
      <c r="E6" s="51" t="s">
        <v>303</v>
      </c>
      <c r="F6" s="51" t="s">
        <v>154</v>
      </c>
      <c r="G6" s="51" t="s">
        <v>159</v>
      </c>
      <c r="H6" s="51" t="s">
        <v>160</v>
      </c>
      <c r="I6" s="51" t="s">
        <v>77</v>
      </c>
      <c r="J6" s="124"/>
    </row>
    <row r="7">
      <c r="A7" s="46"/>
      <c r="B7" s="51" t="s">
        <v>71</v>
      </c>
      <c r="C7" s="51">
        <v>3.0</v>
      </c>
      <c r="D7" s="51" t="s">
        <v>304</v>
      </c>
      <c r="E7" s="51" t="s">
        <v>305</v>
      </c>
      <c r="F7" s="51" t="s">
        <v>306</v>
      </c>
      <c r="G7" s="51" t="s">
        <v>162</v>
      </c>
      <c r="H7" s="51" t="s">
        <v>162</v>
      </c>
      <c r="I7" s="51" t="s">
        <v>77</v>
      </c>
      <c r="J7" s="124"/>
    </row>
    <row r="8">
      <c r="A8" s="46"/>
      <c r="B8" s="51" t="s">
        <v>74</v>
      </c>
      <c r="C8" s="51">
        <v>4.0</v>
      </c>
      <c r="D8" s="51" t="s">
        <v>37</v>
      </c>
      <c r="E8" s="51" t="s">
        <v>307</v>
      </c>
      <c r="F8" s="51" t="s">
        <v>308</v>
      </c>
      <c r="G8" s="51" t="s">
        <v>164</v>
      </c>
      <c r="H8" s="51" t="s">
        <v>164</v>
      </c>
      <c r="I8" s="51" t="s">
        <v>77</v>
      </c>
      <c r="J8" s="124"/>
    </row>
    <row r="9">
      <c r="A9" s="46"/>
      <c r="B9" s="51" t="s">
        <v>78</v>
      </c>
      <c r="C9" s="51">
        <v>4.0</v>
      </c>
      <c r="D9" s="51" t="s">
        <v>37</v>
      </c>
      <c r="E9" s="51" t="s">
        <v>309</v>
      </c>
      <c r="F9" s="51" t="s">
        <v>308</v>
      </c>
      <c r="G9" s="51" t="s">
        <v>164</v>
      </c>
      <c r="H9" s="51" t="s">
        <v>164</v>
      </c>
      <c r="I9" s="51" t="s">
        <v>77</v>
      </c>
      <c r="J9" s="124"/>
    </row>
    <row r="10">
      <c r="A10" s="41"/>
      <c r="B10" s="114"/>
      <c r="C10" s="114"/>
      <c r="D10" s="114"/>
      <c r="E10" s="114"/>
      <c r="F10" s="114"/>
      <c r="G10" s="159" t="s">
        <v>310</v>
      </c>
      <c r="H10" s="114"/>
      <c r="I10" s="114"/>
      <c r="J10" s="41"/>
    </row>
  </sheetData>
  <mergeCells count="2">
    <mergeCell ref="C1:D1"/>
    <mergeCell ref="C2:D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32.75"/>
    <col customWidth="1" min="3" max="3" width="2.63"/>
  </cols>
  <sheetData>
    <row r="2" ht="484.5" customHeight="1">
      <c r="B2" s="160" t="s">
        <v>311</v>
      </c>
    </row>
    <row r="3">
      <c r="B3" s="161"/>
    </row>
    <row r="4">
      <c r="B4" s="162" t="s">
        <v>312</v>
      </c>
    </row>
    <row r="5">
      <c r="B5" s="161" t="s">
        <v>313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2.63"/>
  </cols>
  <sheetData>
    <row r="1">
      <c r="A1" s="22"/>
      <c r="C1" s="23"/>
      <c r="D1" s="22"/>
    </row>
    <row r="2">
      <c r="A2" s="24"/>
      <c r="B2" s="163"/>
      <c r="C2" s="48"/>
      <c r="D2" s="164"/>
    </row>
    <row r="3">
      <c r="A3" s="24"/>
      <c r="B3" s="165" t="s">
        <v>314</v>
      </c>
      <c r="C3" s="165">
        <v>1000.0</v>
      </c>
      <c r="D3" s="164"/>
    </row>
    <row r="4">
      <c r="A4" s="24"/>
      <c r="B4" s="165" t="s">
        <v>315</v>
      </c>
      <c r="C4" s="165">
        <v>2000.0</v>
      </c>
      <c r="D4" s="164"/>
    </row>
    <row r="5">
      <c r="A5" s="24"/>
      <c r="B5" s="165" t="s">
        <v>316</v>
      </c>
      <c r="C5" s="165">
        <v>3000.0</v>
      </c>
      <c r="D5" s="164"/>
    </row>
    <row r="6">
      <c r="A6" s="24"/>
      <c r="B6" s="165" t="s">
        <v>317</v>
      </c>
      <c r="C6" s="165">
        <v>4000.0</v>
      </c>
      <c r="D6" s="164"/>
    </row>
    <row r="7">
      <c r="A7" s="24"/>
      <c r="B7" s="165" t="s">
        <v>318</v>
      </c>
      <c r="C7" s="165">
        <v>5000.0</v>
      </c>
      <c r="D7" s="164"/>
    </row>
    <row r="8">
      <c r="A8" s="22"/>
      <c r="B8" s="40"/>
      <c r="C8" s="40"/>
      <c r="D8" s="22"/>
    </row>
    <row r="9">
      <c r="A9" s="22"/>
      <c r="B9" s="22"/>
      <c r="C9" s="22"/>
      <c r="D9" s="22"/>
    </row>
    <row r="10">
      <c r="A10" s="22"/>
      <c r="B10" s="166" t="s">
        <v>319</v>
      </c>
      <c r="D10" s="22"/>
    </row>
    <row r="11">
      <c r="A11" s="22"/>
      <c r="B11" s="22"/>
      <c r="C11" s="22"/>
      <c r="D11" s="22"/>
    </row>
    <row r="12">
      <c r="A12" s="22"/>
      <c r="B12" s="22"/>
      <c r="C12" s="22"/>
      <c r="D12" s="166" t="s">
        <v>320</v>
      </c>
    </row>
  </sheetData>
  <mergeCells count="1">
    <mergeCell ref="B2:C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63"/>
    <col customWidth="1" min="2" max="2" width="10.88"/>
    <col customWidth="1" hidden="1" min="6" max="7" width="13.88"/>
    <col customWidth="1" min="8" max="8" width="2.63"/>
  </cols>
  <sheetData>
    <row r="1">
      <c r="A1" s="22"/>
      <c r="B1" s="167"/>
      <c r="C1" s="167"/>
      <c r="D1" s="167"/>
      <c r="E1" s="167"/>
      <c r="F1" s="167"/>
      <c r="G1" s="167"/>
      <c r="H1" s="22"/>
    </row>
    <row r="2">
      <c r="A2" s="24"/>
      <c r="B2" s="168" t="s">
        <v>321</v>
      </c>
      <c r="C2" s="169"/>
      <c r="D2" s="169"/>
      <c r="E2" s="170"/>
      <c r="F2" s="171"/>
      <c r="G2" s="172"/>
      <c r="H2" s="164"/>
    </row>
    <row r="3">
      <c r="A3" s="24"/>
      <c r="B3" s="173"/>
      <c r="C3" s="115"/>
      <c r="D3" s="115"/>
      <c r="E3" s="174"/>
      <c r="F3" s="175" t="s">
        <v>322</v>
      </c>
      <c r="G3" s="174"/>
      <c r="H3" s="164"/>
    </row>
    <row r="4">
      <c r="A4" s="24"/>
      <c r="B4" s="176" t="s">
        <v>323</v>
      </c>
      <c r="C4" s="177" t="s">
        <v>324</v>
      </c>
      <c r="D4" s="177" t="s">
        <v>325</v>
      </c>
      <c r="E4" s="178" t="s">
        <v>326</v>
      </c>
      <c r="F4" s="179" t="s">
        <v>327</v>
      </c>
      <c r="G4" s="180" t="s">
        <v>328</v>
      </c>
      <c r="H4" s="164"/>
    </row>
    <row r="5">
      <c r="A5" s="24"/>
      <c r="B5" s="181">
        <v>1001.0</v>
      </c>
      <c r="C5" s="165" t="s">
        <v>329</v>
      </c>
      <c r="D5" s="182" t="s">
        <v>226</v>
      </c>
      <c r="E5" s="183" t="s">
        <v>227</v>
      </c>
      <c r="F5" s="184">
        <v>6.0</v>
      </c>
      <c r="G5" s="183">
        <v>2.0</v>
      </c>
      <c r="H5" s="164"/>
    </row>
    <row r="6">
      <c r="A6" s="24"/>
      <c r="B6" s="181">
        <v>1002.0</v>
      </c>
      <c r="C6" s="165" t="s">
        <v>330</v>
      </c>
      <c r="D6" s="185" t="s">
        <v>226</v>
      </c>
      <c r="E6" s="186" t="s">
        <v>228</v>
      </c>
      <c r="F6" s="187">
        <v>2.0</v>
      </c>
      <c r="G6" s="186">
        <v>1.0</v>
      </c>
      <c r="H6" s="164"/>
    </row>
    <row r="7">
      <c r="A7" s="24"/>
      <c r="B7" s="181">
        <v>1003.0</v>
      </c>
      <c r="C7" s="165" t="s">
        <v>331</v>
      </c>
      <c r="D7" s="165" t="s">
        <v>226</v>
      </c>
      <c r="E7" s="188" t="s">
        <v>229</v>
      </c>
      <c r="F7" s="187">
        <v>6.0</v>
      </c>
      <c r="G7" s="186">
        <v>2.0</v>
      </c>
      <c r="H7" s="164"/>
    </row>
    <row r="8">
      <c r="A8" s="24"/>
      <c r="B8" s="181">
        <v>1004.0</v>
      </c>
      <c r="C8" s="165" t="s">
        <v>332</v>
      </c>
      <c r="D8" s="165" t="s">
        <v>226</v>
      </c>
      <c r="E8" s="188" t="s">
        <v>216</v>
      </c>
      <c r="F8" s="187">
        <v>11.0</v>
      </c>
      <c r="G8" s="186">
        <v>2.0</v>
      </c>
      <c r="H8" s="164"/>
    </row>
    <row r="9">
      <c r="A9" s="24"/>
      <c r="B9" s="181">
        <v>1005.0</v>
      </c>
      <c r="C9" s="165" t="s">
        <v>333</v>
      </c>
      <c r="D9" s="165" t="s">
        <v>226</v>
      </c>
      <c r="E9" s="188" t="s">
        <v>162</v>
      </c>
      <c r="F9" s="187">
        <v>11.0</v>
      </c>
      <c r="G9" s="186">
        <v>2.0</v>
      </c>
      <c r="H9" s="164"/>
    </row>
    <row r="10">
      <c r="A10" s="24"/>
      <c r="B10" s="181">
        <v>1006.0</v>
      </c>
      <c r="C10" s="165" t="s">
        <v>334</v>
      </c>
      <c r="D10" s="165" t="s">
        <v>226</v>
      </c>
      <c r="E10" s="188" t="s">
        <v>230</v>
      </c>
      <c r="F10" s="187">
        <v>8.0</v>
      </c>
      <c r="G10" s="186">
        <v>3.0</v>
      </c>
      <c r="H10" s="164"/>
    </row>
    <row r="11">
      <c r="A11" s="24"/>
      <c r="B11" s="181">
        <v>1007.0</v>
      </c>
      <c r="C11" s="165" t="s">
        <v>335</v>
      </c>
      <c r="D11" s="165" t="s">
        <v>220</v>
      </c>
      <c r="E11" s="188" t="s">
        <v>221</v>
      </c>
      <c r="F11" s="187">
        <v>8.0</v>
      </c>
      <c r="G11" s="186">
        <v>3.0</v>
      </c>
      <c r="H11" s="164"/>
    </row>
    <row r="12">
      <c r="A12" s="24"/>
      <c r="B12" s="181">
        <v>1008.0</v>
      </c>
      <c r="C12" s="165" t="s">
        <v>336</v>
      </c>
      <c r="D12" s="165" t="s">
        <v>220</v>
      </c>
      <c r="E12" s="188" t="s">
        <v>222</v>
      </c>
      <c r="F12" s="187" t="s">
        <v>90</v>
      </c>
      <c r="G12" s="186" t="s">
        <v>90</v>
      </c>
      <c r="H12" s="164"/>
    </row>
    <row r="13">
      <c r="A13" s="24"/>
      <c r="B13" s="181">
        <v>1009.0</v>
      </c>
      <c r="C13" s="165" t="s">
        <v>337</v>
      </c>
      <c r="D13" s="185" t="s">
        <v>220</v>
      </c>
      <c r="E13" s="188" t="s">
        <v>223</v>
      </c>
      <c r="F13" s="187">
        <v>4.0</v>
      </c>
      <c r="G13" s="186">
        <v>2.0</v>
      </c>
      <c r="H13" s="164"/>
    </row>
    <row r="14">
      <c r="A14" s="24"/>
      <c r="B14" s="181">
        <v>1010.0</v>
      </c>
      <c r="C14" s="165" t="s">
        <v>338</v>
      </c>
      <c r="D14" s="165" t="s">
        <v>220</v>
      </c>
      <c r="E14" s="188" t="s">
        <v>224</v>
      </c>
      <c r="F14" s="187">
        <v>8.0</v>
      </c>
      <c r="G14" s="186">
        <v>2.0</v>
      </c>
      <c r="H14" s="164"/>
    </row>
    <row r="15">
      <c r="A15" s="24"/>
      <c r="B15" s="181">
        <v>1011.0</v>
      </c>
      <c r="C15" s="165" t="s">
        <v>339</v>
      </c>
      <c r="D15" s="165" t="s">
        <v>220</v>
      </c>
      <c r="E15" s="188" t="s">
        <v>225</v>
      </c>
      <c r="F15" s="187">
        <v>20.0</v>
      </c>
      <c r="G15" s="186">
        <v>4.0</v>
      </c>
      <c r="H15" s="164"/>
    </row>
    <row r="16">
      <c r="A16" s="24"/>
      <c r="B16" s="181">
        <v>1012.0</v>
      </c>
      <c r="C16" s="165" t="s">
        <v>340</v>
      </c>
      <c r="D16" s="165" t="s">
        <v>211</v>
      </c>
      <c r="E16" s="188" t="s">
        <v>216</v>
      </c>
      <c r="F16" s="187">
        <v>12.0</v>
      </c>
      <c r="G16" s="186">
        <v>4.0</v>
      </c>
      <c r="H16" s="164"/>
    </row>
    <row r="17">
      <c r="A17" s="24"/>
      <c r="B17" s="181">
        <v>1013.0</v>
      </c>
      <c r="C17" s="165" t="s">
        <v>341</v>
      </c>
      <c r="D17" s="165" t="s">
        <v>211</v>
      </c>
      <c r="E17" s="188" t="s">
        <v>217</v>
      </c>
      <c r="F17" s="187" t="s">
        <v>90</v>
      </c>
      <c r="G17" s="186" t="s">
        <v>90</v>
      </c>
      <c r="H17" s="164"/>
    </row>
    <row r="18">
      <c r="A18" s="24"/>
      <c r="B18" s="181">
        <v>1014.0</v>
      </c>
      <c r="C18" s="165" t="s">
        <v>342</v>
      </c>
      <c r="D18" s="165" t="s">
        <v>211</v>
      </c>
      <c r="E18" s="188" t="s">
        <v>218</v>
      </c>
      <c r="F18" s="187" t="s">
        <v>90</v>
      </c>
      <c r="G18" s="186" t="s">
        <v>90</v>
      </c>
      <c r="H18" s="164"/>
    </row>
    <row r="19">
      <c r="A19" s="24"/>
      <c r="B19" s="189">
        <v>1015.0</v>
      </c>
      <c r="C19" s="190" t="s">
        <v>343</v>
      </c>
      <c r="D19" s="190" t="s">
        <v>211</v>
      </c>
      <c r="E19" s="191" t="s">
        <v>219</v>
      </c>
      <c r="F19" s="192" t="s">
        <v>90</v>
      </c>
      <c r="G19" s="193" t="s">
        <v>90</v>
      </c>
      <c r="H19" s="164"/>
    </row>
    <row r="20">
      <c r="A20" s="22"/>
      <c r="B20" s="40"/>
      <c r="C20" s="40"/>
      <c r="D20" s="40"/>
      <c r="E20" s="40"/>
      <c r="F20" s="40"/>
      <c r="G20" s="40"/>
      <c r="H20" s="22"/>
    </row>
  </sheetData>
  <mergeCells count="3">
    <mergeCell ref="F3:G3"/>
    <mergeCell ref="B3:E3"/>
    <mergeCell ref="B2:E2"/>
  </mergeCells>
  <dataValidations>
    <dataValidation type="list" allowBlank="1" showErrorMessage="1" sqref="D5:D19">
      <formula1>"우수,희귀,서사"</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63"/>
    <col customWidth="1" min="2" max="2" width="8.13"/>
    <col customWidth="1" min="3" max="3" width="11.63"/>
    <col customWidth="1" min="4" max="4" width="9.0"/>
    <col customWidth="1" min="5" max="5" width="7.63"/>
    <col customWidth="1" min="6" max="6" width="10.5"/>
    <col customWidth="1" min="7" max="9" width="6.38"/>
    <col customWidth="1" min="10" max="10" width="8.63"/>
    <col customWidth="1" min="12" max="12" width="2.63"/>
  </cols>
  <sheetData>
    <row r="1">
      <c r="A1" s="41"/>
      <c r="B1" s="42"/>
      <c r="C1" s="42"/>
      <c r="D1" s="42"/>
      <c r="E1" s="42"/>
      <c r="F1" s="42"/>
      <c r="G1" s="42"/>
      <c r="H1" s="42"/>
      <c r="I1" s="42"/>
      <c r="J1" s="42"/>
      <c r="K1" s="42"/>
      <c r="L1" s="41"/>
    </row>
    <row r="2">
      <c r="A2" s="46"/>
      <c r="B2" s="194" t="s">
        <v>344</v>
      </c>
      <c r="C2" s="195"/>
      <c r="D2" s="195"/>
      <c r="E2" s="195"/>
      <c r="F2" s="195"/>
      <c r="G2" s="195"/>
      <c r="H2" s="195"/>
      <c r="I2" s="195"/>
      <c r="J2" s="195"/>
      <c r="K2" s="196"/>
      <c r="L2" s="124"/>
    </row>
    <row r="3">
      <c r="A3" s="46"/>
      <c r="B3" s="197" t="s">
        <v>345</v>
      </c>
      <c r="C3" s="198" t="s">
        <v>346</v>
      </c>
      <c r="D3" s="198" t="s">
        <v>212</v>
      </c>
      <c r="E3" s="198" t="s">
        <v>347</v>
      </c>
      <c r="F3" s="198" t="s">
        <v>348</v>
      </c>
      <c r="G3" s="198" t="s">
        <v>349</v>
      </c>
      <c r="H3" s="198" t="s">
        <v>350</v>
      </c>
      <c r="I3" s="198" t="s">
        <v>351</v>
      </c>
      <c r="J3" s="198" t="s">
        <v>352</v>
      </c>
      <c r="K3" s="199" t="s">
        <v>353</v>
      </c>
      <c r="L3" s="124"/>
    </row>
    <row r="4">
      <c r="A4" s="46"/>
      <c r="B4" s="197" t="s">
        <v>323</v>
      </c>
      <c r="C4" s="198" t="s">
        <v>324</v>
      </c>
      <c r="D4" s="198" t="s">
        <v>325</v>
      </c>
      <c r="E4" s="198" t="s">
        <v>326</v>
      </c>
      <c r="F4" s="198" t="s">
        <v>354</v>
      </c>
      <c r="G4" s="198" t="s">
        <v>355</v>
      </c>
      <c r="H4" s="198" t="s">
        <v>356</v>
      </c>
      <c r="I4" s="198" t="s">
        <v>357</v>
      </c>
      <c r="J4" s="198" t="s">
        <v>358</v>
      </c>
      <c r="K4" s="199" t="s">
        <v>359</v>
      </c>
      <c r="L4" s="124"/>
    </row>
    <row r="5">
      <c r="A5" s="46"/>
      <c r="B5" s="181">
        <v>1001.0</v>
      </c>
      <c r="C5" s="200" t="s">
        <v>329</v>
      </c>
      <c r="D5" s="182" t="s">
        <v>226</v>
      </c>
      <c r="E5" s="51" t="s">
        <v>227</v>
      </c>
      <c r="F5" s="51" t="s">
        <v>360</v>
      </c>
      <c r="G5" s="51">
        <v>0.0</v>
      </c>
      <c r="H5" s="51">
        <v>64.0</v>
      </c>
      <c r="I5" s="51">
        <v>22.0</v>
      </c>
      <c r="J5" s="201">
        <v>0.12</v>
      </c>
      <c r="K5" s="202">
        <v>0.14</v>
      </c>
      <c r="L5" s="124"/>
    </row>
    <row r="6">
      <c r="A6" s="46"/>
      <c r="B6" s="203"/>
      <c r="C6" s="51"/>
      <c r="D6" s="51"/>
      <c r="E6" s="51"/>
      <c r="F6" s="51"/>
      <c r="G6" s="51">
        <v>1.0</v>
      </c>
      <c r="H6" s="51">
        <v>146.0</v>
      </c>
      <c r="I6" s="51">
        <v>50.0</v>
      </c>
      <c r="J6" s="201">
        <v>0.12</v>
      </c>
      <c r="K6" s="202"/>
      <c r="L6" s="124"/>
    </row>
    <row r="7">
      <c r="A7" s="46"/>
      <c r="B7" s="203"/>
      <c r="C7" s="51"/>
      <c r="D7" s="51"/>
      <c r="E7" s="51"/>
      <c r="F7" s="51"/>
      <c r="G7" s="51">
        <v>2.0</v>
      </c>
      <c r="H7" s="51"/>
      <c r="I7" s="51"/>
      <c r="J7" s="201">
        <v>0.12</v>
      </c>
      <c r="K7" s="202"/>
      <c r="L7" s="124"/>
    </row>
    <row r="8">
      <c r="A8" s="46"/>
      <c r="B8" s="203"/>
      <c r="C8" s="51"/>
      <c r="D8" s="51"/>
      <c r="E8" s="51"/>
      <c r="F8" s="51"/>
      <c r="G8" s="51">
        <v>3.0</v>
      </c>
      <c r="H8" s="51"/>
      <c r="I8" s="51"/>
      <c r="J8" s="201">
        <v>0.12</v>
      </c>
      <c r="K8" s="202"/>
      <c r="L8" s="124"/>
    </row>
    <row r="9">
      <c r="A9" s="46"/>
      <c r="B9" s="204"/>
      <c r="C9" s="205"/>
      <c r="D9" s="205"/>
      <c r="E9" s="205"/>
      <c r="F9" s="205"/>
      <c r="G9" s="205">
        <v>4.0</v>
      </c>
      <c r="H9" s="205"/>
      <c r="I9" s="205"/>
      <c r="J9" s="206">
        <v>0.12</v>
      </c>
      <c r="K9" s="202"/>
      <c r="L9" s="124"/>
    </row>
    <row r="10">
      <c r="A10" s="46"/>
      <c r="B10" s="207">
        <v>1002.0</v>
      </c>
      <c r="C10" s="51" t="str">
        <f t="array" ref="C10:E10">XLOOKUP(B10, Chr!$B$5:$B$19, Chr!$C$5:$E$19)</f>
        <v>Archer</v>
      </c>
      <c r="D10" s="77" t="s">
        <v>226</v>
      </c>
      <c r="E10" s="208" t="s">
        <v>228</v>
      </c>
      <c r="F10" s="51" t="s">
        <v>277</v>
      </c>
      <c r="G10" s="208">
        <v>0.0</v>
      </c>
      <c r="H10" s="208">
        <v>26.0</v>
      </c>
      <c r="I10" s="208">
        <v>10.0</v>
      </c>
      <c r="J10" s="209">
        <v>0.1</v>
      </c>
      <c r="K10" s="202">
        <v>0.14</v>
      </c>
      <c r="L10" s="124"/>
    </row>
    <row r="11">
      <c r="A11" s="46"/>
      <c r="B11" s="207"/>
      <c r="C11" s="51"/>
      <c r="D11" s="208"/>
      <c r="E11" s="208"/>
      <c r="F11" s="208"/>
      <c r="G11" s="208">
        <v>1.0</v>
      </c>
      <c r="H11" s="208">
        <v>57.0</v>
      </c>
      <c r="I11" s="208">
        <v>19.0</v>
      </c>
      <c r="J11" s="209">
        <v>0.13</v>
      </c>
      <c r="K11" s="202"/>
      <c r="L11" s="124"/>
    </row>
    <row r="12">
      <c r="A12" s="46"/>
      <c r="B12" s="203"/>
      <c r="C12" s="51"/>
      <c r="D12" s="51"/>
      <c r="E12" s="51"/>
      <c r="F12" s="51"/>
      <c r="G12" s="51">
        <v>2.0</v>
      </c>
      <c r="H12" s="51"/>
      <c r="I12" s="51"/>
      <c r="J12" s="209">
        <v>0.13</v>
      </c>
      <c r="K12" s="202"/>
      <c r="L12" s="124"/>
    </row>
    <row r="13">
      <c r="A13" s="46"/>
      <c r="B13" s="203"/>
      <c r="C13" s="51"/>
      <c r="D13" s="51"/>
      <c r="E13" s="51"/>
      <c r="F13" s="51"/>
      <c r="G13" s="51">
        <v>3.0</v>
      </c>
      <c r="H13" s="51"/>
      <c r="I13" s="51"/>
      <c r="J13" s="209">
        <v>0.13</v>
      </c>
      <c r="K13" s="202"/>
      <c r="L13" s="124"/>
    </row>
    <row r="14">
      <c r="A14" s="46"/>
      <c r="B14" s="204"/>
      <c r="C14" s="205"/>
      <c r="D14" s="205"/>
      <c r="E14" s="205"/>
      <c r="F14" s="205"/>
      <c r="G14" s="205">
        <v>4.0</v>
      </c>
      <c r="H14" s="205"/>
      <c r="I14" s="205"/>
      <c r="J14" s="206">
        <v>0.13</v>
      </c>
      <c r="K14" s="202"/>
      <c r="L14" s="124"/>
    </row>
    <row r="15">
      <c r="A15" s="46"/>
      <c r="B15" s="203">
        <v>1003.0</v>
      </c>
      <c r="C15" s="51" t="str">
        <f t="array" ref="C15:E15">XLOOKUP(B15, Chr!$B$5:$B$19, Chr!$C$5:$E$19)</f>
        <v>hussar</v>
      </c>
      <c r="D15" s="77" t="s">
        <v>226</v>
      </c>
      <c r="E15" s="208" t="s">
        <v>229</v>
      </c>
      <c r="F15" s="51" t="s">
        <v>292</v>
      </c>
      <c r="G15" s="208">
        <v>0.0</v>
      </c>
      <c r="H15" s="208">
        <v>55.0</v>
      </c>
      <c r="I15" s="208">
        <v>17.0</v>
      </c>
      <c r="J15" s="209">
        <v>0.08</v>
      </c>
      <c r="K15" s="202">
        <v>0.14</v>
      </c>
      <c r="L15" s="124"/>
    </row>
    <row r="16">
      <c r="A16" s="46"/>
      <c r="B16" s="203"/>
      <c r="C16" s="51"/>
      <c r="D16" s="208"/>
      <c r="E16" s="208"/>
      <c r="F16" s="208"/>
      <c r="G16" s="208">
        <v>1.0</v>
      </c>
      <c r="H16" s="208">
        <v>125.0</v>
      </c>
      <c r="I16" s="208">
        <v>39.0</v>
      </c>
      <c r="J16" s="209">
        <v>0.08</v>
      </c>
      <c r="K16" s="202"/>
      <c r="L16" s="124"/>
    </row>
    <row r="17">
      <c r="A17" s="46"/>
      <c r="B17" s="203"/>
      <c r="C17" s="51"/>
      <c r="D17" s="51"/>
      <c r="E17" s="51"/>
      <c r="F17" s="51"/>
      <c r="G17" s="51">
        <v>2.0</v>
      </c>
      <c r="H17" s="51"/>
      <c r="I17" s="51"/>
      <c r="J17" s="209">
        <v>0.08</v>
      </c>
      <c r="K17" s="202"/>
      <c r="L17" s="124"/>
    </row>
    <row r="18">
      <c r="A18" s="46"/>
      <c r="B18" s="203"/>
      <c r="C18" s="51"/>
      <c r="D18" s="51"/>
      <c r="E18" s="51"/>
      <c r="F18" s="51"/>
      <c r="G18" s="51">
        <v>3.0</v>
      </c>
      <c r="H18" s="51"/>
      <c r="I18" s="51"/>
      <c r="J18" s="209">
        <v>0.08</v>
      </c>
      <c r="K18" s="202"/>
      <c r="L18" s="124"/>
    </row>
    <row r="19">
      <c r="A19" s="46"/>
      <c r="B19" s="204"/>
      <c r="C19" s="205"/>
      <c r="D19" s="205"/>
      <c r="E19" s="205"/>
      <c r="F19" s="205"/>
      <c r="G19" s="205">
        <v>4.0</v>
      </c>
      <c r="H19" s="205"/>
      <c r="I19" s="205"/>
      <c r="J19" s="206">
        <v>0.08</v>
      </c>
      <c r="K19" s="202"/>
      <c r="L19" s="124"/>
    </row>
    <row r="20">
      <c r="A20" s="46"/>
      <c r="B20" s="207">
        <v>1004.0</v>
      </c>
      <c r="C20" s="51" t="str">
        <f t="array" ref="C20:E20">XLOOKUP(B20, Chr!$B$5:$B$19, Chr!$C$5:$E$19)</f>
        <v>spearman</v>
      </c>
      <c r="D20" s="77" t="s">
        <v>226</v>
      </c>
      <c r="E20" s="208" t="s">
        <v>216</v>
      </c>
      <c r="F20" s="51" t="s">
        <v>360</v>
      </c>
      <c r="G20" s="208">
        <v>0.0</v>
      </c>
      <c r="H20" s="208">
        <v>110.0</v>
      </c>
      <c r="I20" s="208">
        <v>26.0</v>
      </c>
      <c r="J20" s="209">
        <v>0.14</v>
      </c>
      <c r="K20" s="202">
        <v>0.8</v>
      </c>
      <c r="L20" s="124"/>
    </row>
    <row r="21">
      <c r="A21" s="46"/>
      <c r="B21" s="207"/>
      <c r="C21" s="51"/>
      <c r="D21" s="208"/>
      <c r="E21" s="208"/>
      <c r="F21" s="208"/>
      <c r="G21" s="208">
        <v>1.0</v>
      </c>
      <c r="H21" s="208">
        <v>285.0</v>
      </c>
      <c r="I21" s="208">
        <v>61.0</v>
      </c>
      <c r="J21" s="209">
        <v>0.14</v>
      </c>
      <c r="K21" s="210"/>
      <c r="L21" s="124"/>
    </row>
    <row r="22">
      <c r="A22" s="46"/>
      <c r="B22" s="203"/>
      <c r="C22" s="51"/>
      <c r="D22" s="51"/>
      <c r="E22" s="51"/>
      <c r="F22" s="51"/>
      <c r="G22" s="51">
        <v>2.0</v>
      </c>
      <c r="H22" s="51"/>
      <c r="I22" s="51"/>
      <c r="J22" s="209">
        <v>0.14</v>
      </c>
      <c r="K22" s="211"/>
      <c r="L22" s="124"/>
    </row>
    <row r="23">
      <c r="A23" s="46"/>
      <c r="B23" s="203"/>
      <c r="C23" s="51"/>
      <c r="D23" s="51"/>
      <c r="E23" s="51"/>
      <c r="F23" s="51"/>
      <c r="G23" s="51">
        <v>3.0</v>
      </c>
      <c r="H23" s="51"/>
      <c r="I23" s="51"/>
      <c r="J23" s="209">
        <v>0.14</v>
      </c>
      <c r="K23" s="211"/>
      <c r="L23" s="124"/>
    </row>
    <row r="24">
      <c r="A24" s="46"/>
      <c r="B24" s="204"/>
      <c r="C24" s="205"/>
      <c r="D24" s="205"/>
      <c r="E24" s="205"/>
      <c r="F24" s="205"/>
      <c r="G24" s="205">
        <v>4.0</v>
      </c>
      <c r="H24" s="205"/>
      <c r="I24" s="205"/>
      <c r="J24" s="206">
        <v>0.14</v>
      </c>
      <c r="K24" s="212"/>
      <c r="L24" s="124"/>
    </row>
    <row r="25">
      <c r="A25" s="46"/>
      <c r="B25" s="203">
        <v>1005.0</v>
      </c>
      <c r="C25" s="51" t="str">
        <f t="array" ref="C25:E25">XLOOKUP(B25, Chr!$B$5:$B$19, Chr!$C$5:$E$19)</f>
        <v>shielder</v>
      </c>
      <c r="D25" s="51" t="s">
        <v>226</v>
      </c>
      <c r="E25" s="51" t="s">
        <v>162</v>
      </c>
      <c r="F25" s="51" t="s">
        <v>361</v>
      </c>
      <c r="G25" s="208">
        <v>0.0</v>
      </c>
      <c r="H25" s="208">
        <v>108.0</v>
      </c>
      <c r="I25" s="208">
        <v>25.0</v>
      </c>
      <c r="J25" s="209">
        <v>0.0</v>
      </c>
      <c r="K25" s="202">
        <v>0.14</v>
      </c>
      <c r="L25" s="124"/>
    </row>
    <row r="26">
      <c r="A26" s="46"/>
      <c r="B26" s="207"/>
      <c r="C26" s="51"/>
      <c r="D26" s="208"/>
      <c r="E26" s="208"/>
      <c r="F26" s="208"/>
      <c r="G26" s="208">
        <v>1.0</v>
      </c>
      <c r="H26" s="208"/>
      <c r="I26" s="208"/>
      <c r="J26" s="209">
        <v>0.0</v>
      </c>
      <c r="K26" s="210"/>
      <c r="L26" s="124"/>
    </row>
    <row r="27">
      <c r="A27" s="46"/>
      <c r="B27" s="203"/>
      <c r="C27" s="51"/>
      <c r="D27" s="51"/>
      <c r="E27" s="51"/>
      <c r="F27" s="51"/>
      <c r="G27" s="51">
        <v>2.0</v>
      </c>
      <c r="H27" s="51"/>
      <c r="I27" s="51"/>
      <c r="J27" s="209">
        <v>0.0</v>
      </c>
      <c r="K27" s="211"/>
      <c r="L27" s="124"/>
    </row>
    <row r="28">
      <c r="A28" s="46"/>
      <c r="B28" s="203"/>
      <c r="C28" s="51"/>
      <c r="D28" s="51"/>
      <c r="E28" s="51"/>
      <c r="F28" s="51"/>
      <c r="G28" s="51">
        <v>3.0</v>
      </c>
      <c r="H28" s="51"/>
      <c r="I28" s="51"/>
      <c r="J28" s="209">
        <v>0.0</v>
      </c>
      <c r="K28" s="211"/>
      <c r="L28" s="124"/>
    </row>
    <row r="29">
      <c r="A29" s="46"/>
      <c r="B29" s="204"/>
      <c r="C29" s="205"/>
      <c r="D29" s="205"/>
      <c r="E29" s="205"/>
      <c r="F29" s="205"/>
      <c r="G29" s="205">
        <v>4.0</v>
      </c>
      <c r="H29" s="205"/>
      <c r="I29" s="205"/>
      <c r="J29" s="206">
        <v>0.0</v>
      </c>
      <c r="K29" s="212"/>
      <c r="L29" s="124"/>
    </row>
    <row r="30">
      <c r="A30" s="46"/>
      <c r="B30" s="203">
        <v>1006.0</v>
      </c>
      <c r="C30" s="51" t="str">
        <f t="array" ref="C30:E30">XLOOKUP(B30, Chr!$B$5:$B$19, Chr!$C$5:$E$19)</f>
        <v>Alchemist</v>
      </c>
      <c r="D30" s="51" t="s">
        <v>226</v>
      </c>
      <c r="E30" s="51" t="s">
        <v>230</v>
      </c>
      <c r="F30" s="51" t="s">
        <v>277</v>
      </c>
      <c r="G30" s="208">
        <v>0.0</v>
      </c>
      <c r="H30" s="51">
        <v>74.0</v>
      </c>
      <c r="I30" s="51">
        <v>29.0</v>
      </c>
      <c r="J30" s="209">
        <v>0.05</v>
      </c>
      <c r="K30" s="202">
        <v>0.06</v>
      </c>
      <c r="L30" s="124"/>
    </row>
    <row r="31">
      <c r="A31" s="46"/>
      <c r="B31" s="203"/>
      <c r="C31" s="51"/>
      <c r="D31" s="51"/>
      <c r="E31" s="51"/>
      <c r="F31" s="51"/>
      <c r="G31" s="51">
        <v>1.0</v>
      </c>
      <c r="H31" s="51">
        <v>53.0</v>
      </c>
      <c r="I31" s="51">
        <v>171.0</v>
      </c>
      <c r="J31" s="209">
        <v>0.05</v>
      </c>
      <c r="K31" s="211"/>
      <c r="L31" s="124"/>
    </row>
    <row r="32">
      <c r="A32" s="46"/>
      <c r="B32" s="203"/>
      <c r="C32" s="51"/>
      <c r="D32" s="51"/>
      <c r="E32" s="51"/>
      <c r="F32" s="51"/>
      <c r="G32" s="51">
        <v>2.0</v>
      </c>
      <c r="H32" s="51"/>
      <c r="I32" s="51"/>
      <c r="J32" s="209">
        <v>0.05</v>
      </c>
      <c r="K32" s="211"/>
      <c r="L32" s="124"/>
    </row>
    <row r="33">
      <c r="A33" s="46"/>
      <c r="B33" s="203"/>
      <c r="C33" s="51"/>
      <c r="D33" s="51"/>
      <c r="E33" s="51"/>
      <c r="F33" s="51"/>
      <c r="G33" s="51">
        <v>3.0</v>
      </c>
      <c r="H33" s="51"/>
      <c r="I33" s="51"/>
      <c r="J33" s="209">
        <v>0.05</v>
      </c>
      <c r="K33" s="211"/>
      <c r="L33" s="124"/>
    </row>
    <row r="34">
      <c r="A34" s="46"/>
      <c r="B34" s="204"/>
      <c r="C34" s="205"/>
      <c r="D34" s="205"/>
      <c r="E34" s="205"/>
      <c r="F34" s="205"/>
      <c r="G34" s="205">
        <v>4.0</v>
      </c>
      <c r="H34" s="205"/>
      <c r="I34" s="205"/>
      <c r="J34" s="206">
        <v>0.05</v>
      </c>
      <c r="K34" s="212"/>
      <c r="L34" s="124"/>
    </row>
    <row r="35">
      <c r="A35" s="46"/>
      <c r="B35" s="203">
        <v>1007.0</v>
      </c>
      <c r="C35" s="51" t="str">
        <f t="array" ref="C35:E35">XLOOKUP(B35, Chr!$B$5:$B$19, Chr!$C$5:$E$19)</f>
        <v>Barbarian</v>
      </c>
      <c r="D35" s="51" t="s">
        <v>220</v>
      </c>
      <c r="E35" s="51" t="s">
        <v>221</v>
      </c>
      <c r="F35" s="51" t="s">
        <v>360</v>
      </c>
      <c r="G35" s="208">
        <v>0.0</v>
      </c>
      <c r="H35" s="208">
        <v>80.0</v>
      </c>
      <c r="I35" s="208">
        <v>27.0</v>
      </c>
      <c r="J35" s="201">
        <v>0.28</v>
      </c>
      <c r="K35" s="202">
        <v>0.13</v>
      </c>
      <c r="L35" s="124"/>
    </row>
    <row r="36">
      <c r="A36" s="46"/>
      <c r="B36" s="203"/>
      <c r="C36" s="51"/>
      <c r="D36" s="51"/>
      <c r="E36" s="51"/>
      <c r="F36" s="51"/>
      <c r="G36" s="51">
        <v>1.0</v>
      </c>
      <c r="H36" s="51">
        <v>182.0</v>
      </c>
      <c r="I36" s="51">
        <v>53.0</v>
      </c>
      <c r="J36" s="201">
        <v>0.28</v>
      </c>
      <c r="K36" s="202"/>
      <c r="L36" s="124"/>
    </row>
    <row r="37">
      <c r="A37" s="46"/>
      <c r="B37" s="203"/>
      <c r="C37" s="51"/>
      <c r="D37" s="51"/>
      <c r="E37" s="51"/>
      <c r="F37" s="51"/>
      <c r="G37" s="51">
        <v>2.0</v>
      </c>
      <c r="H37" s="51"/>
      <c r="I37" s="51"/>
      <c r="J37" s="201">
        <v>0.28</v>
      </c>
      <c r="K37" s="202"/>
      <c r="L37" s="124"/>
    </row>
    <row r="38">
      <c r="A38" s="46"/>
      <c r="B38" s="203"/>
      <c r="C38" s="51"/>
      <c r="D38" s="51"/>
      <c r="E38" s="51"/>
      <c r="F38" s="51"/>
      <c r="G38" s="51">
        <v>3.0</v>
      </c>
      <c r="H38" s="51"/>
      <c r="I38" s="51"/>
      <c r="J38" s="201">
        <v>0.28</v>
      </c>
      <c r="K38" s="202"/>
      <c r="L38" s="124"/>
    </row>
    <row r="39">
      <c r="A39" s="46"/>
      <c r="B39" s="204"/>
      <c r="C39" s="205"/>
      <c r="D39" s="205"/>
      <c r="E39" s="205"/>
      <c r="F39" s="205"/>
      <c r="G39" s="205">
        <v>4.0</v>
      </c>
      <c r="H39" s="205"/>
      <c r="I39" s="205"/>
      <c r="J39" s="206">
        <v>0.28</v>
      </c>
      <c r="K39" s="212"/>
      <c r="L39" s="124"/>
    </row>
    <row r="40">
      <c r="A40" s="46"/>
      <c r="B40" s="203">
        <v>1008.0</v>
      </c>
      <c r="C40" s="51" t="str">
        <f t="array" ref="C40:E40">XLOOKUP(B40, Chr!$B$5:$B$19, Chr!$C$5:$E$19)</f>
        <v>Wizard</v>
      </c>
      <c r="D40" s="51" t="s">
        <v>220</v>
      </c>
      <c r="E40" s="51" t="s">
        <v>222</v>
      </c>
      <c r="F40" s="51" t="s">
        <v>277</v>
      </c>
      <c r="G40" s="208">
        <v>0.0</v>
      </c>
      <c r="H40" s="208">
        <v>40.0</v>
      </c>
      <c r="I40" s="208">
        <v>30.0</v>
      </c>
      <c r="J40" s="209">
        <v>0.2</v>
      </c>
      <c r="K40" s="210">
        <v>0.13</v>
      </c>
      <c r="L40" s="124"/>
    </row>
    <row r="41">
      <c r="A41" s="46"/>
      <c r="B41" s="203"/>
      <c r="C41" s="51"/>
      <c r="D41" s="51"/>
      <c r="E41" s="51"/>
      <c r="F41" s="51"/>
      <c r="G41" s="51">
        <v>1.0</v>
      </c>
      <c r="H41" s="51"/>
      <c r="I41" s="51"/>
      <c r="J41" s="209">
        <v>0.2</v>
      </c>
      <c r="K41" s="211"/>
      <c r="L41" s="124"/>
    </row>
    <row r="42">
      <c r="A42" s="46"/>
      <c r="B42" s="203"/>
      <c r="C42" s="51"/>
      <c r="D42" s="51"/>
      <c r="E42" s="51"/>
      <c r="F42" s="51"/>
      <c r="G42" s="51">
        <v>2.0</v>
      </c>
      <c r="H42" s="51"/>
      <c r="I42" s="51"/>
      <c r="J42" s="209">
        <v>0.2</v>
      </c>
      <c r="K42" s="211"/>
      <c r="L42" s="124"/>
    </row>
    <row r="43">
      <c r="A43" s="46"/>
      <c r="B43" s="203"/>
      <c r="C43" s="51"/>
      <c r="D43" s="51"/>
      <c r="E43" s="51"/>
      <c r="F43" s="51"/>
      <c r="G43" s="51">
        <v>3.0</v>
      </c>
      <c r="H43" s="51"/>
      <c r="I43" s="51"/>
      <c r="J43" s="209">
        <v>0.2</v>
      </c>
      <c r="K43" s="211"/>
      <c r="L43" s="124"/>
    </row>
    <row r="44">
      <c r="A44" s="46"/>
      <c r="B44" s="204"/>
      <c r="C44" s="205"/>
      <c r="D44" s="205"/>
      <c r="E44" s="205"/>
      <c r="F44" s="205"/>
      <c r="G44" s="205">
        <v>4.0</v>
      </c>
      <c r="H44" s="205"/>
      <c r="I44" s="205"/>
      <c r="J44" s="206">
        <v>0.2</v>
      </c>
      <c r="K44" s="212"/>
      <c r="L44" s="124"/>
    </row>
    <row r="45">
      <c r="A45" s="46"/>
      <c r="B45" s="203">
        <v>1009.0</v>
      </c>
      <c r="C45" s="51" t="str">
        <f t="array" ref="C45:E45">XLOOKUP(B45, Chr!$B$5:$B$19, Chr!$C$5:$E$19)</f>
        <v>Crossbowman</v>
      </c>
      <c r="D45" s="51" t="s">
        <v>220</v>
      </c>
      <c r="E45" s="51" t="s">
        <v>223</v>
      </c>
      <c r="F45" s="51" t="s">
        <v>277</v>
      </c>
      <c r="G45" s="208">
        <v>0.0</v>
      </c>
      <c r="H45" s="208">
        <v>35.0</v>
      </c>
      <c r="I45" s="208">
        <v>15.0</v>
      </c>
      <c r="J45" s="201">
        <v>0.12</v>
      </c>
      <c r="K45" s="210">
        <v>0.13</v>
      </c>
      <c r="L45" s="124"/>
    </row>
    <row r="46">
      <c r="A46" s="46"/>
      <c r="B46" s="203"/>
      <c r="C46" s="51"/>
      <c r="D46" s="51"/>
      <c r="E46" s="51"/>
      <c r="F46" s="51"/>
      <c r="G46" s="51">
        <v>1.0</v>
      </c>
      <c r="H46" s="51">
        <v>81.0</v>
      </c>
      <c r="I46" s="51">
        <v>33.0</v>
      </c>
      <c r="J46" s="201">
        <v>0.12</v>
      </c>
      <c r="K46" s="211"/>
      <c r="L46" s="124"/>
    </row>
    <row r="47">
      <c r="A47" s="46"/>
      <c r="B47" s="203"/>
      <c r="C47" s="51"/>
      <c r="D47" s="51"/>
      <c r="E47" s="51"/>
      <c r="F47" s="51"/>
      <c r="G47" s="51">
        <v>2.0</v>
      </c>
      <c r="H47" s="51">
        <v>146.0</v>
      </c>
      <c r="I47" s="51">
        <v>63.0</v>
      </c>
      <c r="J47" s="201">
        <v>0.12</v>
      </c>
      <c r="K47" s="211"/>
      <c r="L47" s="124"/>
    </row>
    <row r="48">
      <c r="A48" s="46"/>
      <c r="B48" s="203"/>
      <c r="C48" s="51"/>
      <c r="D48" s="51"/>
      <c r="E48" s="51"/>
      <c r="F48" s="51"/>
      <c r="G48" s="51">
        <v>3.0</v>
      </c>
      <c r="H48" s="51"/>
      <c r="I48" s="51"/>
      <c r="J48" s="201">
        <v>0.12</v>
      </c>
      <c r="K48" s="211"/>
      <c r="L48" s="124"/>
    </row>
    <row r="49">
      <c r="A49" s="46"/>
      <c r="B49" s="204"/>
      <c r="C49" s="205"/>
      <c r="D49" s="205"/>
      <c r="E49" s="205"/>
      <c r="F49" s="205"/>
      <c r="G49" s="205">
        <v>4.0</v>
      </c>
      <c r="H49" s="205"/>
      <c r="I49" s="205"/>
      <c r="J49" s="206">
        <v>0.12</v>
      </c>
      <c r="K49" s="212"/>
      <c r="L49" s="124"/>
    </row>
    <row r="50">
      <c r="A50" s="46"/>
      <c r="B50" s="203">
        <v>1010.0</v>
      </c>
      <c r="C50" s="51" t="str">
        <f t="array" ref="C50:E50">XLOOKUP(B50, Chr!$B$5:$B$19, Chr!$C$5:$E$19)</f>
        <v>heavycavalry</v>
      </c>
      <c r="D50" s="51" t="s">
        <v>220</v>
      </c>
      <c r="E50" s="51" t="s">
        <v>224</v>
      </c>
      <c r="F50" s="51" t="s">
        <v>292</v>
      </c>
      <c r="G50" s="208">
        <v>0.0</v>
      </c>
      <c r="H50" s="208">
        <v>85.0</v>
      </c>
      <c r="I50" s="208">
        <v>20.0</v>
      </c>
      <c r="J50" s="209">
        <v>0.1</v>
      </c>
      <c r="K50" s="210"/>
      <c r="L50" s="124"/>
    </row>
    <row r="51">
      <c r="A51" s="46"/>
      <c r="B51" s="203"/>
      <c r="C51" s="51"/>
      <c r="D51" s="51"/>
      <c r="E51" s="51"/>
      <c r="F51" s="51"/>
      <c r="G51" s="51">
        <v>1.0</v>
      </c>
      <c r="H51" s="51"/>
      <c r="I51" s="51"/>
      <c r="J51" s="209">
        <v>0.1</v>
      </c>
      <c r="K51" s="211"/>
      <c r="L51" s="124"/>
    </row>
    <row r="52">
      <c r="A52" s="46"/>
      <c r="B52" s="203"/>
      <c r="C52" s="51"/>
      <c r="D52" s="51"/>
      <c r="E52" s="51"/>
      <c r="F52" s="51"/>
      <c r="G52" s="51">
        <v>2.0</v>
      </c>
      <c r="H52" s="51"/>
      <c r="I52" s="51"/>
      <c r="J52" s="209">
        <v>0.1</v>
      </c>
      <c r="K52" s="211"/>
      <c r="L52" s="124"/>
    </row>
    <row r="53">
      <c r="A53" s="46"/>
      <c r="B53" s="203"/>
      <c r="C53" s="51"/>
      <c r="D53" s="51"/>
      <c r="E53" s="51"/>
      <c r="F53" s="51"/>
      <c r="G53" s="51">
        <v>3.0</v>
      </c>
      <c r="H53" s="51"/>
      <c r="I53" s="51"/>
      <c r="J53" s="209">
        <v>0.1</v>
      </c>
      <c r="K53" s="211"/>
      <c r="L53" s="124"/>
    </row>
    <row r="54">
      <c r="A54" s="46"/>
      <c r="B54" s="204"/>
      <c r="C54" s="205"/>
      <c r="D54" s="205"/>
      <c r="E54" s="205"/>
      <c r="F54" s="205"/>
      <c r="G54" s="205">
        <v>4.0</v>
      </c>
      <c r="H54" s="205"/>
      <c r="I54" s="205"/>
      <c r="J54" s="209">
        <v>0.1</v>
      </c>
      <c r="K54" s="212"/>
      <c r="L54" s="124"/>
    </row>
    <row r="55">
      <c r="A55" s="46"/>
      <c r="B55" s="203">
        <v>1011.0</v>
      </c>
      <c r="C55" s="51" t="str">
        <f t="array" ref="C55:E55">XLOOKUP(B55, Chr!$B$5:$B$19, Chr!$C$5:$E$19)</f>
        <v>heavywarrior</v>
      </c>
      <c r="D55" s="51" t="s">
        <v>220</v>
      </c>
      <c r="E55" s="51" t="s">
        <v>225</v>
      </c>
      <c r="F55" s="51" t="s">
        <v>361</v>
      </c>
      <c r="G55" s="208">
        <v>0.0</v>
      </c>
      <c r="H55" s="208">
        <v>200.0</v>
      </c>
      <c r="I55" s="208">
        <v>38.0</v>
      </c>
      <c r="J55" s="209">
        <v>0.1</v>
      </c>
      <c r="K55" s="210"/>
      <c r="L55" s="124"/>
    </row>
    <row r="56">
      <c r="A56" s="46"/>
      <c r="B56" s="203"/>
      <c r="C56" s="51"/>
      <c r="D56" s="51"/>
      <c r="E56" s="51"/>
      <c r="F56" s="51"/>
      <c r="G56" s="51">
        <v>1.0</v>
      </c>
      <c r="H56" s="51"/>
      <c r="I56" s="51"/>
      <c r="J56" s="209">
        <v>0.1</v>
      </c>
      <c r="K56" s="211"/>
      <c r="L56" s="124"/>
    </row>
    <row r="57">
      <c r="A57" s="46"/>
      <c r="B57" s="203"/>
      <c r="C57" s="51"/>
      <c r="D57" s="51"/>
      <c r="E57" s="51"/>
      <c r="F57" s="51"/>
      <c r="G57" s="51">
        <v>2.0</v>
      </c>
      <c r="H57" s="51"/>
      <c r="I57" s="51"/>
      <c r="J57" s="209">
        <v>0.1</v>
      </c>
      <c r="K57" s="211"/>
      <c r="L57" s="124"/>
    </row>
    <row r="58">
      <c r="A58" s="46"/>
      <c r="B58" s="203"/>
      <c r="C58" s="51"/>
      <c r="D58" s="51"/>
      <c r="E58" s="51"/>
      <c r="F58" s="51"/>
      <c r="G58" s="51">
        <v>3.0</v>
      </c>
      <c r="H58" s="51"/>
      <c r="I58" s="51"/>
      <c r="J58" s="209">
        <v>0.1</v>
      </c>
      <c r="K58" s="211"/>
      <c r="L58" s="124"/>
    </row>
    <row r="59">
      <c r="A59" s="46"/>
      <c r="B59" s="204"/>
      <c r="C59" s="205"/>
      <c r="D59" s="205"/>
      <c r="E59" s="205"/>
      <c r="F59" s="205"/>
      <c r="G59" s="205">
        <v>4.0</v>
      </c>
      <c r="H59" s="205"/>
      <c r="I59" s="205"/>
      <c r="J59" s="209">
        <v>0.1</v>
      </c>
      <c r="K59" s="212"/>
      <c r="L59" s="124"/>
    </row>
    <row r="60">
      <c r="A60" s="46"/>
      <c r="B60" s="203">
        <v>1012.0</v>
      </c>
      <c r="C60" s="51" t="str">
        <f t="array" ref="C60:E60">XLOOKUP(B60, Chr!$B$5:$B$19, Chr!$C$5:$E$19)</f>
        <v>epic_spearman</v>
      </c>
      <c r="D60" s="51" t="s">
        <v>211</v>
      </c>
      <c r="E60" s="51" t="s">
        <v>216</v>
      </c>
      <c r="F60" s="51" t="s">
        <v>360</v>
      </c>
      <c r="G60" s="208">
        <v>0.0</v>
      </c>
      <c r="H60" s="208">
        <v>120.0</v>
      </c>
      <c r="I60" s="208">
        <v>43.0</v>
      </c>
      <c r="J60" s="209">
        <v>0.15</v>
      </c>
      <c r="K60" s="210">
        <v>0.14</v>
      </c>
      <c r="L60" s="124"/>
    </row>
    <row r="61">
      <c r="A61" s="46"/>
      <c r="B61" s="203"/>
      <c r="C61" s="51"/>
      <c r="D61" s="51"/>
      <c r="E61" s="51"/>
      <c r="F61" s="51"/>
      <c r="G61" s="51">
        <v>1.0</v>
      </c>
      <c r="H61" s="51"/>
      <c r="I61" s="51"/>
      <c r="J61" s="209">
        <v>0.15</v>
      </c>
      <c r="K61" s="211"/>
      <c r="L61" s="124"/>
    </row>
    <row r="62">
      <c r="A62" s="46"/>
      <c r="B62" s="203"/>
      <c r="C62" s="51"/>
      <c r="D62" s="51"/>
      <c r="E62" s="51"/>
      <c r="F62" s="51"/>
      <c r="G62" s="51">
        <v>2.0</v>
      </c>
      <c r="H62" s="51"/>
      <c r="I62" s="51"/>
      <c r="J62" s="209">
        <v>0.15</v>
      </c>
      <c r="K62" s="211"/>
      <c r="L62" s="124"/>
    </row>
    <row r="63">
      <c r="A63" s="46"/>
      <c r="B63" s="203"/>
      <c r="C63" s="51"/>
      <c r="D63" s="51"/>
      <c r="E63" s="51"/>
      <c r="F63" s="51"/>
      <c r="G63" s="51">
        <v>3.0</v>
      </c>
      <c r="H63" s="51"/>
      <c r="I63" s="51"/>
      <c r="J63" s="209">
        <v>0.15</v>
      </c>
      <c r="K63" s="211"/>
      <c r="L63" s="124"/>
    </row>
    <row r="64">
      <c r="A64" s="46"/>
      <c r="B64" s="204"/>
      <c r="C64" s="205"/>
      <c r="D64" s="205"/>
      <c r="E64" s="205"/>
      <c r="F64" s="205"/>
      <c r="G64" s="205">
        <v>4.0</v>
      </c>
      <c r="H64" s="205"/>
      <c r="I64" s="205"/>
      <c r="J64" s="206">
        <v>0.15</v>
      </c>
      <c r="K64" s="212"/>
      <c r="L64" s="124"/>
    </row>
    <row r="65">
      <c r="A65" s="46"/>
      <c r="B65" s="203">
        <v>1013.0</v>
      </c>
      <c r="C65" s="51" t="str">
        <f t="array" ref="C65:E65">XLOOKUP(B65, Chr!$B$5:$B$19, Chr!$C$5:$E$19)</f>
        <v>ninja</v>
      </c>
      <c r="D65" s="51" t="s">
        <v>211</v>
      </c>
      <c r="E65" s="51" t="s">
        <v>217</v>
      </c>
      <c r="F65" s="51" t="s">
        <v>277</v>
      </c>
      <c r="G65" s="208">
        <v>0.0</v>
      </c>
      <c r="H65" s="208"/>
      <c r="I65" s="208"/>
      <c r="J65" s="208" t="s">
        <v>90</v>
      </c>
      <c r="K65" s="210"/>
      <c r="L65" s="124"/>
    </row>
    <row r="66">
      <c r="A66" s="46"/>
      <c r="B66" s="203"/>
      <c r="C66" s="51"/>
      <c r="D66" s="51"/>
      <c r="E66" s="51"/>
      <c r="F66" s="51"/>
      <c r="G66" s="51">
        <v>1.0</v>
      </c>
      <c r="H66" s="51"/>
      <c r="I66" s="51"/>
      <c r="J66" s="208" t="s">
        <v>90</v>
      </c>
      <c r="K66" s="211"/>
      <c r="L66" s="124"/>
    </row>
    <row r="67">
      <c r="A67" s="46"/>
      <c r="B67" s="203"/>
      <c r="C67" s="51"/>
      <c r="D67" s="51"/>
      <c r="E67" s="51"/>
      <c r="F67" s="51"/>
      <c r="G67" s="51">
        <v>2.0</v>
      </c>
      <c r="H67" s="51"/>
      <c r="I67" s="51"/>
      <c r="J67" s="208" t="s">
        <v>90</v>
      </c>
      <c r="K67" s="211"/>
      <c r="L67" s="124"/>
    </row>
    <row r="68">
      <c r="A68" s="46"/>
      <c r="B68" s="203"/>
      <c r="C68" s="51"/>
      <c r="D68" s="51"/>
      <c r="E68" s="51"/>
      <c r="F68" s="51"/>
      <c r="G68" s="51">
        <v>3.0</v>
      </c>
      <c r="H68" s="51"/>
      <c r="I68" s="51"/>
      <c r="J68" s="208" t="s">
        <v>90</v>
      </c>
      <c r="K68" s="211"/>
      <c r="L68" s="124"/>
    </row>
    <row r="69">
      <c r="A69" s="46"/>
      <c r="B69" s="204"/>
      <c r="C69" s="205"/>
      <c r="D69" s="205"/>
      <c r="E69" s="205"/>
      <c r="F69" s="205"/>
      <c r="G69" s="205">
        <v>4.0</v>
      </c>
      <c r="H69" s="205"/>
      <c r="I69" s="205"/>
      <c r="J69" s="205" t="s">
        <v>90</v>
      </c>
      <c r="K69" s="212"/>
      <c r="L69" s="124"/>
    </row>
    <row r="70">
      <c r="A70" s="46"/>
      <c r="B70" s="203">
        <v>1014.0</v>
      </c>
      <c r="C70" s="51" t="str">
        <f t="array" ref="C70:E70">XLOOKUP(B70, Chr!$B$5:$B$19, Chr!$C$5:$E$19)</f>
        <v>paladin</v>
      </c>
      <c r="D70" s="51" t="s">
        <v>211</v>
      </c>
      <c r="E70" s="51" t="s">
        <v>218</v>
      </c>
      <c r="F70" s="51" t="s">
        <v>292</v>
      </c>
      <c r="G70" s="208">
        <v>0.0</v>
      </c>
      <c r="H70" s="208"/>
      <c r="I70" s="208"/>
      <c r="J70" s="208" t="s">
        <v>90</v>
      </c>
      <c r="K70" s="210"/>
      <c r="L70" s="124"/>
    </row>
    <row r="71">
      <c r="A71" s="46"/>
      <c r="B71" s="203"/>
      <c r="C71" s="51"/>
      <c r="D71" s="51"/>
      <c r="E71" s="51"/>
      <c r="F71" s="51"/>
      <c r="G71" s="51">
        <v>1.0</v>
      </c>
      <c r="H71" s="51"/>
      <c r="I71" s="51"/>
      <c r="J71" s="208" t="s">
        <v>90</v>
      </c>
      <c r="K71" s="211"/>
      <c r="L71" s="124"/>
    </row>
    <row r="72">
      <c r="A72" s="46"/>
      <c r="B72" s="203"/>
      <c r="C72" s="51"/>
      <c r="D72" s="51"/>
      <c r="E72" s="51"/>
      <c r="F72" s="51"/>
      <c r="G72" s="51">
        <v>2.0</v>
      </c>
      <c r="H72" s="51"/>
      <c r="I72" s="51"/>
      <c r="J72" s="208" t="s">
        <v>90</v>
      </c>
      <c r="K72" s="211"/>
      <c r="L72" s="124"/>
    </row>
    <row r="73">
      <c r="A73" s="46"/>
      <c r="B73" s="203"/>
      <c r="C73" s="51"/>
      <c r="D73" s="51"/>
      <c r="E73" s="51"/>
      <c r="F73" s="51"/>
      <c r="G73" s="51">
        <v>3.0</v>
      </c>
      <c r="H73" s="51"/>
      <c r="I73" s="51"/>
      <c r="J73" s="208" t="s">
        <v>90</v>
      </c>
      <c r="K73" s="211"/>
      <c r="L73" s="124"/>
    </row>
    <row r="74">
      <c r="A74" s="46"/>
      <c r="B74" s="204"/>
      <c r="C74" s="205"/>
      <c r="D74" s="205"/>
      <c r="E74" s="205"/>
      <c r="F74" s="205"/>
      <c r="G74" s="205">
        <v>4.0</v>
      </c>
      <c r="H74" s="205"/>
      <c r="I74" s="205"/>
      <c r="J74" s="205" t="s">
        <v>90</v>
      </c>
      <c r="K74" s="212"/>
      <c r="L74" s="124"/>
    </row>
    <row r="75">
      <c r="A75" s="46"/>
      <c r="B75" s="203">
        <v>1015.0</v>
      </c>
      <c r="C75" s="51" t="str">
        <f t="array" ref="C75:E75">XLOOKUP(B75, Chr!$B$5:$B$19, Chr!$C$5:$E$19)</f>
        <v>prinitiveman</v>
      </c>
      <c r="D75" s="51" t="s">
        <v>211</v>
      </c>
      <c r="E75" s="51" t="s">
        <v>219</v>
      </c>
      <c r="F75" s="51" t="s">
        <v>360</v>
      </c>
      <c r="G75" s="208">
        <v>0.0</v>
      </c>
      <c r="H75" s="208"/>
      <c r="I75" s="208"/>
      <c r="J75" s="208" t="s">
        <v>90</v>
      </c>
      <c r="K75" s="210"/>
      <c r="L75" s="124"/>
    </row>
    <row r="76">
      <c r="A76" s="46"/>
      <c r="B76" s="203"/>
      <c r="C76" s="51"/>
      <c r="D76" s="51"/>
      <c r="E76" s="51"/>
      <c r="F76" s="51"/>
      <c r="G76" s="51">
        <v>1.0</v>
      </c>
      <c r="H76" s="51"/>
      <c r="I76" s="51"/>
      <c r="J76" s="208" t="s">
        <v>90</v>
      </c>
      <c r="K76" s="211"/>
      <c r="L76" s="124"/>
    </row>
    <row r="77">
      <c r="A77" s="46"/>
      <c r="B77" s="203"/>
      <c r="C77" s="51"/>
      <c r="D77" s="51"/>
      <c r="E77" s="51"/>
      <c r="F77" s="51"/>
      <c r="G77" s="51">
        <v>2.0</v>
      </c>
      <c r="H77" s="51"/>
      <c r="I77" s="51"/>
      <c r="J77" s="208" t="s">
        <v>90</v>
      </c>
      <c r="K77" s="211"/>
      <c r="L77" s="124"/>
    </row>
    <row r="78">
      <c r="A78" s="46"/>
      <c r="B78" s="203"/>
      <c r="C78" s="51"/>
      <c r="D78" s="51"/>
      <c r="E78" s="51"/>
      <c r="F78" s="51"/>
      <c r="G78" s="51">
        <v>3.0</v>
      </c>
      <c r="H78" s="51"/>
      <c r="I78" s="51"/>
      <c r="J78" s="208" t="s">
        <v>90</v>
      </c>
      <c r="K78" s="211"/>
      <c r="L78" s="124"/>
    </row>
    <row r="79">
      <c r="A79" s="46"/>
      <c r="B79" s="213"/>
      <c r="C79" s="214"/>
      <c r="D79" s="214"/>
      <c r="E79" s="214"/>
      <c r="F79" s="214"/>
      <c r="G79" s="214">
        <v>4.0</v>
      </c>
      <c r="H79" s="214"/>
      <c r="I79" s="214"/>
      <c r="J79" s="214" t="s">
        <v>90</v>
      </c>
      <c r="K79" s="215"/>
      <c r="L79" s="124"/>
    </row>
    <row r="80">
      <c r="A80" s="41"/>
      <c r="B80" s="114"/>
      <c r="C80" s="114"/>
      <c r="D80" s="114"/>
      <c r="E80" s="114"/>
      <c r="F80" s="114"/>
      <c r="G80" s="114"/>
      <c r="H80" s="114"/>
      <c r="I80" s="114"/>
      <c r="J80" s="114"/>
      <c r="K80" s="114"/>
      <c r="L80" s="41"/>
    </row>
  </sheetData>
  <mergeCells count="1">
    <mergeCell ref="B2:K2"/>
  </mergeCells>
  <dataValidations>
    <dataValidation type="list" allowBlank="1" showErrorMessage="1" sqref="D5 D10 D15 D20 D25 D30 D35 D40 D45 D50 D55 D60 D65 D70 D75">
      <formula1>"우수,희귀,서사"</formula1>
    </dataValidation>
    <dataValidation type="list" allowBlank="1" showErrorMessage="1" sqref="F5 F10 F15 F20 F25 F30 F35 F40 F45 F50 F55 F60 F65 F70 F75">
      <formula1>"보병,원거리,기병,중갑"</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63"/>
    <col customWidth="1" min="4" max="5" width="6.38"/>
    <col customWidth="1" min="7" max="7" width="6.38"/>
    <col customWidth="1" min="9" max="9" width="6.38"/>
    <col customWidth="1" min="10" max="10" width="88.5"/>
    <col customWidth="1" min="11" max="11" width="2.63"/>
  </cols>
  <sheetData>
    <row r="1">
      <c r="A1" s="41"/>
      <c r="B1" s="216"/>
      <c r="C1" s="41"/>
      <c r="D1" s="41"/>
      <c r="E1" s="41"/>
      <c r="F1" s="41"/>
      <c r="G1" s="41"/>
      <c r="H1" s="41"/>
      <c r="I1" s="41"/>
      <c r="J1" s="41"/>
      <c r="K1" s="41"/>
    </row>
    <row r="2">
      <c r="A2" s="41"/>
      <c r="B2" s="217" t="s">
        <v>362</v>
      </c>
      <c r="C2" s="42"/>
      <c r="D2" s="42"/>
      <c r="E2" s="42"/>
      <c r="F2" s="42"/>
      <c r="G2" s="42"/>
      <c r="H2" s="42"/>
      <c r="I2" s="42"/>
      <c r="J2" s="42"/>
      <c r="K2" s="41"/>
    </row>
    <row r="3">
      <c r="A3" s="18"/>
      <c r="B3" s="218" t="s">
        <v>345</v>
      </c>
      <c r="C3" s="219" t="s">
        <v>347</v>
      </c>
      <c r="D3" s="219" t="s">
        <v>349</v>
      </c>
      <c r="E3" s="219" t="s">
        <v>6</v>
      </c>
      <c r="F3" s="219" t="s">
        <v>363</v>
      </c>
      <c r="G3" s="219" t="s">
        <v>350</v>
      </c>
      <c r="H3" s="219" t="s">
        <v>364</v>
      </c>
      <c r="I3" s="219" t="s">
        <v>351</v>
      </c>
      <c r="J3" s="220" t="s">
        <v>365</v>
      </c>
      <c r="K3" s="124"/>
    </row>
    <row r="4">
      <c r="A4" s="18"/>
      <c r="B4" s="221" t="s">
        <v>323</v>
      </c>
      <c r="C4" s="222" t="s">
        <v>326</v>
      </c>
      <c r="D4" s="222" t="s">
        <v>366</v>
      </c>
      <c r="E4" s="222" t="s">
        <v>367</v>
      </c>
      <c r="F4" s="222" t="s">
        <v>368</v>
      </c>
      <c r="G4" s="222" t="s">
        <v>213</v>
      </c>
      <c r="H4" s="222" t="s">
        <v>369</v>
      </c>
      <c r="I4" s="222" t="s">
        <v>357</v>
      </c>
      <c r="J4" s="223" t="s">
        <v>370</v>
      </c>
      <c r="K4" s="124"/>
    </row>
    <row r="5">
      <c r="A5" s="18"/>
      <c r="B5" s="224">
        <v>1001.0</v>
      </c>
      <c r="C5" s="225" t="str">
        <f t="array" ref="C5">XLOOKUP(B5, Chr!$B$5:$B$19, Chr!$E$5:$E$19, "")</f>
        <v>전사</v>
      </c>
      <c r="D5" s="226">
        <v>0.0</v>
      </c>
      <c r="E5" s="226">
        <v>1.0</v>
      </c>
      <c r="F5" s="226">
        <v>6.0</v>
      </c>
      <c r="G5" s="226">
        <v>64.0</v>
      </c>
      <c r="H5" s="226">
        <v>2.0</v>
      </c>
      <c r="I5" s="226">
        <v>22.0</v>
      </c>
      <c r="J5" s="227"/>
      <c r="K5" s="124"/>
    </row>
    <row r="6">
      <c r="A6" s="18"/>
      <c r="B6" s="228"/>
      <c r="C6" s="229" t="str">
        <f t="array" ref="C6">XLOOKUP(B6, Chr!$B$5:$B$19, Chr!$E$5:$E$19, "")</f>
        <v/>
      </c>
      <c r="D6" s="51"/>
      <c r="E6" s="51">
        <v>2.0</v>
      </c>
      <c r="F6" s="51">
        <v>6.0</v>
      </c>
      <c r="G6" s="51">
        <v>70.0</v>
      </c>
      <c r="H6" s="51">
        <v>2.0</v>
      </c>
      <c r="I6" s="51">
        <v>24.0</v>
      </c>
      <c r="J6" s="230"/>
      <c r="K6" s="124"/>
    </row>
    <row r="7">
      <c r="A7" s="18"/>
      <c r="B7" s="231"/>
      <c r="C7" s="232" t="str">
        <f t="array" ref="C7">XLOOKUP(B7, Chr!$B$5:$B$19, Chr!$E$5:$E$19, "")</f>
        <v/>
      </c>
      <c r="D7" s="51"/>
      <c r="E7" s="51">
        <v>3.0</v>
      </c>
      <c r="F7" s="233">
        <v>7.0</v>
      </c>
      <c r="G7" s="51">
        <v>77.0</v>
      </c>
      <c r="H7" s="51">
        <v>2.0</v>
      </c>
      <c r="I7" s="51">
        <v>26.0</v>
      </c>
      <c r="J7" s="230"/>
      <c r="K7" s="124"/>
    </row>
    <row r="8">
      <c r="A8" s="18"/>
      <c r="B8" s="231"/>
      <c r="C8" s="232" t="str">
        <f t="array" ref="C8">XLOOKUP(B8, Chr!$B$5:$B$19, Chr!$E$5:$E$19, "")</f>
        <v/>
      </c>
      <c r="D8" s="51"/>
      <c r="E8" s="51">
        <v>4.0</v>
      </c>
      <c r="F8" s="51">
        <v>6.0</v>
      </c>
      <c r="G8" s="51">
        <v>83.0</v>
      </c>
      <c r="H8" s="233">
        <v>3.0</v>
      </c>
      <c r="I8" s="51">
        <v>29.0</v>
      </c>
      <c r="J8" s="234"/>
      <c r="K8" s="124"/>
    </row>
    <row r="9">
      <c r="A9" s="18"/>
      <c r="B9" s="231"/>
      <c r="C9" s="232" t="str">
        <f t="array" ref="C9">XLOOKUP(B9, Chr!$B$5:$B$19, Chr!$E$5:$E$19, "")</f>
        <v/>
      </c>
      <c r="D9" s="51"/>
      <c r="E9" s="51">
        <v>5.0</v>
      </c>
      <c r="F9" s="233">
        <v>7.0</v>
      </c>
      <c r="G9" s="51">
        <v>90.0</v>
      </c>
      <c r="H9" s="51">
        <v>2.0</v>
      </c>
      <c r="I9" s="51">
        <v>31.0</v>
      </c>
      <c r="J9" s="211" t="s">
        <v>371</v>
      </c>
      <c r="K9" s="124"/>
    </row>
    <row r="10">
      <c r="A10" s="18"/>
      <c r="B10" s="231"/>
      <c r="C10" s="232" t="str">
        <f t="array" ref="C10">XLOOKUP(B10, Chr!$B$5:$B$19, Chr!$E$5:$E$19, "")</f>
        <v/>
      </c>
      <c r="D10" s="51"/>
      <c r="E10" s="51">
        <v>6.0</v>
      </c>
      <c r="F10" s="51">
        <v>6.0</v>
      </c>
      <c r="G10" s="51">
        <v>96.0</v>
      </c>
      <c r="H10" s="51">
        <v>2.0</v>
      </c>
      <c r="I10" s="51">
        <v>33.0</v>
      </c>
      <c r="J10" s="235"/>
      <c r="K10" s="124"/>
    </row>
    <row r="11">
      <c r="A11" s="18"/>
      <c r="B11" s="231"/>
      <c r="C11" s="232" t="str">
        <f t="array" ref="C11">XLOOKUP(B11, Chr!$B$5:$B$19, Chr!$E$5:$E$19, "")</f>
        <v/>
      </c>
      <c r="D11" s="51"/>
      <c r="E11" s="51">
        <v>7.0</v>
      </c>
      <c r="F11" s="51">
        <v>6.0</v>
      </c>
      <c r="G11" s="51">
        <v>102.0</v>
      </c>
      <c r="H11" s="51">
        <v>2.0</v>
      </c>
      <c r="I11" s="51">
        <v>35.0</v>
      </c>
      <c r="J11" s="230"/>
      <c r="K11" s="124"/>
    </row>
    <row r="12">
      <c r="A12" s="18"/>
      <c r="B12" s="231"/>
      <c r="C12" s="232" t="str">
        <f t="array" ref="C12">XLOOKUP(B12, Chr!$B$5:$B$19, Chr!$E$5:$E$19, "")</f>
        <v/>
      </c>
      <c r="D12" s="51"/>
      <c r="E12" s="51">
        <v>8.0</v>
      </c>
      <c r="F12" s="233">
        <v>7.0</v>
      </c>
      <c r="G12" s="51">
        <v>109.0</v>
      </c>
      <c r="H12" s="51">
        <v>2.0</v>
      </c>
      <c r="I12" s="51">
        <v>37.0</v>
      </c>
      <c r="J12" s="230"/>
      <c r="K12" s="124"/>
    </row>
    <row r="13">
      <c r="A13" s="18"/>
      <c r="B13" s="231"/>
      <c r="C13" s="232" t="str">
        <f t="array" ref="C13">XLOOKUP(B13, Chr!$B$5:$B$19, Chr!$E$5:$E$19, "")</f>
        <v/>
      </c>
      <c r="D13" s="51"/>
      <c r="E13" s="51">
        <v>9.0</v>
      </c>
      <c r="F13" s="51">
        <v>6.0</v>
      </c>
      <c r="G13" s="51">
        <v>115.0</v>
      </c>
      <c r="H13" s="233">
        <v>3.0</v>
      </c>
      <c r="I13" s="51">
        <v>40.0</v>
      </c>
      <c r="J13" s="230"/>
      <c r="K13" s="124"/>
    </row>
    <row r="14">
      <c r="A14" s="18"/>
      <c r="B14" s="231"/>
      <c r="C14" s="232" t="str">
        <f t="array" ref="C14">XLOOKUP(B14, Chr!$B$5:$B$19, Chr!$E$5:$E$19, "")</f>
        <v/>
      </c>
      <c r="D14" s="51"/>
      <c r="E14" s="51">
        <v>10.0</v>
      </c>
      <c r="F14" s="233">
        <v>7.0</v>
      </c>
      <c r="G14" s="51">
        <v>122.0</v>
      </c>
      <c r="H14" s="51">
        <v>2.0</v>
      </c>
      <c r="I14" s="51">
        <v>42.0</v>
      </c>
      <c r="J14" s="234"/>
      <c r="K14" s="124"/>
    </row>
    <row r="15">
      <c r="A15" s="18"/>
      <c r="B15" s="231"/>
      <c r="C15" s="232" t="str">
        <f t="array" ref="C15">XLOOKUP(B15, Chr!$B$5:$B$19, Chr!$E$5:$E$19, "")</f>
        <v/>
      </c>
      <c r="D15" s="51">
        <v>1.0</v>
      </c>
      <c r="E15" s="51" t="s">
        <v>349</v>
      </c>
      <c r="F15" s="51">
        <v>6.0</v>
      </c>
      <c r="G15" s="51">
        <v>146.0</v>
      </c>
      <c r="H15" s="51">
        <v>2.0</v>
      </c>
      <c r="I15" s="51">
        <v>50.0</v>
      </c>
      <c r="J15" s="211" t="s">
        <v>372</v>
      </c>
      <c r="K15" s="124"/>
    </row>
    <row r="16">
      <c r="A16" s="18"/>
      <c r="B16" s="231"/>
      <c r="C16" s="232" t="str">
        <f t="array" ref="C16">XLOOKUP(B16, Chr!$B$5:$B$19, Chr!$E$5:$E$19, "")</f>
        <v/>
      </c>
      <c r="D16" s="51"/>
      <c r="E16" s="51">
        <v>11.0</v>
      </c>
      <c r="F16" s="51">
        <v>6.0</v>
      </c>
      <c r="G16" s="51">
        <v>130.0</v>
      </c>
      <c r="H16" s="51">
        <v>2.0</v>
      </c>
      <c r="I16" s="51">
        <v>44.0</v>
      </c>
      <c r="J16" s="235"/>
      <c r="K16" s="124"/>
    </row>
    <row r="17">
      <c r="A17" s="18"/>
      <c r="B17" s="231"/>
      <c r="C17" s="232" t="str">
        <f t="array" ref="C17">XLOOKUP(B17, Chr!$B$5:$B$19, Chr!$E$5:$E$19, "")</f>
        <v/>
      </c>
      <c r="D17" s="51"/>
      <c r="E17" s="51">
        <v>12.0</v>
      </c>
      <c r="F17" s="51">
        <v>6.0</v>
      </c>
      <c r="G17" s="51">
        <f t="shared" ref="G17:G25" si="1">F17+G16</f>
        <v>136</v>
      </c>
      <c r="H17" s="51">
        <v>2.0</v>
      </c>
      <c r="I17" s="51">
        <v>46.0</v>
      </c>
      <c r="J17" s="230"/>
      <c r="K17" s="124"/>
    </row>
    <row r="18">
      <c r="A18" s="18"/>
      <c r="B18" s="231"/>
      <c r="C18" s="232" t="str">
        <f t="array" ref="C18">XLOOKUP(B18, Chr!$B$5:$B$19, Chr!$E$5:$E$19, "")</f>
        <v/>
      </c>
      <c r="D18" s="51"/>
      <c r="E18" s="51">
        <v>13.0</v>
      </c>
      <c r="F18" s="51">
        <v>6.0</v>
      </c>
      <c r="G18" s="51">
        <f t="shared" si="1"/>
        <v>142</v>
      </c>
      <c r="H18" s="51">
        <v>2.0</v>
      </c>
      <c r="I18" s="51">
        <v>48.0</v>
      </c>
      <c r="J18" s="230"/>
      <c r="K18" s="124"/>
    </row>
    <row r="19">
      <c r="A19" s="18"/>
      <c r="B19" s="231"/>
      <c r="C19" s="232" t="str">
        <f t="array" ref="C19">XLOOKUP(B19, Chr!$B$5:$B$19, Chr!$E$5:$E$19, "")</f>
        <v/>
      </c>
      <c r="D19" s="51"/>
      <c r="E19" s="51">
        <v>14.0</v>
      </c>
      <c r="F19" s="51">
        <v>6.0</v>
      </c>
      <c r="G19" s="51">
        <f t="shared" si="1"/>
        <v>148</v>
      </c>
      <c r="H19" s="51">
        <v>2.0</v>
      </c>
      <c r="I19" s="51">
        <v>50.0</v>
      </c>
      <c r="J19" s="234"/>
      <c r="K19" s="124"/>
    </row>
    <row r="20">
      <c r="A20" s="18"/>
      <c r="B20" s="231"/>
      <c r="C20" s="232" t="str">
        <f t="array" ref="C20">XLOOKUP(B20, Chr!$B$5:$B$19, Chr!$E$5:$E$19, "")</f>
        <v/>
      </c>
      <c r="D20" s="51"/>
      <c r="E20" s="51">
        <v>15.0</v>
      </c>
      <c r="F20" s="51">
        <v>6.0</v>
      </c>
      <c r="G20" s="51">
        <f t="shared" si="1"/>
        <v>154</v>
      </c>
      <c r="H20" s="51">
        <v>2.0</v>
      </c>
      <c r="I20" s="51">
        <v>52.0</v>
      </c>
      <c r="J20" s="211" t="s">
        <v>373</v>
      </c>
      <c r="K20" s="124"/>
    </row>
    <row r="21">
      <c r="A21" s="18"/>
      <c r="B21" s="231"/>
      <c r="C21" s="232" t="str">
        <f t="array" ref="C21">XLOOKUP(B21, Chr!$B$5:$B$19, Chr!$E$5:$E$19, "")</f>
        <v/>
      </c>
      <c r="D21" s="51"/>
      <c r="E21" s="51">
        <v>16.0</v>
      </c>
      <c r="F21" s="51">
        <v>6.0</v>
      </c>
      <c r="G21" s="51">
        <f t="shared" si="1"/>
        <v>160</v>
      </c>
      <c r="H21" s="51">
        <v>2.0</v>
      </c>
      <c r="I21" s="51">
        <v>54.0</v>
      </c>
      <c r="J21" s="235"/>
      <c r="K21" s="124"/>
    </row>
    <row r="22">
      <c r="A22" s="18"/>
      <c r="B22" s="231"/>
      <c r="C22" s="232" t="str">
        <f t="array" ref="C22">XLOOKUP(B22, Chr!$B$5:$B$19, Chr!$E$5:$E$19, "")</f>
        <v/>
      </c>
      <c r="D22" s="51"/>
      <c r="E22" s="51">
        <v>17.0</v>
      </c>
      <c r="F22" s="51">
        <v>6.0</v>
      </c>
      <c r="G22" s="51">
        <f t="shared" si="1"/>
        <v>166</v>
      </c>
      <c r="H22" s="51">
        <v>2.0</v>
      </c>
      <c r="I22" s="51">
        <v>56.0</v>
      </c>
      <c r="J22" s="230"/>
      <c r="K22" s="124"/>
    </row>
    <row r="23">
      <c r="A23" s="18"/>
      <c r="B23" s="231"/>
      <c r="C23" s="232" t="str">
        <f t="array" ref="C23">XLOOKUP(B23, Chr!$B$5:$B$19, Chr!$E$5:$E$19, "")</f>
        <v/>
      </c>
      <c r="D23" s="51"/>
      <c r="E23" s="51">
        <v>18.0</v>
      </c>
      <c r="F23" s="51">
        <v>6.0</v>
      </c>
      <c r="G23" s="51">
        <f t="shared" si="1"/>
        <v>172</v>
      </c>
      <c r="H23" s="51">
        <v>2.0</v>
      </c>
      <c r="I23" s="51">
        <v>58.0</v>
      </c>
      <c r="J23" s="230"/>
      <c r="K23" s="124"/>
    </row>
    <row r="24">
      <c r="A24" s="18"/>
      <c r="B24" s="231"/>
      <c r="C24" s="232" t="str">
        <f t="array" ref="C24">XLOOKUP(B24, Chr!$B$5:$B$19, Chr!$E$5:$E$19, "")</f>
        <v/>
      </c>
      <c r="D24" s="51"/>
      <c r="E24" s="51">
        <v>19.0</v>
      </c>
      <c r="F24" s="51">
        <v>6.0</v>
      </c>
      <c r="G24" s="51">
        <f t="shared" si="1"/>
        <v>178</v>
      </c>
      <c r="H24" s="51">
        <v>2.0</v>
      </c>
      <c r="I24" s="51">
        <v>60.0</v>
      </c>
      <c r="J24" s="230"/>
      <c r="K24" s="124"/>
    </row>
    <row r="25">
      <c r="A25" s="18"/>
      <c r="B25" s="231"/>
      <c r="C25" s="232" t="str">
        <f t="array" ref="C25">XLOOKUP(B25, Chr!$B$5:$B$19, Chr!$E$5:$E$19, "")</f>
        <v/>
      </c>
      <c r="D25" s="51"/>
      <c r="E25" s="51">
        <v>20.0</v>
      </c>
      <c r="F25" s="51">
        <v>6.0</v>
      </c>
      <c r="G25" s="51">
        <f t="shared" si="1"/>
        <v>184</v>
      </c>
      <c r="H25" s="51">
        <v>2.0</v>
      </c>
      <c r="I25" s="51">
        <v>62.0</v>
      </c>
      <c r="J25" s="234"/>
      <c r="K25" s="124"/>
    </row>
    <row r="26">
      <c r="A26" s="18"/>
      <c r="B26" s="231"/>
      <c r="C26" s="232" t="str">
        <f t="array" ref="C26">XLOOKUP(B26, Chr!$B$5:$B$19, Chr!$E$5:$E$19, "")</f>
        <v/>
      </c>
      <c r="D26" s="51">
        <v>2.0</v>
      </c>
      <c r="E26" s="51" t="s">
        <v>349</v>
      </c>
      <c r="F26" s="51">
        <v>6.0</v>
      </c>
      <c r="G26" s="51">
        <v>190.0</v>
      </c>
      <c r="H26" s="51">
        <v>2.0</v>
      </c>
      <c r="I26" s="51">
        <v>64.0</v>
      </c>
      <c r="J26" s="211" t="s">
        <v>374</v>
      </c>
      <c r="K26" s="124"/>
    </row>
    <row r="27">
      <c r="A27" s="46"/>
      <c r="B27" s="231"/>
      <c r="C27" s="232" t="str">
        <f t="array" ref="C27">XLOOKUP(B27, Chr!$B$5:$B$19, Chr!$E$5:$E$19, "")</f>
        <v/>
      </c>
      <c r="D27" s="51"/>
      <c r="E27" s="51">
        <v>21.0</v>
      </c>
      <c r="F27" s="51">
        <v>6.0</v>
      </c>
      <c r="G27" s="51">
        <v>196.0</v>
      </c>
      <c r="H27" s="51">
        <v>2.0</v>
      </c>
      <c r="I27" s="51">
        <v>66.0</v>
      </c>
      <c r="J27" s="235"/>
      <c r="K27" s="124"/>
    </row>
    <row r="28">
      <c r="A28" s="18"/>
      <c r="B28" s="231"/>
      <c r="C28" s="232" t="str">
        <f t="array" ref="C28">XLOOKUP(B28, Chr!$B$5:$B$19, Chr!$E$5:$E$19, "")</f>
        <v/>
      </c>
      <c r="D28" s="51"/>
      <c r="E28" s="51">
        <v>22.0</v>
      </c>
      <c r="F28" s="51">
        <v>6.0</v>
      </c>
      <c r="G28" s="51">
        <v>202.0</v>
      </c>
      <c r="H28" s="51">
        <v>2.0</v>
      </c>
      <c r="I28" s="51">
        <v>68.0</v>
      </c>
      <c r="J28" s="230"/>
      <c r="K28" s="124"/>
    </row>
    <row r="29">
      <c r="A29" s="18"/>
      <c r="B29" s="231"/>
      <c r="C29" s="232" t="str">
        <f t="array" ref="C29">XLOOKUP(B29, Chr!$B$5:$B$19, Chr!$E$5:$E$19, "")</f>
        <v/>
      </c>
      <c r="D29" s="51"/>
      <c r="E29" s="51">
        <v>23.0</v>
      </c>
      <c r="F29" s="51">
        <v>6.0</v>
      </c>
      <c r="G29" s="51">
        <v>208.0</v>
      </c>
      <c r="H29" s="51">
        <v>2.0</v>
      </c>
      <c r="I29" s="51">
        <v>70.0</v>
      </c>
      <c r="J29" s="230"/>
      <c r="K29" s="124"/>
    </row>
    <row r="30">
      <c r="A30" s="18"/>
      <c r="B30" s="231"/>
      <c r="C30" s="232" t="str">
        <f t="array" ref="C30">XLOOKUP(B30, Chr!$B$5:$B$19, Chr!$E$5:$E$19, "")</f>
        <v/>
      </c>
      <c r="D30" s="51"/>
      <c r="E30" s="51">
        <v>24.0</v>
      </c>
      <c r="F30" s="51">
        <v>6.0</v>
      </c>
      <c r="G30" s="51">
        <v>214.0</v>
      </c>
      <c r="H30" s="51">
        <v>2.0</v>
      </c>
      <c r="I30" s="51">
        <v>72.0</v>
      </c>
      <c r="J30" s="234"/>
      <c r="K30" s="124"/>
    </row>
    <row r="31">
      <c r="A31" s="18"/>
      <c r="B31" s="231"/>
      <c r="C31" s="232" t="str">
        <f t="array" ref="C31">XLOOKUP(B31, Chr!$B$5:$B$19, Chr!$E$5:$E$19, "")</f>
        <v/>
      </c>
      <c r="D31" s="51"/>
      <c r="E31" s="51">
        <v>25.0</v>
      </c>
      <c r="F31" s="51">
        <v>6.0</v>
      </c>
      <c r="G31" s="51">
        <v>220.0</v>
      </c>
      <c r="H31" s="51">
        <v>2.0</v>
      </c>
      <c r="I31" s="51">
        <v>74.0</v>
      </c>
      <c r="J31" s="211" t="s">
        <v>375</v>
      </c>
      <c r="K31" s="124"/>
    </row>
    <row r="32">
      <c r="A32" s="18"/>
      <c r="B32" s="231"/>
      <c r="C32" s="232" t="str">
        <f t="array" ref="C32">XLOOKUP(B32, Chr!$B$5:$B$19, Chr!$E$5:$E$19, "")</f>
        <v/>
      </c>
      <c r="D32" s="51"/>
      <c r="E32" s="51">
        <v>26.0</v>
      </c>
      <c r="F32" s="51">
        <v>6.0</v>
      </c>
      <c r="G32" s="51">
        <v>226.0</v>
      </c>
      <c r="H32" s="51">
        <v>2.0</v>
      </c>
      <c r="I32" s="51">
        <v>76.0</v>
      </c>
      <c r="J32" s="235"/>
      <c r="K32" s="124"/>
    </row>
    <row r="33">
      <c r="A33" s="18"/>
      <c r="B33" s="231"/>
      <c r="C33" s="232" t="str">
        <f t="array" ref="C33">XLOOKUP(B33, Chr!$B$5:$B$19, Chr!$E$5:$E$19, "")</f>
        <v/>
      </c>
      <c r="D33" s="51"/>
      <c r="E33" s="51">
        <v>27.0</v>
      </c>
      <c r="F33" s="51">
        <v>6.0</v>
      </c>
      <c r="G33" s="51">
        <v>232.0</v>
      </c>
      <c r="H33" s="51">
        <v>2.0</v>
      </c>
      <c r="I33" s="51">
        <v>78.0</v>
      </c>
      <c r="J33" s="230"/>
      <c r="K33" s="124"/>
    </row>
    <row r="34">
      <c r="A34" s="18"/>
      <c r="B34" s="231"/>
      <c r="C34" s="232" t="str">
        <f t="array" ref="C34">XLOOKUP(B34, Chr!$B$5:$B$19, Chr!$E$5:$E$19, "")</f>
        <v/>
      </c>
      <c r="D34" s="51"/>
      <c r="E34" s="51">
        <v>28.0</v>
      </c>
      <c r="F34" s="51">
        <v>6.0</v>
      </c>
      <c r="G34" s="51">
        <v>238.0</v>
      </c>
      <c r="H34" s="51">
        <v>2.0</v>
      </c>
      <c r="I34" s="51">
        <v>80.0</v>
      </c>
      <c r="J34" s="230"/>
      <c r="K34" s="124"/>
    </row>
    <row r="35">
      <c r="A35" s="18"/>
      <c r="B35" s="231"/>
      <c r="C35" s="232" t="str">
        <f t="array" ref="C35">XLOOKUP(B35, Chr!$B$5:$B$19, Chr!$E$5:$E$19, "")</f>
        <v/>
      </c>
      <c r="D35" s="51"/>
      <c r="E35" s="51">
        <v>29.0</v>
      </c>
      <c r="F35" s="51">
        <v>6.0</v>
      </c>
      <c r="G35" s="51">
        <v>244.0</v>
      </c>
      <c r="H35" s="51">
        <v>2.0</v>
      </c>
      <c r="I35" s="51">
        <v>82.0</v>
      </c>
      <c r="J35" s="230"/>
      <c r="K35" s="124"/>
    </row>
    <row r="36">
      <c r="A36" s="18"/>
      <c r="B36" s="231"/>
      <c r="C36" s="232" t="str">
        <f t="array" ref="C36">XLOOKUP(B36, Chr!$B$5:$B$19, Chr!$E$5:$E$19, "")</f>
        <v/>
      </c>
      <c r="D36" s="51"/>
      <c r="E36" s="51">
        <v>30.0</v>
      </c>
      <c r="F36" s="51">
        <v>6.0</v>
      </c>
      <c r="G36" s="51">
        <v>250.0</v>
      </c>
      <c r="H36" s="51">
        <v>2.0</v>
      </c>
      <c r="I36" s="51">
        <v>84.0</v>
      </c>
      <c r="J36" s="234"/>
      <c r="K36" s="124"/>
    </row>
    <row r="37">
      <c r="A37" s="18"/>
      <c r="B37" s="231"/>
      <c r="C37" s="232" t="str">
        <f t="array" ref="C37">XLOOKUP(B37, Chr!$B$5:$B$19, Chr!$E$5:$E$19, "")</f>
        <v/>
      </c>
      <c r="D37" s="51">
        <v>3.0</v>
      </c>
      <c r="E37" s="51" t="s">
        <v>349</v>
      </c>
      <c r="F37" s="51">
        <v>6.0</v>
      </c>
      <c r="G37" s="51">
        <v>256.0</v>
      </c>
      <c r="H37" s="51">
        <v>2.0</v>
      </c>
      <c r="I37" s="51">
        <v>86.0</v>
      </c>
      <c r="J37" s="211" t="s">
        <v>376</v>
      </c>
      <c r="K37" s="124"/>
    </row>
    <row r="38">
      <c r="A38" s="18"/>
      <c r="B38" s="231"/>
      <c r="C38" s="232" t="str">
        <f t="array" ref="C38">XLOOKUP(B38, Chr!$B$5:$B$19, Chr!$E$5:$E$19, "")</f>
        <v/>
      </c>
      <c r="D38" s="51"/>
      <c r="E38" s="51">
        <v>31.0</v>
      </c>
      <c r="F38" s="51">
        <v>6.0</v>
      </c>
      <c r="G38" s="51">
        <v>262.0</v>
      </c>
      <c r="H38" s="51">
        <v>2.0</v>
      </c>
      <c r="I38" s="51">
        <v>88.0</v>
      </c>
      <c r="J38" s="235"/>
      <c r="K38" s="124"/>
    </row>
    <row r="39">
      <c r="A39" s="18"/>
      <c r="B39" s="231"/>
      <c r="C39" s="232" t="str">
        <f t="array" ref="C39">XLOOKUP(B39, Chr!$B$5:$B$19, Chr!$E$5:$E$19, "")</f>
        <v/>
      </c>
      <c r="D39" s="51"/>
      <c r="E39" s="51">
        <v>32.0</v>
      </c>
      <c r="F39" s="51">
        <v>6.0</v>
      </c>
      <c r="G39" s="51">
        <v>268.0</v>
      </c>
      <c r="H39" s="51">
        <v>2.0</v>
      </c>
      <c r="I39" s="51">
        <v>90.0</v>
      </c>
      <c r="J39" s="230"/>
      <c r="K39" s="124"/>
    </row>
    <row r="40">
      <c r="A40" s="18"/>
      <c r="B40" s="231"/>
      <c r="C40" s="232" t="str">
        <f t="array" ref="C40">XLOOKUP(B40, Chr!$B$5:$B$19, Chr!$E$5:$E$19, "")</f>
        <v/>
      </c>
      <c r="D40" s="51"/>
      <c r="E40" s="51">
        <v>33.0</v>
      </c>
      <c r="F40" s="51">
        <v>6.0</v>
      </c>
      <c r="G40" s="51">
        <v>274.0</v>
      </c>
      <c r="H40" s="51">
        <v>2.0</v>
      </c>
      <c r="I40" s="51">
        <v>92.0</v>
      </c>
      <c r="J40" s="230"/>
      <c r="K40" s="124"/>
    </row>
    <row r="41">
      <c r="A41" s="18"/>
      <c r="B41" s="231"/>
      <c r="C41" s="232" t="str">
        <f t="array" ref="C41">XLOOKUP(B41, Chr!$B$5:$B$19, Chr!$E$5:$E$19, "")</f>
        <v/>
      </c>
      <c r="D41" s="51"/>
      <c r="E41" s="51">
        <v>34.0</v>
      </c>
      <c r="F41" s="51">
        <v>6.0</v>
      </c>
      <c r="G41" s="51">
        <v>280.0</v>
      </c>
      <c r="H41" s="51">
        <v>2.0</v>
      </c>
      <c r="I41" s="51">
        <v>94.0</v>
      </c>
      <c r="J41" s="234"/>
      <c r="K41" s="124"/>
    </row>
    <row r="42">
      <c r="A42" s="18"/>
      <c r="B42" s="231"/>
      <c r="C42" s="232" t="str">
        <f t="array" ref="C42">XLOOKUP(B42, Chr!$B$5:$B$19, Chr!$E$5:$E$19, "")</f>
        <v/>
      </c>
      <c r="D42" s="51"/>
      <c r="E42" s="51">
        <v>35.0</v>
      </c>
      <c r="F42" s="51">
        <v>6.0</v>
      </c>
      <c r="G42" s="51">
        <v>286.0</v>
      </c>
      <c r="H42" s="51">
        <v>2.0</v>
      </c>
      <c r="I42" s="51">
        <v>96.0</v>
      </c>
      <c r="J42" s="211" t="s">
        <v>377</v>
      </c>
      <c r="K42" s="124"/>
    </row>
    <row r="43">
      <c r="A43" s="18"/>
      <c r="B43" s="231"/>
      <c r="C43" s="232" t="str">
        <f t="array" ref="C43">XLOOKUP(B43, Chr!$B$5:$B$19, Chr!$E$5:$E$19, "")</f>
        <v/>
      </c>
      <c r="D43" s="51"/>
      <c r="E43" s="51">
        <v>36.0</v>
      </c>
      <c r="F43" s="51">
        <v>6.0</v>
      </c>
      <c r="G43" s="51">
        <v>292.0</v>
      </c>
      <c r="H43" s="51">
        <v>2.0</v>
      </c>
      <c r="I43" s="51">
        <v>98.0</v>
      </c>
      <c r="J43" s="236"/>
      <c r="K43" s="124"/>
    </row>
    <row r="44">
      <c r="A44" s="18"/>
      <c r="B44" s="231"/>
      <c r="C44" s="232" t="str">
        <f t="array" ref="C44">XLOOKUP(B44, Chr!$B$5:$B$19, Chr!$E$5:$E$19, "")</f>
        <v/>
      </c>
      <c r="D44" s="51"/>
      <c r="E44" s="51">
        <v>37.0</v>
      </c>
      <c r="F44" s="51">
        <v>6.0</v>
      </c>
      <c r="G44" s="51">
        <v>298.0</v>
      </c>
      <c r="H44" s="51">
        <v>2.0</v>
      </c>
      <c r="I44" s="51">
        <v>100.0</v>
      </c>
      <c r="J44" s="237"/>
      <c r="K44" s="124"/>
    </row>
    <row r="45">
      <c r="A45" s="18"/>
      <c r="B45" s="231"/>
      <c r="C45" s="232" t="str">
        <f t="array" ref="C45">XLOOKUP(B45, Chr!$B$5:$B$19, Chr!$E$5:$E$19, "")</f>
        <v/>
      </c>
      <c r="D45" s="51"/>
      <c r="E45" s="51">
        <v>38.0</v>
      </c>
      <c r="F45" s="51">
        <v>6.0</v>
      </c>
      <c r="G45" s="51">
        <v>304.0</v>
      </c>
      <c r="H45" s="51">
        <v>2.0</v>
      </c>
      <c r="I45" s="51">
        <v>102.0</v>
      </c>
      <c r="J45" s="237"/>
      <c r="K45" s="124"/>
    </row>
    <row r="46">
      <c r="A46" s="18"/>
      <c r="B46" s="231"/>
      <c r="C46" s="232" t="str">
        <f t="array" ref="C46">XLOOKUP(B46, Chr!$B$5:$B$19, Chr!$E$5:$E$19, "")</f>
        <v/>
      </c>
      <c r="D46" s="51"/>
      <c r="E46" s="51">
        <v>39.0</v>
      </c>
      <c r="F46" s="51">
        <v>6.0</v>
      </c>
      <c r="G46" s="51">
        <v>310.0</v>
      </c>
      <c r="H46" s="51">
        <v>2.0</v>
      </c>
      <c r="I46" s="51">
        <v>104.0</v>
      </c>
      <c r="J46" s="237"/>
      <c r="K46" s="124"/>
    </row>
    <row r="47">
      <c r="A47" s="18"/>
      <c r="B47" s="231"/>
      <c r="C47" s="232" t="str">
        <f t="array" ref="C47">XLOOKUP(B47, Chr!$B$5:$B$19, Chr!$E$5:$E$19, "")</f>
        <v/>
      </c>
      <c r="D47" s="51"/>
      <c r="E47" s="51">
        <v>40.0</v>
      </c>
      <c r="F47" s="51">
        <v>6.0</v>
      </c>
      <c r="G47" s="51">
        <v>316.0</v>
      </c>
      <c r="H47" s="51">
        <v>2.0</v>
      </c>
      <c r="I47" s="51">
        <v>106.0</v>
      </c>
      <c r="J47" s="238"/>
      <c r="K47" s="124"/>
    </row>
    <row r="48">
      <c r="A48" s="18"/>
      <c r="B48" s="239"/>
      <c r="C48" s="240" t="str">
        <f t="array" ref="C48">XLOOKUP(B48, Chr!$B$5:$B$19, Chr!$E$5:$E$19, "")</f>
        <v/>
      </c>
      <c r="D48" s="214">
        <v>4.0</v>
      </c>
      <c r="E48" s="214" t="s">
        <v>349</v>
      </c>
      <c r="F48" s="214">
        <v>6.0</v>
      </c>
      <c r="G48" s="214">
        <v>322.0</v>
      </c>
      <c r="H48" s="214">
        <v>2.0</v>
      </c>
      <c r="I48" s="214">
        <v>108.0</v>
      </c>
      <c r="J48" s="241" t="s">
        <v>378</v>
      </c>
      <c r="K48" s="124"/>
    </row>
    <row r="49">
      <c r="A49" s="41"/>
      <c r="B49" s="242"/>
      <c r="C49" s="131"/>
      <c r="D49" s="131"/>
      <c r="E49" s="131"/>
      <c r="F49" s="131"/>
      <c r="G49" s="131"/>
      <c r="H49" s="131"/>
      <c r="I49" s="131"/>
      <c r="J49" s="131"/>
      <c r="K49" s="41"/>
    </row>
    <row r="50">
      <c r="A50" s="18"/>
      <c r="B50" s="224">
        <v>1002.0</v>
      </c>
      <c r="C50" s="225" t="str">
        <f t="array" ref="C50">XLOOKUP(B50, Chr!$B$5:$B$19, Chr!$E$5:$E$19, "")</f>
        <v>궁수</v>
      </c>
      <c r="D50" s="226">
        <v>0.0</v>
      </c>
      <c r="E50" s="243">
        <v>1.0</v>
      </c>
      <c r="F50" s="226">
        <f t="array" ref="F50">IF($B$50="", "", XLOOKUP($B$50, Chr!$B$3:$B$17, Chr!$F$3:$F$17, ""))</f>
        <v>2</v>
      </c>
      <c r="G50" s="226">
        <v>28.0</v>
      </c>
      <c r="H50" s="226">
        <f t="array" ref="H50">IF($B$50="", "", XLOOKUP($B$50, Chr!$B$3:$B$17, Chr!$G$3:$G$17, ""))</f>
        <v>1</v>
      </c>
      <c r="I50" s="226">
        <v>11.0</v>
      </c>
      <c r="J50" s="227"/>
      <c r="K50" s="124"/>
    </row>
    <row r="51">
      <c r="A51" s="18"/>
      <c r="B51" s="228"/>
      <c r="C51" s="229" t="str">
        <f t="array" ref="C51">XLOOKUP(B51, Chr!$B$5:$B$19, Chr!$E$5:$E$19, "")</f>
        <v/>
      </c>
      <c r="D51" s="51"/>
      <c r="E51" s="244">
        <v>2.0</v>
      </c>
      <c r="F51" s="51">
        <f t="array" ref="F51">IF($B$50="", "", XLOOKUP($B$50, Chr!$B$3:$B$17, Chr!$F$3:$F$17, ""))</f>
        <v>2</v>
      </c>
      <c r="G51" s="51">
        <f t="shared" ref="G51:G57" si="2">G50+F50</f>
        <v>30</v>
      </c>
      <c r="H51" s="51">
        <f t="array" ref="H51">IF($B$50="", "", XLOOKUP($B$50, Chr!$B$3:$B$17, Chr!$G$3:$G$17, ""))</f>
        <v>1</v>
      </c>
      <c r="I51" s="51">
        <f t="shared" ref="I51:I57" si="3">I50+H50</f>
        <v>12</v>
      </c>
      <c r="J51" s="230"/>
      <c r="K51" s="124"/>
    </row>
    <row r="52">
      <c r="A52" s="18"/>
      <c r="B52" s="231"/>
      <c r="C52" s="232" t="str">
        <f t="array" ref="C52">XLOOKUP(B52, Chr!$B$5:$B$19, Chr!$E$5:$E$19, "")</f>
        <v/>
      </c>
      <c r="D52" s="51"/>
      <c r="E52" s="244">
        <v>3.0</v>
      </c>
      <c r="F52" s="51">
        <f t="array" ref="F52">IF($B$50="", "", XLOOKUP($B$50, Chr!$B$3:$B$17, Chr!$F$3:$F$17, ""))</f>
        <v>2</v>
      </c>
      <c r="G52" s="51">
        <f t="shared" si="2"/>
        <v>32</v>
      </c>
      <c r="H52" s="51">
        <f t="array" ref="H52">IF($B$50="", "", XLOOKUP($B$50, Chr!$B$3:$B$17, Chr!$G$3:$G$17, ""))</f>
        <v>1</v>
      </c>
      <c r="I52" s="51">
        <f t="shared" si="3"/>
        <v>13</v>
      </c>
      <c r="J52" s="230"/>
      <c r="K52" s="124"/>
    </row>
    <row r="53">
      <c r="A53" s="18"/>
      <c r="B53" s="231"/>
      <c r="C53" s="232" t="str">
        <f t="array" ref="C53">XLOOKUP(B53, Chr!$B$5:$B$19, Chr!$E$5:$E$19, "")</f>
        <v/>
      </c>
      <c r="D53" s="51"/>
      <c r="E53" s="244">
        <v>4.0</v>
      </c>
      <c r="F53" s="51">
        <f t="array" ref="F53">IF($B$50="", "", XLOOKUP($B$50, Chr!$B$3:$B$17, Chr!$F$3:$F$17, ""))</f>
        <v>2</v>
      </c>
      <c r="G53" s="51">
        <f t="shared" si="2"/>
        <v>34</v>
      </c>
      <c r="H53" s="51">
        <f t="array" ref="H53">IF($B$50="", "", XLOOKUP($B$50, Chr!$B$3:$B$17, Chr!$G$3:$G$17, ""))</f>
        <v>1</v>
      </c>
      <c r="I53" s="51">
        <f t="shared" si="3"/>
        <v>14</v>
      </c>
      <c r="J53" s="234"/>
      <c r="K53" s="124"/>
    </row>
    <row r="54">
      <c r="A54" s="18"/>
      <c r="B54" s="231"/>
      <c r="C54" s="232" t="str">
        <f t="array" ref="C54">XLOOKUP(B54, Chr!$B$5:$B$19, Chr!$E$5:$E$19, "")</f>
        <v/>
      </c>
      <c r="D54" s="51"/>
      <c r="E54" s="244">
        <v>5.0</v>
      </c>
      <c r="F54" s="51">
        <f t="array" ref="F54">IF($B$50="", "", XLOOKUP($B$50, Chr!$B$3:$B$17, Chr!$F$3:$F$17, ""))</f>
        <v>2</v>
      </c>
      <c r="G54" s="51">
        <f t="shared" si="2"/>
        <v>36</v>
      </c>
      <c r="H54" s="51">
        <f t="array" ref="H54">IF($B$50="", "", XLOOKUP($B$50, Chr!$B$3:$B$17, Chr!$G$3:$G$17, ""))</f>
        <v>1</v>
      </c>
      <c r="I54" s="51">
        <f t="shared" si="3"/>
        <v>15</v>
      </c>
      <c r="J54" s="211" t="s">
        <v>379</v>
      </c>
      <c r="K54" s="124"/>
    </row>
    <row r="55">
      <c r="A55" s="18"/>
      <c r="B55" s="231"/>
      <c r="C55" s="232" t="str">
        <f t="array" ref="C55">XLOOKUP(B55, Chr!$B$5:$B$19, Chr!$E$5:$E$19, "")</f>
        <v/>
      </c>
      <c r="D55" s="51"/>
      <c r="E55" s="244">
        <v>6.0</v>
      </c>
      <c r="F55" s="51">
        <f t="array" ref="F55">IF($B$50="", "", XLOOKUP($B$50, Chr!$B$3:$B$17, Chr!$F$3:$F$17, ""))</f>
        <v>2</v>
      </c>
      <c r="G55" s="51">
        <f t="shared" si="2"/>
        <v>38</v>
      </c>
      <c r="H55" s="51">
        <f t="array" ref="H55">IF($B$50="", "", XLOOKUP($B$50, Chr!$B$3:$B$17, Chr!$G$3:$G$17, ""))</f>
        <v>1</v>
      </c>
      <c r="I55" s="51">
        <f t="shared" si="3"/>
        <v>16</v>
      </c>
      <c r="J55" s="235"/>
      <c r="K55" s="124"/>
    </row>
    <row r="56">
      <c r="A56" s="18"/>
      <c r="B56" s="231"/>
      <c r="C56" s="232" t="str">
        <f t="array" ref="C56">XLOOKUP(B56, Chr!$B$5:$B$19, Chr!$E$5:$E$19, "")</f>
        <v/>
      </c>
      <c r="D56" s="51"/>
      <c r="E56" s="244">
        <v>7.0</v>
      </c>
      <c r="F56" s="51">
        <f t="array" ref="F56">IF($B$50="", "", XLOOKUP($B$50, Chr!$B$3:$B$17, Chr!$F$3:$F$17, ""))</f>
        <v>2</v>
      </c>
      <c r="G56" s="51">
        <f t="shared" si="2"/>
        <v>40</v>
      </c>
      <c r="H56" s="51">
        <f t="array" ref="H56">IF($B$50="", "", XLOOKUP($B$50, Chr!$B$3:$B$17, Chr!$G$3:$G$17, ""))</f>
        <v>1</v>
      </c>
      <c r="I56" s="51">
        <f t="shared" si="3"/>
        <v>17</v>
      </c>
      <c r="J56" s="230"/>
      <c r="K56" s="124"/>
    </row>
    <row r="57">
      <c r="A57" s="18"/>
      <c r="B57" s="231"/>
      <c r="C57" s="232" t="str">
        <f t="array" ref="C57">XLOOKUP(B57, Chr!$B$5:$B$19, Chr!$E$5:$E$19, "")</f>
        <v/>
      </c>
      <c r="D57" s="51"/>
      <c r="E57" s="244">
        <v>8.0</v>
      </c>
      <c r="F57" s="51">
        <f t="array" ref="F57">IF($B$50="", "", XLOOKUP($B$50, Chr!$B$3:$B$17, Chr!$F$3:$F$17, ""))</f>
        <v>2</v>
      </c>
      <c r="G57" s="51">
        <f t="shared" si="2"/>
        <v>42</v>
      </c>
      <c r="H57" s="51">
        <f t="array" ref="H57">IF($B$50="", "", XLOOKUP($B$50, Chr!$B$3:$B$17, Chr!$G$3:$G$17, ""))</f>
        <v>1</v>
      </c>
      <c r="I57" s="51">
        <f t="shared" si="3"/>
        <v>18</v>
      </c>
      <c r="J57" s="230"/>
      <c r="K57" s="124"/>
    </row>
    <row r="58">
      <c r="A58" s="18"/>
      <c r="B58" s="231"/>
      <c r="C58" s="232" t="str">
        <f t="array" ref="C58">XLOOKUP(B58, Chr!$B$5:$B$19, Chr!$E$5:$E$19, "")</f>
        <v/>
      </c>
      <c r="D58" s="51"/>
      <c r="E58" s="244">
        <v>9.0</v>
      </c>
      <c r="F58" s="233">
        <v>3.0</v>
      </c>
      <c r="G58" s="51">
        <v>45.0</v>
      </c>
      <c r="H58" s="51">
        <f t="array" ref="H58">IF($B$50="", "", XLOOKUP($B$50, Chr!$B$3:$B$17, Chr!$G$3:$G$17, ""))</f>
        <v>1</v>
      </c>
      <c r="I58" s="51">
        <v>18.0</v>
      </c>
      <c r="J58" s="230"/>
      <c r="K58" s="124"/>
    </row>
    <row r="59">
      <c r="A59" s="18"/>
      <c r="B59" s="231"/>
      <c r="C59" s="232" t="str">
        <f t="array" ref="C59">XLOOKUP(B59, Chr!$B$5:$B$19, Chr!$E$5:$E$19, "")</f>
        <v/>
      </c>
      <c r="D59" s="51"/>
      <c r="E59" s="244">
        <v>10.0</v>
      </c>
      <c r="F59" s="51">
        <f t="array" ref="F59">IF($B$50="", "", XLOOKUP($B$50, Chr!$B$3:$B$17, Chr!$F$3:$F$17, ""))</f>
        <v>2</v>
      </c>
      <c r="G59" s="51">
        <f>G58+F58</f>
        <v>48</v>
      </c>
      <c r="H59" s="51">
        <f t="array" ref="H59">IF($B$50="", "", XLOOKUP($B$50, Chr!$B$3:$B$17, Chr!$G$3:$G$17, ""))</f>
        <v>1</v>
      </c>
      <c r="I59" s="51">
        <f>I58+H58</f>
        <v>19</v>
      </c>
      <c r="J59" s="234"/>
      <c r="K59" s="124"/>
    </row>
    <row r="60">
      <c r="A60" s="18"/>
      <c r="B60" s="231"/>
      <c r="C60" s="232" t="str">
        <f t="array" ref="C60">XLOOKUP(B60, Chr!$B$5:$B$19, Chr!$E$5:$E$19, "")</f>
        <v/>
      </c>
      <c r="D60" s="51"/>
      <c r="E60" s="244" t="s">
        <v>349</v>
      </c>
      <c r="F60" s="51"/>
      <c r="G60" s="51">
        <v>57.0</v>
      </c>
      <c r="H60" s="51"/>
      <c r="I60" s="51">
        <v>23.0</v>
      </c>
      <c r="J60" s="211" t="s">
        <v>380</v>
      </c>
      <c r="K60" s="124"/>
    </row>
    <row r="61">
      <c r="A61" s="18"/>
      <c r="B61" s="231"/>
      <c r="C61" s="232" t="str">
        <f t="array" ref="C61">XLOOKUP(B61, Chr!$B$5:$B$19, Chr!$E$5:$E$19, "")</f>
        <v/>
      </c>
      <c r="D61" s="51"/>
      <c r="E61" s="244">
        <v>11.0</v>
      </c>
      <c r="F61" s="233">
        <v>3.0</v>
      </c>
      <c r="G61" s="51">
        <f t="shared" ref="G61:G93" si="4">F61+G60</f>
        <v>60</v>
      </c>
      <c r="H61" s="51">
        <f t="array" ref="H61">IF($B$50="", "", XLOOKUP($B$50, Chr!$B$3:$B$17, Chr!$G$3:$G$17, ""))</f>
        <v>1</v>
      </c>
      <c r="I61" s="51">
        <f t="shared" ref="I61:I93" si="5">I60+H60</f>
        <v>23</v>
      </c>
      <c r="J61" s="235"/>
      <c r="K61" s="124"/>
    </row>
    <row r="62">
      <c r="A62" s="18"/>
      <c r="B62" s="231"/>
      <c r="C62" s="232" t="str">
        <f t="array" ref="C62">XLOOKUP(B62, Chr!$B$5:$B$19, Chr!$E$5:$E$19, "")</f>
        <v/>
      </c>
      <c r="D62" s="51"/>
      <c r="E62" s="244">
        <v>12.0</v>
      </c>
      <c r="F62" s="233">
        <v>3.0</v>
      </c>
      <c r="G62" s="51">
        <f t="shared" si="4"/>
        <v>63</v>
      </c>
      <c r="H62" s="51">
        <f t="array" ref="H62">IF($B$50="", "", XLOOKUP($B$50, Chr!$B$3:$B$17, Chr!$G$3:$G$17, ""))</f>
        <v>1</v>
      </c>
      <c r="I62" s="51">
        <f t="shared" si="5"/>
        <v>24</v>
      </c>
      <c r="J62" s="230"/>
      <c r="K62" s="124"/>
    </row>
    <row r="63">
      <c r="A63" s="18"/>
      <c r="B63" s="231"/>
      <c r="C63" s="232" t="str">
        <f t="array" ref="C63">XLOOKUP(B63, Chr!$B$5:$B$19, Chr!$E$5:$E$19, "")</f>
        <v/>
      </c>
      <c r="D63" s="51"/>
      <c r="E63" s="244">
        <v>13.0</v>
      </c>
      <c r="F63" s="233">
        <v>3.0</v>
      </c>
      <c r="G63" s="51">
        <f t="shared" si="4"/>
        <v>66</v>
      </c>
      <c r="H63" s="51">
        <f t="array" ref="H63">IF($B$50="", "", XLOOKUP($B$50, Chr!$B$3:$B$17, Chr!$G$3:$G$17, ""))</f>
        <v>1</v>
      </c>
      <c r="I63" s="51">
        <f t="shared" si="5"/>
        <v>25</v>
      </c>
      <c r="J63" s="230"/>
      <c r="K63" s="124"/>
    </row>
    <row r="64">
      <c r="A64" s="18"/>
      <c r="B64" s="231"/>
      <c r="C64" s="232" t="str">
        <f t="array" ref="C64">XLOOKUP(B64, Chr!$B$5:$B$19, Chr!$E$5:$E$19, "")</f>
        <v/>
      </c>
      <c r="D64" s="51"/>
      <c r="E64" s="244">
        <v>14.0</v>
      </c>
      <c r="F64" s="233">
        <v>3.0</v>
      </c>
      <c r="G64" s="51">
        <f t="shared" si="4"/>
        <v>69</v>
      </c>
      <c r="H64" s="245">
        <v>2.0</v>
      </c>
      <c r="I64" s="51">
        <f t="shared" si="5"/>
        <v>26</v>
      </c>
      <c r="J64" s="234"/>
      <c r="K64" s="124"/>
    </row>
    <row r="65">
      <c r="A65" s="18"/>
      <c r="B65" s="231"/>
      <c r="C65" s="232" t="str">
        <f t="array" ref="C65">XLOOKUP(B65, Chr!$B$5:$B$19, Chr!$E$5:$E$19, "")</f>
        <v/>
      </c>
      <c r="D65" s="51"/>
      <c r="E65" s="244">
        <v>15.0</v>
      </c>
      <c r="F65" s="233">
        <v>3.0</v>
      </c>
      <c r="G65" s="51">
        <f t="shared" si="4"/>
        <v>72</v>
      </c>
      <c r="H65" s="51">
        <v>2.0</v>
      </c>
      <c r="I65" s="51">
        <f t="shared" si="5"/>
        <v>28</v>
      </c>
      <c r="J65" s="211" t="s">
        <v>381</v>
      </c>
      <c r="K65" s="124"/>
    </row>
    <row r="66">
      <c r="A66" s="18"/>
      <c r="B66" s="231"/>
      <c r="C66" s="232" t="str">
        <f t="array" ref="C66">XLOOKUP(B66, Chr!$B$5:$B$19, Chr!$E$5:$E$19, "")</f>
        <v/>
      </c>
      <c r="D66" s="51"/>
      <c r="E66" s="244">
        <v>16.0</v>
      </c>
      <c r="F66" s="51">
        <f t="array" ref="F66">IF($B$50="", "", XLOOKUP($B$50, Chr!$B$3:$B$17, Chr!$F$3:$F$17, ""))</f>
        <v>2</v>
      </c>
      <c r="G66" s="51">
        <f t="shared" si="4"/>
        <v>74</v>
      </c>
      <c r="H66" s="51">
        <f t="array" ref="H66">IF($B$50="", "", XLOOKUP($B$50, Chr!$B$3:$B$17, Chr!$G$3:$G$17, ""))</f>
        <v>1</v>
      </c>
      <c r="I66" s="51">
        <f t="shared" si="5"/>
        <v>30</v>
      </c>
      <c r="J66" s="235"/>
      <c r="K66" s="124"/>
    </row>
    <row r="67">
      <c r="A67" s="18"/>
      <c r="B67" s="231"/>
      <c r="C67" s="232" t="str">
        <f t="array" ref="C67">XLOOKUP(B67, Chr!$B$5:$B$19, Chr!$E$5:$E$19, "")</f>
        <v/>
      </c>
      <c r="D67" s="51"/>
      <c r="E67" s="244">
        <v>17.0</v>
      </c>
      <c r="F67" s="51">
        <f t="array" ref="F67">IF($B$50="", "", XLOOKUP($B$50, Chr!$B$3:$B$17, Chr!$F$3:$F$17, ""))</f>
        <v>2</v>
      </c>
      <c r="G67" s="51">
        <f t="shared" si="4"/>
        <v>76</v>
      </c>
      <c r="H67" s="51">
        <f t="array" ref="H67">IF($B$50="", "", XLOOKUP($B$50, Chr!$B$3:$B$17, Chr!$G$3:$G$17, ""))</f>
        <v>1</v>
      </c>
      <c r="I67" s="51">
        <f t="shared" si="5"/>
        <v>31</v>
      </c>
      <c r="J67" s="230"/>
      <c r="K67" s="124"/>
    </row>
    <row r="68">
      <c r="A68" s="18"/>
      <c r="B68" s="231"/>
      <c r="C68" s="232" t="str">
        <f t="array" ref="C68">XLOOKUP(B68, Chr!$B$5:$B$19, Chr!$E$5:$E$19, "")</f>
        <v/>
      </c>
      <c r="D68" s="51"/>
      <c r="E68" s="244">
        <v>18.0</v>
      </c>
      <c r="F68" s="51">
        <f t="array" ref="F68">IF($B$50="", "", XLOOKUP($B$50, Chr!$B$3:$B$17, Chr!$F$3:$F$17, ""))</f>
        <v>2</v>
      </c>
      <c r="G68" s="51">
        <f t="shared" si="4"/>
        <v>78</v>
      </c>
      <c r="H68" s="51">
        <f t="array" ref="H68">IF($B$50="", "", XLOOKUP($B$50, Chr!$B$3:$B$17, Chr!$G$3:$G$17, ""))</f>
        <v>1</v>
      </c>
      <c r="I68" s="51">
        <f t="shared" si="5"/>
        <v>32</v>
      </c>
      <c r="J68" s="230"/>
      <c r="K68" s="124"/>
    </row>
    <row r="69">
      <c r="A69" s="18"/>
      <c r="B69" s="231"/>
      <c r="C69" s="232" t="str">
        <f t="array" ref="C69">XLOOKUP(B69, Chr!$B$5:$B$19, Chr!$E$5:$E$19, "")</f>
        <v/>
      </c>
      <c r="D69" s="51"/>
      <c r="E69" s="244">
        <v>19.0</v>
      </c>
      <c r="F69" s="51">
        <f t="array" ref="F69">IF($B$50="", "", XLOOKUP($B$50, Chr!$B$3:$B$17, Chr!$F$3:$F$17, ""))</f>
        <v>2</v>
      </c>
      <c r="G69" s="51">
        <f t="shared" si="4"/>
        <v>80</v>
      </c>
      <c r="H69" s="51">
        <f t="array" ref="H69">IF($B$50="", "", XLOOKUP($B$50, Chr!$B$3:$B$17, Chr!$G$3:$G$17, ""))</f>
        <v>1</v>
      </c>
      <c r="I69" s="51">
        <f t="shared" si="5"/>
        <v>33</v>
      </c>
      <c r="J69" s="230"/>
      <c r="K69" s="124"/>
    </row>
    <row r="70">
      <c r="A70" s="18"/>
      <c r="B70" s="231"/>
      <c r="C70" s="232" t="str">
        <f t="array" ref="C70">XLOOKUP(B70, Chr!$B$5:$B$19, Chr!$E$5:$E$19, "")</f>
        <v/>
      </c>
      <c r="D70" s="51"/>
      <c r="E70" s="244">
        <v>20.0</v>
      </c>
      <c r="F70" s="51">
        <f t="array" ref="F70">IF($B$50="", "", XLOOKUP($B$50, Chr!$B$3:$B$17, Chr!$F$3:$F$17, ""))</f>
        <v>2</v>
      </c>
      <c r="G70" s="51">
        <f t="shared" si="4"/>
        <v>82</v>
      </c>
      <c r="H70" s="51">
        <f t="array" ref="H70">IF($B$50="", "", XLOOKUP($B$50, Chr!$B$3:$B$17, Chr!$G$3:$G$17, ""))</f>
        <v>1</v>
      </c>
      <c r="I70" s="51">
        <f t="shared" si="5"/>
        <v>34</v>
      </c>
      <c r="J70" s="234"/>
      <c r="K70" s="124"/>
    </row>
    <row r="71">
      <c r="A71" s="18"/>
      <c r="B71" s="231"/>
      <c r="C71" s="232" t="str">
        <f t="array" ref="C71">XLOOKUP(B71, Chr!$B$5:$B$19, Chr!$E$5:$E$19, "")</f>
        <v/>
      </c>
      <c r="D71" s="51"/>
      <c r="E71" s="244" t="s">
        <v>349</v>
      </c>
      <c r="F71" s="51">
        <f t="array" ref="F71">IF($B$50="", "", XLOOKUP($B$50, Chr!$B$3:$B$17, Chr!$F$3:$F$17, ""))</f>
        <v>2</v>
      </c>
      <c r="G71" s="51">
        <f t="shared" si="4"/>
        <v>84</v>
      </c>
      <c r="H71" s="51">
        <f t="array" ref="H71">IF($B$50="", "", XLOOKUP($B$50, Chr!$B$3:$B$17, Chr!$G$3:$G$17, ""))</f>
        <v>1</v>
      </c>
      <c r="I71" s="51">
        <f t="shared" si="5"/>
        <v>35</v>
      </c>
      <c r="J71" s="211" t="s">
        <v>382</v>
      </c>
      <c r="K71" s="124"/>
    </row>
    <row r="72">
      <c r="A72" s="18"/>
      <c r="B72" s="231"/>
      <c r="C72" s="232" t="str">
        <f t="array" ref="C72">XLOOKUP(B72, Chr!$B$5:$B$19, Chr!$E$5:$E$19, "")</f>
        <v/>
      </c>
      <c r="D72" s="51"/>
      <c r="E72" s="244">
        <v>21.0</v>
      </c>
      <c r="F72" s="51">
        <f t="array" ref="F72">IF($B$50="", "", XLOOKUP($B$50, Chr!$B$3:$B$17, Chr!$F$3:$F$17, ""))</f>
        <v>2</v>
      </c>
      <c r="G72" s="51">
        <f t="shared" si="4"/>
        <v>86</v>
      </c>
      <c r="H72" s="51">
        <f t="array" ref="H72">IF($B$50="", "", XLOOKUP($B$50, Chr!$B$3:$B$17, Chr!$G$3:$G$17, ""))</f>
        <v>1</v>
      </c>
      <c r="I72" s="51">
        <f t="shared" si="5"/>
        <v>36</v>
      </c>
      <c r="J72" s="235"/>
      <c r="K72" s="124"/>
    </row>
    <row r="73">
      <c r="A73" s="18"/>
      <c r="B73" s="231"/>
      <c r="C73" s="232" t="str">
        <f t="array" ref="C73">XLOOKUP(B73, Chr!$B$5:$B$19, Chr!$E$5:$E$19, "")</f>
        <v/>
      </c>
      <c r="D73" s="51"/>
      <c r="E73" s="244">
        <v>22.0</v>
      </c>
      <c r="F73" s="51">
        <f t="array" ref="F73">IF($B$50="", "", XLOOKUP($B$50, Chr!$B$3:$B$17, Chr!$F$3:$F$17, ""))</f>
        <v>2</v>
      </c>
      <c r="G73" s="51">
        <f t="shared" si="4"/>
        <v>88</v>
      </c>
      <c r="H73" s="51">
        <f t="array" ref="H73">IF($B$50="", "", XLOOKUP($B$50, Chr!$B$3:$B$17, Chr!$G$3:$G$17, ""))</f>
        <v>1</v>
      </c>
      <c r="I73" s="51">
        <f t="shared" si="5"/>
        <v>37</v>
      </c>
      <c r="J73" s="230"/>
      <c r="K73" s="124"/>
    </row>
    <row r="74">
      <c r="A74" s="18"/>
      <c r="B74" s="231"/>
      <c r="C74" s="232" t="str">
        <f t="array" ref="C74">XLOOKUP(B74, Chr!$B$5:$B$19, Chr!$E$5:$E$19, "")</f>
        <v/>
      </c>
      <c r="D74" s="51"/>
      <c r="E74" s="244">
        <v>23.0</v>
      </c>
      <c r="F74" s="51">
        <f t="array" ref="F74">IF($B$50="", "", XLOOKUP($B$50, Chr!$B$3:$B$17, Chr!$F$3:$F$17, ""))</f>
        <v>2</v>
      </c>
      <c r="G74" s="51">
        <f t="shared" si="4"/>
        <v>90</v>
      </c>
      <c r="H74" s="51">
        <f t="array" ref="H74">IF($B$50="", "", XLOOKUP($B$50, Chr!$B$3:$B$17, Chr!$G$3:$G$17, ""))</f>
        <v>1</v>
      </c>
      <c r="I74" s="51">
        <f t="shared" si="5"/>
        <v>38</v>
      </c>
      <c r="J74" s="230"/>
      <c r="K74" s="124"/>
    </row>
    <row r="75">
      <c r="A75" s="18"/>
      <c r="B75" s="231"/>
      <c r="C75" s="232" t="str">
        <f t="array" ref="C75">XLOOKUP(B75, Chr!$B$5:$B$19, Chr!$E$5:$E$19, "")</f>
        <v/>
      </c>
      <c r="D75" s="51"/>
      <c r="E75" s="244">
        <v>24.0</v>
      </c>
      <c r="F75" s="51">
        <f t="array" ref="F75">IF($B$50="", "", XLOOKUP($B$50, Chr!$B$3:$B$17, Chr!$F$3:$F$17, ""))</f>
        <v>2</v>
      </c>
      <c r="G75" s="51">
        <f t="shared" si="4"/>
        <v>92</v>
      </c>
      <c r="H75" s="51">
        <f t="array" ref="H75">IF($B$50="", "", XLOOKUP($B$50, Chr!$B$3:$B$17, Chr!$G$3:$G$17, ""))</f>
        <v>1</v>
      </c>
      <c r="I75" s="51">
        <f t="shared" si="5"/>
        <v>39</v>
      </c>
      <c r="J75" s="234"/>
      <c r="K75" s="124"/>
    </row>
    <row r="76">
      <c r="A76" s="18"/>
      <c r="B76" s="231"/>
      <c r="C76" s="232" t="str">
        <f t="array" ref="C76">XLOOKUP(B76, Chr!$B$5:$B$19, Chr!$E$5:$E$19, "")</f>
        <v/>
      </c>
      <c r="D76" s="51"/>
      <c r="E76" s="244">
        <v>25.0</v>
      </c>
      <c r="F76" s="51">
        <f t="array" ref="F76">IF($B$50="", "", XLOOKUP($B$50, Chr!$B$3:$B$17, Chr!$F$3:$F$17, ""))</f>
        <v>2</v>
      </c>
      <c r="G76" s="51">
        <f t="shared" si="4"/>
        <v>94</v>
      </c>
      <c r="H76" s="51">
        <f t="array" ref="H76">IF($B$50="", "", XLOOKUP($B$50, Chr!$B$3:$B$17, Chr!$G$3:$G$17, ""))</f>
        <v>1</v>
      </c>
      <c r="I76" s="51">
        <f t="shared" si="5"/>
        <v>40</v>
      </c>
      <c r="J76" s="211" t="s">
        <v>383</v>
      </c>
      <c r="K76" s="124"/>
    </row>
    <row r="77">
      <c r="A77" s="18"/>
      <c r="B77" s="231"/>
      <c r="C77" s="232" t="str">
        <f t="array" ref="C77">XLOOKUP(B77, Chr!$B$5:$B$19, Chr!$E$5:$E$19, "")</f>
        <v/>
      </c>
      <c r="D77" s="51"/>
      <c r="E77" s="244">
        <v>26.0</v>
      </c>
      <c r="F77" s="51">
        <f t="array" ref="F77">IF($B$50="", "", XLOOKUP($B$50, Chr!$B$3:$B$17, Chr!$F$3:$F$17, ""))</f>
        <v>2</v>
      </c>
      <c r="G77" s="51">
        <f t="shared" si="4"/>
        <v>96</v>
      </c>
      <c r="H77" s="51">
        <f t="array" ref="H77">IF($B$50="", "", XLOOKUP($B$50, Chr!$B$3:$B$17, Chr!$G$3:$G$17, ""))</f>
        <v>1</v>
      </c>
      <c r="I77" s="51">
        <f t="shared" si="5"/>
        <v>41</v>
      </c>
      <c r="J77" s="235"/>
      <c r="K77" s="124"/>
    </row>
    <row r="78">
      <c r="A78" s="18"/>
      <c r="B78" s="231"/>
      <c r="C78" s="232" t="str">
        <f t="array" ref="C78">XLOOKUP(B78, Chr!$B$5:$B$19, Chr!$E$5:$E$19, "")</f>
        <v/>
      </c>
      <c r="D78" s="51"/>
      <c r="E78" s="244">
        <v>27.0</v>
      </c>
      <c r="F78" s="51">
        <f t="array" ref="F78">IF($B$50="", "", XLOOKUP($B$50, Chr!$B$3:$B$17, Chr!$F$3:$F$17, ""))</f>
        <v>2</v>
      </c>
      <c r="G78" s="51">
        <f t="shared" si="4"/>
        <v>98</v>
      </c>
      <c r="H78" s="51">
        <f t="array" ref="H78">IF($B$50="", "", XLOOKUP($B$50, Chr!$B$3:$B$17, Chr!$G$3:$G$17, ""))</f>
        <v>1</v>
      </c>
      <c r="I78" s="51">
        <f t="shared" si="5"/>
        <v>42</v>
      </c>
      <c r="J78" s="230"/>
      <c r="K78" s="124"/>
    </row>
    <row r="79">
      <c r="A79" s="18"/>
      <c r="B79" s="231"/>
      <c r="C79" s="232" t="str">
        <f t="array" ref="C79">XLOOKUP(B79, Chr!$B$5:$B$19, Chr!$E$5:$E$19, "")</f>
        <v/>
      </c>
      <c r="D79" s="51"/>
      <c r="E79" s="244">
        <v>28.0</v>
      </c>
      <c r="F79" s="51">
        <f t="array" ref="F79">IF($B$50="", "", XLOOKUP($B$50, Chr!$B$3:$B$17, Chr!$F$3:$F$17, ""))</f>
        <v>2</v>
      </c>
      <c r="G79" s="51">
        <f t="shared" si="4"/>
        <v>100</v>
      </c>
      <c r="H79" s="51">
        <f t="array" ref="H79">IF($B$50="", "", XLOOKUP($B$50, Chr!$B$3:$B$17, Chr!$G$3:$G$17, ""))</f>
        <v>1</v>
      </c>
      <c r="I79" s="51">
        <f t="shared" si="5"/>
        <v>43</v>
      </c>
      <c r="J79" s="230"/>
      <c r="K79" s="124"/>
    </row>
    <row r="80">
      <c r="A80" s="18"/>
      <c r="B80" s="231"/>
      <c r="C80" s="232" t="str">
        <f t="array" ref="C80">XLOOKUP(B80, Chr!$B$5:$B$19, Chr!$E$5:$E$19, "")</f>
        <v/>
      </c>
      <c r="D80" s="51"/>
      <c r="E80" s="244">
        <v>29.0</v>
      </c>
      <c r="F80" s="51">
        <f t="array" ref="F80">IF($B$50="", "", XLOOKUP($B$50, Chr!$B$3:$B$17, Chr!$F$3:$F$17, ""))</f>
        <v>2</v>
      </c>
      <c r="G80" s="51">
        <f t="shared" si="4"/>
        <v>102</v>
      </c>
      <c r="H80" s="51">
        <f t="array" ref="H80">IF($B$50="", "", XLOOKUP($B$50, Chr!$B$3:$B$17, Chr!$G$3:$G$17, ""))</f>
        <v>1</v>
      </c>
      <c r="I80" s="51">
        <f t="shared" si="5"/>
        <v>44</v>
      </c>
      <c r="J80" s="230"/>
      <c r="K80" s="124"/>
    </row>
    <row r="81">
      <c r="A81" s="18"/>
      <c r="B81" s="231"/>
      <c r="C81" s="232" t="str">
        <f t="array" ref="C81">XLOOKUP(B81, Chr!$B$5:$B$19, Chr!$E$5:$E$19, "")</f>
        <v/>
      </c>
      <c r="D81" s="51"/>
      <c r="E81" s="244">
        <v>30.0</v>
      </c>
      <c r="F81" s="51">
        <f t="array" ref="F81">IF($B$50="", "", XLOOKUP($B$50, Chr!$B$3:$B$17, Chr!$F$3:$F$17, ""))</f>
        <v>2</v>
      </c>
      <c r="G81" s="51">
        <f t="shared" si="4"/>
        <v>104</v>
      </c>
      <c r="H81" s="51">
        <f t="array" ref="H81">IF($B$50="", "", XLOOKUP($B$50, Chr!$B$3:$B$17, Chr!$G$3:$G$17, ""))</f>
        <v>1</v>
      </c>
      <c r="I81" s="51">
        <f t="shared" si="5"/>
        <v>45</v>
      </c>
      <c r="J81" s="234"/>
      <c r="K81" s="124"/>
    </row>
    <row r="82">
      <c r="A82" s="18"/>
      <c r="B82" s="231"/>
      <c r="C82" s="232" t="str">
        <f t="array" ref="C82">XLOOKUP(B82, Chr!$B$5:$B$19, Chr!$E$5:$E$19, "")</f>
        <v/>
      </c>
      <c r="D82" s="51"/>
      <c r="E82" s="244" t="s">
        <v>349</v>
      </c>
      <c r="F82" s="51">
        <f t="array" ref="F82">IF($B$50="", "", XLOOKUP($B$50, Chr!$B$3:$B$17, Chr!$F$3:$F$17, ""))</f>
        <v>2</v>
      </c>
      <c r="G82" s="51">
        <f t="shared" si="4"/>
        <v>106</v>
      </c>
      <c r="H82" s="51">
        <f t="array" ref="H82">IF($B$50="", "", XLOOKUP($B$50, Chr!$B$3:$B$17, Chr!$G$3:$G$17, ""))</f>
        <v>1</v>
      </c>
      <c r="I82" s="51">
        <f t="shared" si="5"/>
        <v>46</v>
      </c>
      <c r="J82" s="211" t="s">
        <v>384</v>
      </c>
      <c r="K82" s="124"/>
    </row>
    <row r="83">
      <c r="A83" s="18"/>
      <c r="B83" s="231"/>
      <c r="C83" s="232" t="str">
        <f t="array" ref="C83">XLOOKUP(B83, Chr!$B$5:$B$19, Chr!$E$5:$E$19, "")</f>
        <v/>
      </c>
      <c r="D83" s="51"/>
      <c r="E83" s="244">
        <v>31.0</v>
      </c>
      <c r="F83" s="51">
        <f t="array" ref="F83">IF($B$50="", "", XLOOKUP($B$50, Chr!$B$3:$B$17, Chr!$F$3:$F$17, ""))</f>
        <v>2</v>
      </c>
      <c r="G83" s="51">
        <f t="shared" si="4"/>
        <v>108</v>
      </c>
      <c r="H83" s="51">
        <f t="array" ref="H83">IF($B$50="", "", XLOOKUP($B$50, Chr!$B$3:$B$17, Chr!$G$3:$G$17, ""))</f>
        <v>1</v>
      </c>
      <c r="I83" s="51">
        <f t="shared" si="5"/>
        <v>47</v>
      </c>
      <c r="J83" s="235"/>
      <c r="K83" s="124"/>
    </row>
    <row r="84">
      <c r="A84" s="18"/>
      <c r="B84" s="231"/>
      <c r="C84" s="232" t="str">
        <f t="array" ref="C84">XLOOKUP(B84, Chr!$B$5:$B$19, Chr!$E$5:$E$19, "")</f>
        <v/>
      </c>
      <c r="D84" s="51"/>
      <c r="E84" s="244">
        <v>32.0</v>
      </c>
      <c r="F84" s="51">
        <f t="array" ref="F84">IF($B$50="", "", XLOOKUP($B$50, Chr!$B$3:$B$17, Chr!$F$3:$F$17, ""))</f>
        <v>2</v>
      </c>
      <c r="G84" s="51">
        <f t="shared" si="4"/>
        <v>110</v>
      </c>
      <c r="H84" s="51">
        <f t="array" ref="H84">IF($B$50="", "", XLOOKUP($B$50, Chr!$B$3:$B$17, Chr!$G$3:$G$17, ""))</f>
        <v>1</v>
      </c>
      <c r="I84" s="51">
        <f t="shared" si="5"/>
        <v>48</v>
      </c>
      <c r="J84" s="230"/>
      <c r="K84" s="124"/>
    </row>
    <row r="85">
      <c r="A85" s="18"/>
      <c r="B85" s="231"/>
      <c r="C85" s="232" t="str">
        <f t="array" ref="C85">XLOOKUP(B85, Chr!$B$5:$B$19, Chr!$E$5:$E$19, "")</f>
        <v/>
      </c>
      <c r="D85" s="51"/>
      <c r="E85" s="244">
        <v>33.0</v>
      </c>
      <c r="F85" s="51">
        <f t="array" ref="F85">IF($B$50="", "", XLOOKUP($B$50, Chr!$B$3:$B$17, Chr!$F$3:$F$17, ""))</f>
        <v>2</v>
      </c>
      <c r="G85" s="51">
        <f t="shared" si="4"/>
        <v>112</v>
      </c>
      <c r="H85" s="51">
        <f t="array" ref="H85">IF($B$50="", "", XLOOKUP($B$50, Chr!$B$3:$B$17, Chr!$G$3:$G$17, ""))</f>
        <v>1</v>
      </c>
      <c r="I85" s="51">
        <f t="shared" si="5"/>
        <v>49</v>
      </c>
      <c r="J85" s="230"/>
      <c r="K85" s="124"/>
    </row>
    <row r="86">
      <c r="A86" s="18"/>
      <c r="B86" s="231"/>
      <c r="C86" s="232" t="str">
        <f t="array" ref="C86">XLOOKUP(B86, Chr!$B$5:$B$19, Chr!$E$5:$E$19, "")</f>
        <v/>
      </c>
      <c r="D86" s="51"/>
      <c r="E86" s="244">
        <v>34.0</v>
      </c>
      <c r="F86" s="51">
        <f t="array" ref="F86">IF($B$50="", "", XLOOKUP($B$50, Chr!$B$3:$B$17, Chr!$F$3:$F$17, ""))</f>
        <v>2</v>
      </c>
      <c r="G86" s="51">
        <f t="shared" si="4"/>
        <v>114</v>
      </c>
      <c r="H86" s="51">
        <f t="array" ref="H86">IF($B$50="", "", XLOOKUP($B$50, Chr!$B$3:$B$17, Chr!$G$3:$G$17, ""))</f>
        <v>1</v>
      </c>
      <c r="I86" s="51">
        <f t="shared" si="5"/>
        <v>50</v>
      </c>
      <c r="J86" s="234"/>
      <c r="K86" s="124"/>
    </row>
    <row r="87">
      <c r="A87" s="18"/>
      <c r="B87" s="231"/>
      <c r="C87" s="232" t="str">
        <f t="array" ref="C87">XLOOKUP(B87, Chr!$B$5:$B$19, Chr!$E$5:$E$19, "")</f>
        <v/>
      </c>
      <c r="D87" s="51"/>
      <c r="E87" s="244">
        <v>35.0</v>
      </c>
      <c r="F87" s="51">
        <f t="array" ref="F87">IF($B$50="", "", XLOOKUP($B$50, Chr!$B$3:$B$17, Chr!$F$3:$F$17, ""))</f>
        <v>2</v>
      </c>
      <c r="G87" s="51">
        <f t="shared" si="4"/>
        <v>116</v>
      </c>
      <c r="H87" s="51">
        <f t="array" ref="H87">IF($B$50="", "", XLOOKUP($B$50, Chr!$B$3:$B$17, Chr!$G$3:$G$17, ""))</f>
        <v>1</v>
      </c>
      <c r="I87" s="51">
        <f t="shared" si="5"/>
        <v>51</v>
      </c>
      <c r="J87" s="211" t="s">
        <v>385</v>
      </c>
      <c r="K87" s="124"/>
    </row>
    <row r="88">
      <c r="A88" s="18"/>
      <c r="B88" s="231"/>
      <c r="C88" s="232" t="str">
        <f t="array" ref="C88">XLOOKUP(B88, Chr!$B$5:$B$19, Chr!$E$5:$E$19, "")</f>
        <v/>
      </c>
      <c r="D88" s="51"/>
      <c r="E88" s="244">
        <v>36.0</v>
      </c>
      <c r="F88" s="51">
        <f t="array" ref="F88">IF($B$50="", "", XLOOKUP($B$50, Chr!$B$3:$B$17, Chr!$F$3:$F$17, ""))</f>
        <v>2</v>
      </c>
      <c r="G88" s="51">
        <f t="shared" si="4"/>
        <v>118</v>
      </c>
      <c r="H88" s="51">
        <f t="array" ref="H88">IF($B$50="", "", XLOOKUP($B$50, Chr!$B$3:$B$17, Chr!$G$3:$G$17, ""))</f>
        <v>1</v>
      </c>
      <c r="I88" s="51">
        <f t="shared" si="5"/>
        <v>52</v>
      </c>
      <c r="J88" s="235"/>
      <c r="K88" s="124"/>
    </row>
    <row r="89">
      <c r="A89" s="18"/>
      <c r="B89" s="231"/>
      <c r="C89" s="232" t="str">
        <f t="array" ref="C89">XLOOKUP(B89, Chr!$B$5:$B$19, Chr!$E$5:$E$19, "")</f>
        <v/>
      </c>
      <c r="D89" s="51"/>
      <c r="E89" s="244">
        <v>37.0</v>
      </c>
      <c r="F89" s="51">
        <f t="array" ref="F89">IF($B$50="", "", XLOOKUP($B$50, Chr!$B$3:$B$17, Chr!$F$3:$F$17, ""))</f>
        <v>2</v>
      </c>
      <c r="G89" s="51">
        <f t="shared" si="4"/>
        <v>120</v>
      </c>
      <c r="H89" s="51">
        <f t="array" ref="H89">IF($B$50="", "", XLOOKUP($B$50, Chr!$B$3:$B$17, Chr!$G$3:$G$17, ""))</f>
        <v>1</v>
      </c>
      <c r="I89" s="51">
        <f t="shared" si="5"/>
        <v>53</v>
      </c>
      <c r="J89" s="230"/>
      <c r="K89" s="124"/>
    </row>
    <row r="90">
      <c r="A90" s="18"/>
      <c r="B90" s="231"/>
      <c r="C90" s="232" t="str">
        <f t="array" ref="C90">XLOOKUP(B90, Chr!$B$5:$B$19, Chr!$E$5:$E$19, "")</f>
        <v/>
      </c>
      <c r="D90" s="51"/>
      <c r="E90" s="244">
        <v>38.0</v>
      </c>
      <c r="F90" s="51">
        <f t="array" ref="F90">IF($B$50="", "", XLOOKUP($B$50, Chr!$B$3:$B$17, Chr!$F$3:$F$17, ""))</f>
        <v>2</v>
      </c>
      <c r="G90" s="51">
        <f t="shared" si="4"/>
        <v>122</v>
      </c>
      <c r="H90" s="51">
        <f t="array" ref="H90">IF($B$50="", "", XLOOKUP($B$50, Chr!$B$3:$B$17, Chr!$G$3:$G$17, ""))</f>
        <v>1</v>
      </c>
      <c r="I90" s="51">
        <f t="shared" si="5"/>
        <v>54</v>
      </c>
      <c r="J90" s="230"/>
      <c r="K90" s="124"/>
    </row>
    <row r="91">
      <c r="A91" s="18"/>
      <c r="B91" s="231"/>
      <c r="C91" s="232" t="str">
        <f t="array" ref="C91">XLOOKUP(B91, Chr!$B$5:$B$19, Chr!$E$5:$E$19, "")</f>
        <v/>
      </c>
      <c r="D91" s="51"/>
      <c r="E91" s="244">
        <v>39.0</v>
      </c>
      <c r="F91" s="51">
        <f t="array" ref="F91">IF($B$50="", "", XLOOKUP($B$50, Chr!$B$3:$B$17, Chr!$F$3:$F$17, ""))</f>
        <v>2</v>
      </c>
      <c r="G91" s="51">
        <f t="shared" si="4"/>
        <v>124</v>
      </c>
      <c r="H91" s="51">
        <f t="array" ref="H91">IF($B$50="", "", XLOOKUP($B$50, Chr!$B$3:$B$17, Chr!$G$3:$G$17, ""))</f>
        <v>1</v>
      </c>
      <c r="I91" s="51">
        <f t="shared" si="5"/>
        <v>55</v>
      </c>
      <c r="J91" s="230"/>
      <c r="K91" s="124"/>
    </row>
    <row r="92">
      <c r="A92" s="18"/>
      <c r="B92" s="231"/>
      <c r="C92" s="232" t="str">
        <f t="array" ref="C92">XLOOKUP(B92, Chr!$B$5:$B$19, Chr!$E$5:$E$19, "")</f>
        <v/>
      </c>
      <c r="D92" s="51"/>
      <c r="E92" s="244">
        <v>40.0</v>
      </c>
      <c r="F92" s="51">
        <f t="array" ref="F92">IF($B$50="", "", XLOOKUP($B$50, Chr!$B$3:$B$17, Chr!$F$3:$F$17, ""))</f>
        <v>2</v>
      </c>
      <c r="G92" s="51">
        <f t="shared" si="4"/>
        <v>126</v>
      </c>
      <c r="H92" s="51">
        <f t="array" ref="H92">IF($B$50="", "", XLOOKUP($B$50, Chr!$B$3:$B$17, Chr!$G$3:$G$17, ""))</f>
        <v>1</v>
      </c>
      <c r="I92" s="51">
        <f t="shared" si="5"/>
        <v>56</v>
      </c>
      <c r="J92" s="234"/>
      <c r="K92" s="124"/>
    </row>
    <row r="93">
      <c r="A93" s="18"/>
      <c r="B93" s="239"/>
      <c r="C93" s="240" t="str">
        <f t="array" ref="C93">XLOOKUP(B93, Chr!$B$5:$B$19, Chr!$E$5:$E$19, "")</f>
        <v/>
      </c>
      <c r="D93" s="214"/>
      <c r="E93" s="246" t="s">
        <v>349</v>
      </c>
      <c r="F93" s="214">
        <f t="array" ref="F93">IF($B$50="", "", XLOOKUP($B$50, Chr!$B$3:$B$17, Chr!$F$3:$F$17, ""))</f>
        <v>2</v>
      </c>
      <c r="G93" s="214">
        <f t="shared" si="4"/>
        <v>128</v>
      </c>
      <c r="H93" s="214">
        <f t="array" ref="H93">IF($B$50="", "", XLOOKUP($B$50, Chr!$B$3:$B$17, Chr!$G$3:$G$17, ""))</f>
        <v>1</v>
      </c>
      <c r="I93" s="214">
        <f t="shared" si="5"/>
        <v>57</v>
      </c>
      <c r="J93" s="215" t="s">
        <v>386</v>
      </c>
      <c r="K93" s="124"/>
    </row>
    <row r="94">
      <c r="A94" s="41"/>
      <c r="B94" s="242"/>
      <c r="C94" s="131"/>
      <c r="D94" s="131"/>
      <c r="E94" s="131"/>
      <c r="F94" s="131"/>
      <c r="G94" s="131"/>
      <c r="H94" s="131"/>
      <c r="I94" s="131"/>
      <c r="J94" s="131"/>
      <c r="K94" s="41"/>
    </row>
    <row r="95">
      <c r="A95" s="18"/>
      <c r="B95" s="224">
        <v>1003.0</v>
      </c>
      <c r="C95" s="225" t="str">
        <f t="array" ref="C95">XLOOKUP(B95, Chr!$B$5:$B$19, Chr!$E$5:$E$19, "")</f>
        <v>경기병</v>
      </c>
      <c r="D95" s="226">
        <v>0.0</v>
      </c>
      <c r="E95" s="226">
        <v>1.0</v>
      </c>
      <c r="F95" s="226">
        <v>6.0</v>
      </c>
      <c r="G95" s="226">
        <v>55.0</v>
      </c>
      <c r="H95" s="226">
        <v>2.0</v>
      </c>
      <c r="I95" s="226">
        <v>17.0</v>
      </c>
      <c r="J95" s="227"/>
      <c r="K95" s="124"/>
    </row>
    <row r="96">
      <c r="A96" s="18"/>
      <c r="B96" s="228"/>
      <c r="C96" s="229" t="str">
        <f t="array" ref="C96">XLOOKUP(B96, Chr!$B$5:$B$19, Chr!$E$5:$E$19, "")</f>
        <v/>
      </c>
      <c r="D96" s="51"/>
      <c r="E96" s="51">
        <v>2.0</v>
      </c>
      <c r="F96" s="233">
        <v>5.0</v>
      </c>
      <c r="G96" s="51">
        <f t="shared" ref="G96:G138" si="6">G95+F96</f>
        <v>60</v>
      </c>
      <c r="H96" s="51">
        <v>2.0</v>
      </c>
      <c r="I96" s="51">
        <f t="shared" ref="I96:I138" si="7">I95+H96</f>
        <v>19</v>
      </c>
      <c r="J96" s="230"/>
      <c r="K96" s="124"/>
    </row>
    <row r="97">
      <c r="A97" s="18"/>
      <c r="B97" s="231"/>
      <c r="C97" s="232" t="str">
        <f t="array" ref="C97">XLOOKUP(B97, Chr!$B$5:$B$19, Chr!$E$5:$E$19, "")</f>
        <v/>
      </c>
      <c r="D97" s="51"/>
      <c r="E97" s="51">
        <v>3.0</v>
      </c>
      <c r="F97" s="51">
        <v>6.0</v>
      </c>
      <c r="G97" s="51">
        <f t="shared" si="6"/>
        <v>66</v>
      </c>
      <c r="H97" s="51">
        <v>2.0</v>
      </c>
      <c r="I97" s="51">
        <f t="shared" si="7"/>
        <v>21</v>
      </c>
      <c r="J97" s="230"/>
      <c r="K97" s="124"/>
    </row>
    <row r="98">
      <c r="A98" s="18"/>
      <c r="B98" s="231"/>
      <c r="C98" s="232" t="str">
        <f t="array" ref="C98">XLOOKUP(B98, Chr!$B$5:$B$19, Chr!$E$5:$E$19, "")</f>
        <v/>
      </c>
      <c r="D98" s="51"/>
      <c r="E98" s="51">
        <v>4.0</v>
      </c>
      <c r="F98" s="51">
        <v>6.0</v>
      </c>
      <c r="G98" s="51">
        <f t="shared" si="6"/>
        <v>72</v>
      </c>
      <c r="H98" s="233">
        <v>1.0</v>
      </c>
      <c r="I98" s="51">
        <f t="shared" si="7"/>
        <v>22</v>
      </c>
      <c r="J98" s="234"/>
      <c r="K98" s="124"/>
    </row>
    <row r="99">
      <c r="A99" s="18"/>
      <c r="B99" s="231"/>
      <c r="C99" s="232" t="str">
        <f t="array" ref="C99">XLOOKUP(B99, Chr!$B$5:$B$19, Chr!$E$5:$E$19, "")</f>
        <v/>
      </c>
      <c r="D99" s="51"/>
      <c r="E99" s="51">
        <v>5.0</v>
      </c>
      <c r="F99" s="233">
        <v>5.0</v>
      </c>
      <c r="G99" s="51">
        <f t="shared" si="6"/>
        <v>77</v>
      </c>
      <c r="H99" s="51">
        <v>2.0</v>
      </c>
      <c r="I99" s="51">
        <f t="shared" si="7"/>
        <v>24</v>
      </c>
      <c r="J99" s="211" t="s">
        <v>387</v>
      </c>
      <c r="K99" s="124"/>
    </row>
    <row r="100">
      <c r="A100" s="18"/>
      <c r="B100" s="231"/>
      <c r="C100" s="232" t="str">
        <f t="array" ref="C100">XLOOKUP(B100, Chr!$B$5:$B$19, Chr!$E$5:$E$19, "")</f>
        <v/>
      </c>
      <c r="D100" s="51"/>
      <c r="E100" s="51">
        <v>6.0</v>
      </c>
      <c r="F100" s="233">
        <v>5.0</v>
      </c>
      <c r="G100" s="51">
        <f t="shared" si="6"/>
        <v>82</v>
      </c>
      <c r="H100" s="51">
        <v>2.0</v>
      </c>
      <c r="I100" s="51">
        <f t="shared" si="7"/>
        <v>26</v>
      </c>
      <c r="J100" s="235"/>
      <c r="K100" s="124"/>
    </row>
    <row r="101">
      <c r="A101" s="18"/>
      <c r="B101" s="231"/>
      <c r="C101" s="232" t="str">
        <f t="array" ref="C101">XLOOKUP(B101, Chr!$B$5:$B$19, Chr!$E$5:$E$19, "")</f>
        <v/>
      </c>
      <c r="D101" s="51"/>
      <c r="E101" s="51">
        <v>7.0</v>
      </c>
      <c r="F101" s="51">
        <v>6.0</v>
      </c>
      <c r="G101" s="51">
        <f t="shared" si="6"/>
        <v>88</v>
      </c>
      <c r="H101" s="233">
        <v>1.0</v>
      </c>
      <c r="I101" s="51">
        <f t="shared" si="7"/>
        <v>27</v>
      </c>
      <c r="J101" s="230"/>
      <c r="K101" s="124"/>
    </row>
    <row r="102">
      <c r="A102" s="18"/>
      <c r="B102" s="231"/>
      <c r="C102" s="232" t="str">
        <f t="array" ref="C102">XLOOKUP(B102, Chr!$B$5:$B$19, Chr!$E$5:$E$19, "")</f>
        <v/>
      </c>
      <c r="D102" s="51"/>
      <c r="E102" s="51">
        <v>8.0</v>
      </c>
      <c r="F102" s="51">
        <v>6.0</v>
      </c>
      <c r="G102" s="51">
        <f t="shared" si="6"/>
        <v>94</v>
      </c>
      <c r="H102" s="51">
        <v>2.0</v>
      </c>
      <c r="I102" s="51">
        <f t="shared" si="7"/>
        <v>29</v>
      </c>
      <c r="J102" s="230"/>
      <c r="K102" s="124"/>
    </row>
    <row r="103">
      <c r="A103" s="18"/>
      <c r="B103" s="231"/>
      <c r="C103" s="232" t="str">
        <f t="array" ref="C103">XLOOKUP(B103, Chr!$B$5:$B$19, Chr!$E$5:$E$19, "")</f>
        <v/>
      </c>
      <c r="D103" s="51"/>
      <c r="E103" s="51">
        <v>9.0</v>
      </c>
      <c r="F103" s="233">
        <v>5.0</v>
      </c>
      <c r="G103" s="51">
        <f t="shared" si="6"/>
        <v>99</v>
      </c>
      <c r="H103" s="233">
        <v>1.0</v>
      </c>
      <c r="I103" s="51">
        <f t="shared" si="7"/>
        <v>30</v>
      </c>
      <c r="J103" s="230"/>
      <c r="K103" s="124"/>
    </row>
    <row r="104">
      <c r="A104" s="18"/>
      <c r="B104" s="231"/>
      <c r="C104" s="232" t="str">
        <f t="array" ref="C104">XLOOKUP(B104, Chr!$B$5:$B$19, Chr!$E$5:$E$19, "")</f>
        <v/>
      </c>
      <c r="D104" s="51"/>
      <c r="E104" s="51">
        <v>10.0</v>
      </c>
      <c r="F104" s="233">
        <v>5.0</v>
      </c>
      <c r="G104" s="51">
        <f t="shared" si="6"/>
        <v>104</v>
      </c>
      <c r="H104" s="51">
        <v>2.0</v>
      </c>
      <c r="I104" s="51">
        <f t="shared" si="7"/>
        <v>32</v>
      </c>
      <c r="J104" s="234"/>
      <c r="K104" s="124"/>
    </row>
    <row r="105">
      <c r="A105" s="18"/>
      <c r="B105" s="231"/>
      <c r="C105" s="232" t="str">
        <f t="array" ref="C105">XLOOKUP(B105, Chr!$B$5:$B$19, Chr!$E$5:$E$19, "")</f>
        <v/>
      </c>
      <c r="D105" s="51">
        <v>1.0</v>
      </c>
      <c r="E105" s="51" t="s">
        <v>349</v>
      </c>
      <c r="F105" s="69"/>
      <c r="G105" s="51">
        <f t="shared" si="6"/>
        <v>104</v>
      </c>
      <c r="H105" s="69"/>
      <c r="I105" s="51">
        <f t="shared" si="7"/>
        <v>32</v>
      </c>
      <c r="J105" s="211" t="s">
        <v>388</v>
      </c>
      <c r="K105" s="124"/>
    </row>
    <row r="106">
      <c r="A106" s="18"/>
      <c r="B106" s="231"/>
      <c r="C106" s="232" t="str">
        <f t="array" ref="C106">XLOOKUP(B106, Chr!$B$5:$B$19, Chr!$E$5:$E$19, "")</f>
        <v/>
      </c>
      <c r="D106" s="51"/>
      <c r="E106" s="51">
        <v>11.0</v>
      </c>
      <c r="F106" s="51">
        <v>6.0</v>
      </c>
      <c r="G106" s="51">
        <f t="shared" si="6"/>
        <v>110</v>
      </c>
      <c r="H106" s="51">
        <v>2.0</v>
      </c>
      <c r="I106" s="51">
        <f t="shared" si="7"/>
        <v>34</v>
      </c>
      <c r="J106" s="235"/>
      <c r="K106" s="124"/>
    </row>
    <row r="107">
      <c r="A107" s="18"/>
      <c r="B107" s="231"/>
      <c r="C107" s="232" t="str">
        <f t="array" ref="C107">XLOOKUP(B107, Chr!$B$5:$B$19, Chr!$E$5:$E$19, "")</f>
        <v/>
      </c>
      <c r="D107" s="51"/>
      <c r="E107" s="51">
        <v>12.0</v>
      </c>
      <c r="F107" s="51">
        <v>6.0</v>
      </c>
      <c r="G107" s="51">
        <f t="shared" si="6"/>
        <v>116</v>
      </c>
      <c r="H107" s="51">
        <v>2.0</v>
      </c>
      <c r="I107" s="51">
        <f t="shared" si="7"/>
        <v>36</v>
      </c>
      <c r="J107" s="230"/>
      <c r="K107" s="124"/>
    </row>
    <row r="108">
      <c r="A108" s="18"/>
      <c r="B108" s="231"/>
      <c r="C108" s="232" t="str">
        <f t="array" ref="C108">XLOOKUP(B108, Chr!$B$5:$B$19, Chr!$E$5:$E$19, "")</f>
        <v/>
      </c>
      <c r="D108" s="51"/>
      <c r="E108" s="51">
        <v>13.0</v>
      </c>
      <c r="F108" s="51">
        <v>6.0</v>
      </c>
      <c r="G108" s="51">
        <f t="shared" si="6"/>
        <v>122</v>
      </c>
      <c r="H108" s="51">
        <v>2.0</v>
      </c>
      <c r="I108" s="51">
        <f t="shared" si="7"/>
        <v>38</v>
      </c>
      <c r="J108" s="230"/>
      <c r="K108" s="124"/>
    </row>
    <row r="109">
      <c r="A109" s="18"/>
      <c r="B109" s="231"/>
      <c r="C109" s="232" t="str">
        <f t="array" ref="C109">XLOOKUP(B109, Chr!$B$5:$B$19, Chr!$E$5:$E$19, "")</f>
        <v/>
      </c>
      <c r="D109" s="51"/>
      <c r="E109" s="51">
        <v>14.0</v>
      </c>
      <c r="F109" s="51">
        <v>6.0</v>
      </c>
      <c r="G109" s="51">
        <f t="shared" si="6"/>
        <v>128</v>
      </c>
      <c r="H109" s="51">
        <v>2.0</v>
      </c>
      <c r="I109" s="51">
        <f t="shared" si="7"/>
        <v>40</v>
      </c>
      <c r="J109" s="238"/>
      <c r="K109" s="124"/>
    </row>
    <row r="110">
      <c r="A110" s="18"/>
      <c r="B110" s="231"/>
      <c r="C110" s="232" t="str">
        <f t="array" ref="C110">XLOOKUP(B110, Chr!$B$5:$B$19, Chr!$E$5:$E$19, "")</f>
        <v/>
      </c>
      <c r="D110" s="51"/>
      <c r="E110" s="51">
        <v>15.0</v>
      </c>
      <c r="F110" s="51">
        <v>6.0</v>
      </c>
      <c r="G110" s="51">
        <f t="shared" si="6"/>
        <v>134</v>
      </c>
      <c r="H110" s="51">
        <v>2.0</v>
      </c>
      <c r="I110" s="51">
        <f t="shared" si="7"/>
        <v>42</v>
      </c>
      <c r="J110" s="247" t="s">
        <v>389</v>
      </c>
      <c r="K110" s="124"/>
    </row>
    <row r="111">
      <c r="A111" s="18"/>
      <c r="B111" s="231"/>
      <c r="C111" s="232" t="str">
        <f t="array" ref="C111">XLOOKUP(B111, Chr!$B$5:$B$19, Chr!$E$5:$E$19, "")</f>
        <v/>
      </c>
      <c r="D111" s="51"/>
      <c r="E111" s="51">
        <v>16.0</v>
      </c>
      <c r="F111" s="51">
        <v>6.0</v>
      </c>
      <c r="G111" s="51">
        <f t="shared" si="6"/>
        <v>140</v>
      </c>
      <c r="H111" s="51">
        <v>2.0</v>
      </c>
      <c r="I111" s="51">
        <f t="shared" si="7"/>
        <v>44</v>
      </c>
      <c r="J111" s="235"/>
      <c r="K111" s="124"/>
    </row>
    <row r="112">
      <c r="A112" s="18"/>
      <c r="B112" s="231"/>
      <c r="C112" s="232" t="str">
        <f t="array" ref="C112">XLOOKUP(B112, Chr!$B$5:$B$19, Chr!$E$5:$E$19, "")</f>
        <v/>
      </c>
      <c r="D112" s="51"/>
      <c r="E112" s="51">
        <v>17.0</v>
      </c>
      <c r="F112" s="51">
        <v>6.0</v>
      </c>
      <c r="G112" s="51">
        <f t="shared" si="6"/>
        <v>146</v>
      </c>
      <c r="H112" s="51">
        <v>2.0</v>
      </c>
      <c r="I112" s="51">
        <f t="shared" si="7"/>
        <v>46</v>
      </c>
      <c r="J112" s="230"/>
      <c r="K112" s="124"/>
    </row>
    <row r="113">
      <c r="A113" s="18"/>
      <c r="B113" s="231"/>
      <c r="C113" s="232" t="str">
        <f t="array" ref="C113">XLOOKUP(B113, Chr!$B$5:$B$19, Chr!$E$5:$E$19, "")</f>
        <v/>
      </c>
      <c r="D113" s="51"/>
      <c r="E113" s="51">
        <v>18.0</v>
      </c>
      <c r="F113" s="51">
        <v>6.0</v>
      </c>
      <c r="G113" s="51">
        <f t="shared" si="6"/>
        <v>152</v>
      </c>
      <c r="H113" s="51">
        <v>2.0</v>
      </c>
      <c r="I113" s="51">
        <f t="shared" si="7"/>
        <v>48</v>
      </c>
      <c r="J113" s="230"/>
      <c r="K113" s="124"/>
    </row>
    <row r="114">
      <c r="A114" s="18"/>
      <c r="B114" s="231"/>
      <c r="C114" s="232" t="str">
        <f t="array" ref="C114">XLOOKUP(B114, Chr!$B$5:$B$19, Chr!$E$5:$E$19, "")</f>
        <v/>
      </c>
      <c r="D114" s="51"/>
      <c r="E114" s="51">
        <v>19.0</v>
      </c>
      <c r="F114" s="51">
        <v>6.0</v>
      </c>
      <c r="G114" s="51">
        <f t="shared" si="6"/>
        <v>158</v>
      </c>
      <c r="H114" s="51">
        <v>2.0</v>
      </c>
      <c r="I114" s="51">
        <f t="shared" si="7"/>
        <v>50</v>
      </c>
      <c r="J114" s="230"/>
      <c r="K114" s="124"/>
    </row>
    <row r="115">
      <c r="A115" s="18"/>
      <c r="B115" s="231"/>
      <c r="C115" s="232" t="str">
        <f t="array" ref="C115">XLOOKUP(B115, Chr!$B$5:$B$19, Chr!$E$5:$E$19, "")</f>
        <v/>
      </c>
      <c r="D115" s="51"/>
      <c r="E115" s="51">
        <v>20.0</v>
      </c>
      <c r="F115" s="51">
        <v>6.0</v>
      </c>
      <c r="G115" s="51">
        <f t="shared" si="6"/>
        <v>164</v>
      </c>
      <c r="H115" s="51">
        <v>2.0</v>
      </c>
      <c r="I115" s="51">
        <f t="shared" si="7"/>
        <v>52</v>
      </c>
      <c r="J115" s="234"/>
      <c r="K115" s="124"/>
    </row>
    <row r="116">
      <c r="A116" s="18"/>
      <c r="B116" s="231"/>
      <c r="C116" s="232" t="str">
        <f t="array" ref="C116">XLOOKUP(B116, Chr!$B$5:$B$19, Chr!$E$5:$E$19, "")</f>
        <v/>
      </c>
      <c r="D116" s="51">
        <v>2.0</v>
      </c>
      <c r="E116" s="51" t="s">
        <v>349</v>
      </c>
      <c r="F116" s="51">
        <v>6.0</v>
      </c>
      <c r="G116" s="51">
        <f t="shared" si="6"/>
        <v>170</v>
      </c>
      <c r="H116" s="51">
        <v>2.0</v>
      </c>
      <c r="I116" s="51">
        <f t="shared" si="7"/>
        <v>54</v>
      </c>
      <c r="J116" s="211" t="s">
        <v>390</v>
      </c>
      <c r="K116" s="124"/>
    </row>
    <row r="117">
      <c r="A117" s="18"/>
      <c r="B117" s="231"/>
      <c r="C117" s="232" t="str">
        <f t="array" ref="C117">XLOOKUP(B117, Chr!$B$5:$B$19, Chr!$E$5:$E$19, "")</f>
        <v/>
      </c>
      <c r="D117" s="51"/>
      <c r="E117" s="51">
        <v>21.0</v>
      </c>
      <c r="F117" s="51">
        <v>6.0</v>
      </c>
      <c r="G117" s="51">
        <f t="shared" si="6"/>
        <v>176</v>
      </c>
      <c r="H117" s="51">
        <v>2.0</v>
      </c>
      <c r="I117" s="51">
        <f t="shared" si="7"/>
        <v>56</v>
      </c>
      <c r="J117" s="235"/>
      <c r="K117" s="124"/>
    </row>
    <row r="118">
      <c r="A118" s="18"/>
      <c r="B118" s="231"/>
      <c r="C118" s="232" t="str">
        <f t="array" ref="C118">XLOOKUP(B118, Chr!$B$5:$B$19, Chr!$E$5:$E$19, "")</f>
        <v/>
      </c>
      <c r="D118" s="51"/>
      <c r="E118" s="51">
        <v>22.0</v>
      </c>
      <c r="F118" s="51">
        <v>6.0</v>
      </c>
      <c r="G118" s="51">
        <f t="shared" si="6"/>
        <v>182</v>
      </c>
      <c r="H118" s="51">
        <v>2.0</v>
      </c>
      <c r="I118" s="51">
        <f t="shared" si="7"/>
        <v>58</v>
      </c>
      <c r="J118" s="230"/>
      <c r="K118" s="124"/>
    </row>
    <row r="119">
      <c r="A119" s="18"/>
      <c r="B119" s="231"/>
      <c r="C119" s="232" t="str">
        <f t="array" ref="C119">XLOOKUP(B119, Chr!$B$5:$B$19, Chr!$E$5:$E$19, "")</f>
        <v/>
      </c>
      <c r="D119" s="51"/>
      <c r="E119" s="51">
        <v>23.0</v>
      </c>
      <c r="F119" s="51">
        <v>6.0</v>
      </c>
      <c r="G119" s="51">
        <f t="shared" si="6"/>
        <v>188</v>
      </c>
      <c r="H119" s="51">
        <v>2.0</v>
      </c>
      <c r="I119" s="51">
        <f t="shared" si="7"/>
        <v>60</v>
      </c>
      <c r="J119" s="237"/>
      <c r="K119" s="124"/>
    </row>
    <row r="120">
      <c r="A120" s="18"/>
      <c r="B120" s="231"/>
      <c r="C120" s="232" t="str">
        <f t="array" ref="C120">XLOOKUP(B120, Chr!$B$5:$B$19, Chr!$E$5:$E$19, "")</f>
        <v/>
      </c>
      <c r="D120" s="51"/>
      <c r="E120" s="51">
        <v>24.0</v>
      </c>
      <c r="F120" s="51">
        <v>6.0</v>
      </c>
      <c r="G120" s="51">
        <f t="shared" si="6"/>
        <v>194</v>
      </c>
      <c r="H120" s="51">
        <v>2.0</v>
      </c>
      <c r="I120" s="51">
        <f t="shared" si="7"/>
        <v>62</v>
      </c>
      <c r="J120" s="234"/>
      <c r="K120" s="124"/>
    </row>
    <row r="121">
      <c r="A121" s="18"/>
      <c r="B121" s="231"/>
      <c r="C121" s="232" t="str">
        <f t="array" ref="C121">XLOOKUP(B121, Chr!$B$5:$B$19, Chr!$E$5:$E$19, "")</f>
        <v/>
      </c>
      <c r="D121" s="51"/>
      <c r="E121" s="51">
        <v>25.0</v>
      </c>
      <c r="F121" s="51">
        <v>6.0</v>
      </c>
      <c r="G121" s="51">
        <f t="shared" si="6"/>
        <v>200</v>
      </c>
      <c r="H121" s="51">
        <v>2.0</v>
      </c>
      <c r="I121" s="51">
        <f t="shared" si="7"/>
        <v>64</v>
      </c>
      <c r="J121" s="247" t="s">
        <v>391</v>
      </c>
      <c r="K121" s="124"/>
    </row>
    <row r="122">
      <c r="A122" s="18"/>
      <c r="B122" s="231"/>
      <c r="C122" s="232" t="str">
        <f t="array" ref="C122">XLOOKUP(B122, Chr!$B$5:$B$19, Chr!$E$5:$E$19, "")</f>
        <v/>
      </c>
      <c r="D122" s="51"/>
      <c r="E122" s="51">
        <v>26.0</v>
      </c>
      <c r="F122" s="51">
        <v>6.0</v>
      </c>
      <c r="G122" s="51">
        <f t="shared" si="6"/>
        <v>206</v>
      </c>
      <c r="H122" s="51">
        <v>2.0</v>
      </c>
      <c r="I122" s="51">
        <f t="shared" si="7"/>
        <v>66</v>
      </c>
      <c r="J122" s="235"/>
      <c r="K122" s="124"/>
    </row>
    <row r="123">
      <c r="A123" s="18"/>
      <c r="B123" s="231"/>
      <c r="C123" s="232" t="str">
        <f t="array" ref="C123">XLOOKUP(B123, Chr!$B$5:$B$19, Chr!$E$5:$E$19, "")</f>
        <v/>
      </c>
      <c r="D123" s="51"/>
      <c r="E123" s="51">
        <v>27.0</v>
      </c>
      <c r="F123" s="51">
        <v>6.0</v>
      </c>
      <c r="G123" s="51">
        <f t="shared" si="6"/>
        <v>212</v>
      </c>
      <c r="H123" s="51">
        <v>2.0</v>
      </c>
      <c r="I123" s="51">
        <f t="shared" si="7"/>
        <v>68</v>
      </c>
      <c r="J123" s="230"/>
      <c r="K123" s="124"/>
    </row>
    <row r="124">
      <c r="A124" s="18"/>
      <c r="B124" s="231"/>
      <c r="C124" s="232" t="str">
        <f t="array" ref="C124">XLOOKUP(B124, Chr!$B$5:$B$19, Chr!$E$5:$E$19, "")</f>
        <v/>
      </c>
      <c r="D124" s="51"/>
      <c r="E124" s="51">
        <v>28.0</v>
      </c>
      <c r="F124" s="51">
        <v>6.0</v>
      </c>
      <c r="G124" s="51">
        <f t="shared" si="6"/>
        <v>218</v>
      </c>
      <c r="H124" s="51">
        <v>2.0</v>
      </c>
      <c r="I124" s="51">
        <f t="shared" si="7"/>
        <v>70</v>
      </c>
      <c r="J124" s="230"/>
      <c r="K124" s="124"/>
    </row>
    <row r="125">
      <c r="A125" s="18"/>
      <c r="B125" s="231"/>
      <c r="C125" s="232" t="str">
        <f t="array" ref="C125">XLOOKUP(B125, Chr!$B$5:$B$19, Chr!$E$5:$E$19, "")</f>
        <v/>
      </c>
      <c r="D125" s="51"/>
      <c r="E125" s="51">
        <v>29.0</v>
      </c>
      <c r="F125" s="51">
        <v>6.0</v>
      </c>
      <c r="G125" s="51">
        <f t="shared" si="6"/>
        <v>224</v>
      </c>
      <c r="H125" s="51">
        <v>2.0</v>
      </c>
      <c r="I125" s="51">
        <f t="shared" si="7"/>
        <v>72</v>
      </c>
      <c r="J125" s="230"/>
      <c r="K125" s="124"/>
    </row>
    <row r="126">
      <c r="A126" s="18"/>
      <c r="B126" s="231"/>
      <c r="C126" s="232" t="str">
        <f t="array" ref="C126">XLOOKUP(B126, Chr!$B$5:$B$19, Chr!$E$5:$E$19, "")</f>
        <v/>
      </c>
      <c r="D126" s="51"/>
      <c r="E126" s="51">
        <v>30.0</v>
      </c>
      <c r="F126" s="51">
        <v>6.0</v>
      </c>
      <c r="G126" s="51">
        <f t="shared" si="6"/>
        <v>230</v>
      </c>
      <c r="H126" s="51">
        <v>2.0</v>
      </c>
      <c r="I126" s="51">
        <f t="shared" si="7"/>
        <v>74</v>
      </c>
      <c r="J126" s="234"/>
      <c r="K126" s="124"/>
    </row>
    <row r="127">
      <c r="A127" s="18"/>
      <c r="B127" s="231"/>
      <c r="C127" s="232" t="str">
        <f t="array" ref="C127">XLOOKUP(B127, Chr!$B$5:$B$19, Chr!$E$5:$E$19, "")</f>
        <v/>
      </c>
      <c r="D127" s="51">
        <v>3.0</v>
      </c>
      <c r="E127" s="51" t="s">
        <v>349</v>
      </c>
      <c r="F127" s="51">
        <v>6.0</v>
      </c>
      <c r="G127" s="51">
        <f t="shared" si="6"/>
        <v>236</v>
      </c>
      <c r="H127" s="51">
        <v>2.0</v>
      </c>
      <c r="I127" s="51">
        <f t="shared" si="7"/>
        <v>76</v>
      </c>
      <c r="J127" s="211" t="s">
        <v>392</v>
      </c>
      <c r="K127" s="124"/>
    </row>
    <row r="128">
      <c r="A128" s="18"/>
      <c r="B128" s="231"/>
      <c r="C128" s="232" t="str">
        <f t="array" ref="C128">XLOOKUP(B128, Chr!$B$5:$B$19, Chr!$E$5:$E$19, "")</f>
        <v/>
      </c>
      <c r="D128" s="51"/>
      <c r="E128" s="51">
        <v>31.0</v>
      </c>
      <c r="F128" s="51">
        <v>6.0</v>
      </c>
      <c r="G128" s="51">
        <f t="shared" si="6"/>
        <v>242</v>
      </c>
      <c r="H128" s="51">
        <v>2.0</v>
      </c>
      <c r="I128" s="51">
        <f t="shared" si="7"/>
        <v>78</v>
      </c>
      <c r="J128" s="235"/>
      <c r="K128" s="124"/>
    </row>
    <row r="129">
      <c r="A129" s="18"/>
      <c r="B129" s="231"/>
      <c r="C129" s="232" t="str">
        <f t="array" ref="C129">XLOOKUP(B129, Chr!$B$5:$B$19, Chr!$E$5:$E$19, "")</f>
        <v/>
      </c>
      <c r="D129" s="51"/>
      <c r="E129" s="51">
        <v>32.0</v>
      </c>
      <c r="F129" s="51">
        <v>6.0</v>
      </c>
      <c r="G129" s="51">
        <f t="shared" si="6"/>
        <v>248</v>
      </c>
      <c r="H129" s="51">
        <v>2.0</v>
      </c>
      <c r="I129" s="51">
        <f t="shared" si="7"/>
        <v>80</v>
      </c>
      <c r="J129" s="230"/>
      <c r="K129" s="124"/>
    </row>
    <row r="130">
      <c r="A130" s="18"/>
      <c r="B130" s="231"/>
      <c r="C130" s="232" t="str">
        <f t="array" ref="C130">XLOOKUP(B130, Chr!$B$5:$B$19, Chr!$E$5:$E$19, "")</f>
        <v/>
      </c>
      <c r="D130" s="51"/>
      <c r="E130" s="51">
        <v>33.0</v>
      </c>
      <c r="F130" s="51">
        <v>6.0</v>
      </c>
      <c r="G130" s="51">
        <f t="shared" si="6"/>
        <v>254</v>
      </c>
      <c r="H130" s="51">
        <v>2.0</v>
      </c>
      <c r="I130" s="51">
        <f t="shared" si="7"/>
        <v>82</v>
      </c>
      <c r="J130" s="230"/>
      <c r="K130" s="124"/>
    </row>
    <row r="131">
      <c r="A131" s="18"/>
      <c r="B131" s="231"/>
      <c r="C131" s="232" t="str">
        <f t="array" ref="C131">XLOOKUP(B131, Chr!$B$5:$B$19, Chr!$E$5:$E$19, "")</f>
        <v/>
      </c>
      <c r="D131" s="51"/>
      <c r="E131" s="51">
        <v>34.0</v>
      </c>
      <c r="F131" s="51">
        <v>6.0</v>
      </c>
      <c r="G131" s="51">
        <f t="shared" si="6"/>
        <v>260</v>
      </c>
      <c r="H131" s="51">
        <v>2.0</v>
      </c>
      <c r="I131" s="51">
        <f t="shared" si="7"/>
        <v>84</v>
      </c>
      <c r="J131" s="234"/>
      <c r="K131" s="124"/>
    </row>
    <row r="132">
      <c r="A132" s="18"/>
      <c r="B132" s="231"/>
      <c r="C132" s="232" t="str">
        <f t="array" ref="C132">XLOOKUP(B132, Chr!$B$5:$B$19, Chr!$E$5:$E$19, "")</f>
        <v/>
      </c>
      <c r="D132" s="51"/>
      <c r="E132" s="51">
        <v>35.0</v>
      </c>
      <c r="F132" s="51">
        <v>6.0</v>
      </c>
      <c r="G132" s="51">
        <f t="shared" si="6"/>
        <v>266</v>
      </c>
      <c r="H132" s="51">
        <v>2.0</v>
      </c>
      <c r="I132" s="51">
        <f t="shared" si="7"/>
        <v>86</v>
      </c>
      <c r="J132" s="211" t="s">
        <v>393</v>
      </c>
      <c r="K132" s="124"/>
    </row>
    <row r="133">
      <c r="A133" s="18"/>
      <c r="B133" s="231"/>
      <c r="C133" s="232" t="str">
        <f t="array" ref="C133">XLOOKUP(B133, Chr!$B$5:$B$19, Chr!$E$5:$E$19, "")</f>
        <v/>
      </c>
      <c r="D133" s="51"/>
      <c r="E133" s="51">
        <v>36.0</v>
      </c>
      <c r="F133" s="51">
        <v>6.0</v>
      </c>
      <c r="G133" s="51">
        <f t="shared" si="6"/>
        <v>272</v>
      </c>
      <c r="H133" s="51">
        <v>2.0</v>
      </c>
      <c r="I133" s="51">
        <f t="shared" si="7"/>
        <v>88</v>
      </c>
      <c r="J133" s="235"/>
      <c r="K133" s="124"/>
    </row>
    <row r="134">
      <c r="A134" s="18"/>
      <c r="B134" s="231"/>
      <c r="C134" s="232" t="str">
        <f t="array" ref="C134">XLOOKUP(B134, Chr!$B$5:$B$19, Chr!$E$5:$E$19, "")</f>
        <v/>
      </c>
      <c r="D134" s="51"/>
      <c r="E134" s="51">
        <v>37.0</v>
      </c>
      <c r="F134" s="51">
        <v>6.0</v>
      </c>
      <c r="G134" s="51">
        <f t="shared" si="6"/>
        <v>278</v>
      </c>
      <c r="H134" s="51">
        <v>2.0</v>
      </c>
      <c r="I134" s="51">
        <f t="shared" si="7"/>
        <v>90</v>
      </c>
      <c r="J134" s="230"/>
      <c r="K134" s="124"/>
    </row>
    <row r="135">
      <c r="A135" s="18"/>
      <c r="B135" s="231"/>
      <c r="C135" s="232" t="str">
        <f t="array" ref="C135">XLOOKUP(B135, Chr!$B$5:$B$19, Chr!$E$5:$E$19, "")</f>
        <v/>
      </c>
      <c r="D135" s="51"/>
      <c r="E135" s="51">
        <v>38.0</v>
      </c>
      <c r="F135" s="51">
        <v>6.0</v>
      </c>
      <c r="G135" s="51">
        <f t="shared" si="6"/>
        <v>284</v>
      </c>
      <c r="H135" s="51">
        <v>2.0</v>
      </c>
      <c r="I135" s="51">
        <f t="shared" si="7"/>
        <v>92</v>
      </c>
      <c r="J135" s="230"/>
      <c r="K135" s="124"/>
    </row>
    <row r="136">
      <c r="A136" s="18"/>
      <c r="B136" s="231"/>
      <c r="C136" s="232" t="str">
        <f t="array" ref="C136">XLOOKUP(B136, Chr!$B$5:$B$19, Chr!$E$5:$E$19, "")</f>
        <v/>
      </c>
      <c r="D136" s="51"/>
      <c r="E136" s="51">
        <v>39.0</v>
      </c>
      <c r="F136" s="51">
        <v>6.0</v>
      </c>
      <c r="G136" s="51">
        <f t="shared" si="6"/>
        <v>290</v>
      </c>
      <c r="H136" s="51">
        <v>2.0</v>
      </c>
      <c r="I136" s="51">
        <f t="shared" si="7"/>
        <v>94</v>
      </c>
      <c r="J136" s="230"/>
      <c r="K136" s="124"/>
    </row>
    <row r="137">
      <c r="A137" s="18"/>
      <c r="B137" s="231"/>
      <c r="C137" s="232" t="str">
        <f t="array" ref="C137">XLOOKUP(B137, Chr!$B$5:$B$19, Chr!$E$5:$E$19, "")</f>
        <v/>
      </c>
      <c r="D137" s="51"/>
      <c r="E137" s="51">
        <v>40.0</v>
      </c>
      <c r="F137" s="51">
        <v>6.0</v>
      </c>
      <c r="G137" s="51">
        <f t="shared" si="6"/>
        <v>296</v>
      </c>
      <c r="H137" s="51">
        <v>2.0</v>
      </c>
      <c r="I137" s="51">
        <f t="shared" si="7"/>
        <v>96</v>
      </c>
      <c r="J137" s="230"/>
      <c r="K137" s="124"/>
    </row>
    <row r="138">
      <c r="A138" s="18"/>
      <c r="B138" s="231"/>
      <c r="C138" s="232" t="str">
        <f t="array" ref="C138">XLOOKUP(B138, Chr!$B$5:$B$19, Chr!$E$5:$E$19, "")</f>
        <v/>
      </c>
      <c r="D138" s="51">
        <v>4.0</v>
      </c>
      <c r="E138" s="51" t="s">
        <v>349</v>
      </c>
      <c r="F138" s="51">
        <v>6.0</v>
      </c>
      <c r="G138" s="51">
        <f t="shared" si="6"/>
        <v>302</v>
      </c>
      <c r="H138" s="51">
        <v>2.0</v>
      </c>
      <c r="I138" s="51">
        <f t="shared" si="7"/>
        <v>98</v>
      </c>
      <c r="J138" s="234"/>
      <c r="K138" s="124"/>
    </row>
    <row r="139">
      <c r="A139" s="18"/>
      <c r="B139" s="239"/>
      <c r="C139" s="240" t="str">
        <f t="array" ref="C139">XLOOKUP(B139, Chr!$B$5:$B$19, Chr!$E$5:$E$19, "")</f>
        <v/>
      </c>
      <c r="D139" s="214"/>
      <c r="E139" s="214"/>
      <c r="F139" s="248"/>
      <c r="G139" s="248"/>
      <c r="H139" s="248"/>
      <c r="I139" s="248"/>
      <c r="J139" s="215" t="s">
        <v>378</v>
      </c>
      <c r="K139" s="124"/>
    </row>
    <row r="140">
      <c r="A140" s="41"/>
      <c r="B140" s="242"/>
      <c r="C140" s="131"/>
      <c r="D140" s="131"/>
      <c r="E140" s="131"/>
      <c r="F140" s="131"/>
      <c r="G140" s="131"/>
      <c r="H140" s="131"/>
      <c r="I140" s="131"/>
      <c r="J140" s="131"/>
      <c r="K140" s="41"/>
    </row>
    <row r="141">
      <c r="A141" s="18"/>
      <c r="B141" s="224">
        <v>1004.0</v>
      </c>
      <c r="C141" s="225" t="str">
        <f t="array" ref="C141">XLOOKUP(B141, Chr!$B$5:$B$19, Chr!$E$5:$E$19, "")</f>
        <v>창병</v>
      </c>
      <c r="D141" s="226">
        <v>0.0</v>
      </c>
      <c r="E141" s="226">
        <v>1.0</v>
      </c>
      <c r="F141" s="249">
        <v>15.0</v>
      </c>
      <c r="G141" s="226">
        <v>150.0</v>
      </c>
      <c r="H141" s="226">
        <v>3.0</v>
      </c>
      <c r="I141" s="226">
        <v>33.0</v>
      </c>
      <c r="J141" s="227"/>
      <c r="K141" s="124"/>
    </row>
    <row r="142">
      <c r="A142" s="18"/>
      <c r="B142" s="228"/>
      <c r="C142" s="229" t="str">
        <f t="array" ref="C142">XLOOKUP(B142, Chr!$B$5:$B$19, Chr!$E$5:$E$19, "")</f>
        <v/>
      </c>
      <c r="D142" s="51"/>
      <c r="E142" s="51">
        <v>2.0</v>
      </c>
      <c r="F142" s="250">
        <v>15.0</v>
      </c>
      <c r="G142" s="51">
        <f t="shared" ref="G142:G184" si="8">G141+F142</f>
        <v>165</v>
      </c>
      <c r="H142" s="51">
        <v>3.0</v>
      </c>
      <c r="I142" s="51">
        <f t="shared" ref="I142:I184" si="9">I141+H142</f>
        <v>36</v>
      </c>
      <c r="J142" s="230"/>
      <c r="K142" s="124"/>
    </row>
    <row r="143">
      <c r="A143" s="18"/>
      <c r="B143" s="231"/>
      <c r="C143" s="232" t="str">
        <f t="array" ref="C143">XLOOKUP(B143, Chr!$B$5:$B$19, Chr!$E$5:$E$19, "")</f>
        <v/>
      </c>
      <c r="D143" s="51"/>
      <c r="E143" s="51">
        <v>3.0</v>
      </c>
      <c r="F143" s="250">
        <v>15.0</v>
      </c>
      <c r="G143" s="51">
        <f t="shared" si="8"/>
        <v>180</v>
      </c>
      <c r="H143" s="51">
        <v>3.0</v>
      </c>
      <c r="I143" s="51">
        <f t="shared" si="9"/>
        <v>39</v>
      </c>
      <c r="J143" s="230"/>
      <c r="K143" s="124"/>
    </row>
    <row r="144">
      <c r="A144" s="18"/>
      <c r="B144" s="231"/>
      <c r="C144" s="232" t="str">
        <f t="array" ref="C144">XLOOKUP(B144, Chr!$B$5:$B$19, Chr!$E$5:$E$19, "")</f>
        <v/>
      </c>
      <c r="D144" s="51"/>
      <c r="E144" s="51">
        <v>4.0</v>
      </c>
      <c r="F144" s="250">
        <v>15.0</v>
      </c>
      <c r="G144" s="51">
        <f t="shared" si="8"/>
        <v>195</v>
      </c>
      <c r="H144" s="51">
        <v>3.0</v>
      </c>
      <c r="I144" s="51">
        <f t="shared" si="9"/>
        <v>42</v>
      </c>
      <c r="J144" s="234"/>
      <c r="K144" s="124"/>
    </row>
    <row r="145">
      <c r="A145" s="18"/>
      <c r="B145" s="231"/>
      <c r="C145" s="232" t="str">
        <f t="array" ref="C145">XLOOKUP(B145, Chr!$B$5:$B$19, Chr!$E$5:$E$19, "")</f>
        <v/>
      </c>
      <c r="D145" s="51"/>
      <c r="E145" s="51">
        <v>5.0</v>
      </c>
      <c r="F145" s="250">
        <v>15.0</v>
      </c>
      <c r="G145" s="51">
        <f t="shared" si="8"/>
        <v>210</v>
      </c>
      <c r="H145" s="51">
        <v>3.0</v>
      </c>
      <c r="I145" s="51">
        <f t="shared" si="9"/>
        <v>45</v>
      </c>
      <c r="J145" s="211" t="s">
        <v>394</v>
      </c>
      <c r="K145" s="124"/>
    </row>
    <row r="146">
      <c r="A146" s="18"/>
      <c r="B146" s="231"/>
      <c r="C146" s="232" t="str">
        <f t="array" ref="C146">XLOOKUP(B146, Chr!$B$5:$B$19, Chr!$E$5:$E$19, "")</f>
        <v/>
      </c>
      <c r="D146" s="51"/>
      <c r="E146" s="51">
        <v>6.0</v>
      </c>
      <c r="F146" s="250">
        <v>15.0</v>
      </c>
      <c r="G146" s="51">
        <f t="shared" si="8"/>
        <v>225</v>
      </c>
      <c r="H146" s="51">
        <v>3.0</v>
      </c>
      <c r="I146" s="51">
        <f t="shared" si="9"/>
        <v>48</v>
      </c>
      <c r="J146" s="235"/>
      <c r="K146" s="124"/>
    </row>
    <row r="147">
      <c r="A147" s="18"/>
      <c r="B147" s="231"/>
      <c r="C147" s="232" t="str">
        <f t="array" ref="C147">XLOOKUP(B147, Chr!$B$5:$B$19, Chr!$E$5:$E$19, "")</f>
        <v/>
      </c>
      <c r="D147" s="51"/>
      <c r="E147" s="51">
        <v>7.0</v>
      </c>
      <c r="F147" s="250">
        <v>15.0</v>
      </c>
      <c r="G147" s="51">
        <f t="shared" si="8"/>
        <v>240</v>
      </c>
      <c r="H147" s="51">
        <v>3.0</v>
      </c>
      <c r="I147" s="51">
        <f t="shared" si="9"/>
        <v>51</v>
      </c>
      <c r="J147" s="230"/>
      <c r="K147" s="124"/>
    </row>
    <row r="148">
      <c r="A148" s="18"/>
      <c r="B148" s="231"/>
      <c r="C148" s="232" t="str">
        <f t="array" ref="C148">XLOOKUP(B148, Chr!$B$5:$B$19, Chr!$E$5:$E$19, "")</f>
        <v/>
      </c>
      <c r="D148" s="51"/>
      <c r="E148" s="51">
        <v>8.0</v>
      </c>
      <c r="F148" s="250">
        <v>15.0</v>
      </c>
      <c r="G148" s="51">
        <f t="shared" si="8"/>
        <v>255</v>
      </c>
      <c r="H148" s="51">
        <v>3.0</v>
      </c>
      <c r="I148" s="51">
        <f t="shared" si="9"/>
        <v>54</v>
      </c>
      <c r="J148" s="230"/>
      <c r="K148" s="124"/>
    </row>
    <row r="149">
      <c r="A149" s="18"/>
      <c r="B149" s="231"/>
      <c r="C149" s="232" t="str">
        <f t="array" ref="C149">XLOOKUP(B149, Chr!$B$5:$B$19, Chr!$E$5:$E$19, "")</f>
        <v/>
      </c>
      <c r="D149" s="51"/>
      <c r="E149" s="51">
        <v>9.0</v>
      </c>
      <c r="F149" s="250">
        <v>15.0</v>
      </c>
      <c r="G149" s="51">
        <f t="shared" si="8"/>
        <v>270</v>
      </c>
      <c r="H149" s="51">
        <v>3.0</v>
      </c>
      <c r="I149" s="51">
        <f t="shared" si="9"/>
        <v>57</v>
      </c>
      <c r="J149" s="230"/>
      <c r="K149" s="124"/>
    </row>
    <row r="150">
      <c r="A150" s="18"/>
      <c r="B150" s="231"/>
      <c r="C150" s="232" t="str">
        <f t="array" ref="C150">XLOOKUP(B150, Chr!$B$5:$B$19, Chr!$E$5:$E$19, "")</f>
        <v/>
      </c>
      <c r="D150" s="51"/>
      <c r="E150" s="51">
        <v>10.0</v>
      </c>
      <c r="F150" s="250">
        <v>15.0</v>
      </c>
      <c r="G150" s="51">
        <f t="shared" si="8"/>
        <v>285</v>
      </c>
      <c r="H150" s="51">
        <v>3.0</v>
      </c>
      <c r="I150" s="51">
        <f t="shared" si="9"/>
        <v>60</v>
      </c>
      <c r="J150" s="234"/>
      <c r="K150" s="124"/>
    </row>
    <row r="151">
      <c r="A151" s="18"/>
      <c r="B151" s="231"/>
      <c r="C151" s="232" t="str">
        <f t="array" ref="C151">XLOOKUP(B151, Chr!$B$5:$B$19, Chr!$E$5:$E$19, "")</f>
        <v/>
      </c>
      <c r="D151" s="51">
        <v>1.0</v>
      </c>
      <c r="E151" s="51" t="s">
        <v>349</v>
      </c>
      <c r="F151" s="250">
        <v>57.0</v>
      </c>
      <c r="G151" s="51">
        <f t="shared" si="8"/>
        <v>342</v>
      </c>
      <c r="H151" s="51">
        <v>12.0</v>
      </c>
      <c r="I151" s="51">
        <f t="shared" si="9"/>
        <v>72</v>
      </c>
      <c r="J151" s="211" t="s">
        <v>395</v>
      </c>
      <c r="K151" s="124"/>
    </row>
    <row r="152">
      <c r="A152" s="18"/>
      <c r="B152" s="231"/>
      <c r="C152" s="232" t="str">
        <f t="array" ref="C152">XLOOKUP(B152, Chr!$B$5:$B$19, Chr!$E$5:$E$19, "")</f>
        <v/>
      </c>
      <c r="D152" s="51"/>
      <c r="E152" s="51">
        <v>11.0</v>
      </c>
      <c r="F152" s="250">
        <v>15.0</v>
      </c>
      <c r="G152" s="51">
        <f t="shared" si="8"/>
        <v>357</v>
      </c>
      <c r="H152" s="51">
        <v>3.0</v>
      </c>
      <c r="I152" s="51">
        <f t="shared" si="9"/>
        <v>75</v>
      </c>
      <c r="J152" s="235"/>
      <c r="K152" s="124"/>
    </row>
    <row r="153">
      <c r="A153" s="18"/>
      <c r="B153" s="231"/>
      <c r="C153" s="232" t="str">
        <f t="array" ref="C153">XLOOKUP(B153, Chr!$B$5:$B$19, Chr!$E$5:$E$19, "")</f>
        <v/>
      </c>
      <c r="D153" s="51"/>
      <c r="E153" s="51">
        <v>12.0</v>
      </c>
      <c r="F153" s="250">
        <v>15.0</v>
      </c>
      <c r="G153" s="51">
        <f t="shared" si="8"/>
        <v>372</v>
      </c>
      <c r="H153" s="51">
        <v>3.0</v>
      </c>
      <c r="I153" s="51">
        <f t="shared" si="9"/>
        <v>78</v>
      </c>
      <c r="J153" s="230"/>
      <c r="K153" s="124"/>
    </row>
    <row r="154">
      <c r="A154" s="18"/>
      <c r="B154" s="231"/>
      <c r="C154" s="232" t="str">
        <f t="array" ref="C154">XLOOKUP(B154, Chr!$B$5:$B$19, Chr!$E$5:$E$19, "")</f>
        <v/>
      </c>
      <c r="D154" s="51"/>
      <c r="E154" s="51">
        <v>13.0</v>
      </c>
      <c r="F154" s="250">
        <v>15.0</v>
      </c>
      <c r="G154" s="51">
        <f t="shared" si="8"/>
        <v>387</v>
      </c>
      <c r="H154" s="51">
        <v>3.0</v>
      </c>
      <c r="I154" s="51">
        <f t="shared" si="9"/>
        <v>81</v>
      </c>
      <c r="J154" s="230"/>
      <c r="K154" s="124"/>
    </row>
    <row r="155">
      <c r="A155" s="18"/>
      <c r="B155" s="231"/>
      <c r="C155" s="232" t="str">
        <f t="array" ref="C155">XLOOKUP(B155, Chr!$B$5:$B$19, Chr!$E$5:$E$19, "")</f>
        <v/>
      </c>
      <c r="D155" s="51"/>
      <c r="E155" s="51">
        <v>14.0</v>
      </c>
      <c r="F155" s="250">
        <v>15.0</v>
      </c>
      <c r="G155" s="51">
        <f t="shared" si="8"/>
        <v>402</v>
      </c>
      <c r="H155" s="51">
        <v>3.0</v>
      </c>
      <c r="I155" s="51">
        <f t="shared" si="9"/>
        <v>84</v>
      </c>
      <c r="J155" s="238"/>
      <c r="K155" s="124"/>
    </row>
    <row r="156">
      <c r="A156" s="18"/>
      <c r="B156" s="231"/>
      <c r="C156" s="232" t="str">
        <f t="array" ref="C156">XLOOKUP(B156, Chr!$B$5:$B$19, Chr!$E$5:$E$19, "")</f>
        <v/>
      </c>
      <c r="D156" s="51"/>
      <c r="E156" s="51">
        <v>15.0</v>
      </c>
      <c r="F156" s="250">
        <v>15.0</v>
      </c>
      <c r="G156" s="51">
        <f t="shared" si="8"/>
        <v>417</v>
      </c>
      <c r="H156" s="51">
        <v>3.0</v>
      </c>
      <c r="I156" s="51">
        <f t="shared" si="9"/>
        <v>87</v>
      </c>
      <c r="J156" s="247" t="s">
        <v>396</v>
      </c>
      <c r="K156" s="124"/>
    </row>
    <row r="157">
      <c r="A157" s="18"/>
      <c r="B157" s="231"/>
      <c r="C157" s="232" t="str">
        <f t="array" ref="C157">XLOOKUP(B157, Chr!$B$5:$B$19, Chr!$E$5:$E$19, "")</f>
        <v/>
      </c>
      <c r="D157" s="51"/>
      <c r="E157" s="51">
        <v>16.0</v>
      </c>
      <c r="F157" s="250">
        <v>15.0</v>
      </c>
      <c r="G157" s="51">
        <f t="shared" si="8"/>
        <v>432</v>
      </c>
      <c r="H157" s="51">
        <v>3.0</v>
      </c>
      <c r="I157" s="51">
        <f t="shared" si="9"/>
        <v>90</v>
      </c>
      <c r="J157" s="235"/>
      <c r="K157" s="124"/>
    </row>
    <row r="158">
      <c r="A158" s="18"/>
      <c r="B158" s="231"/>
      <c r="C158" s="232" t="str">
        <f t="array" ref="C158">XLOOKUP(B158, Chr!$B$5:$B$19, Chr!$E$5:$E$19, "")</f>
        <v/>
      </c>
      <c r="D158" s="51"/>
      <c r="E158" s="51">
        <v>17.0</v>
      </c>
      <c r="F158" s="250">
        <v>15.0</v>
      </c>
      <c r="G158" s="51">
        <f t="shared" si="8"/>
        <v>447</v>
      </c>
      <c r="H158" s="51">
        <v>3.0</v>
      </c>
      <c r="I158" s="51">
        <f t="shared" si="9"/>
        <v>93</v>
      </c>
      <c r="J158" s="230"/>
      <c r="K158" s="124"/>
    </row>
    <row r="159">
      <c r="A159" s="18"/>
      <c r="B159" s="231"/>
      <c r="C159" s="232" t="str">
        <f t="array" ref="C159">XLOOKUP(B159, Chr!$B$5:$B$19, Chr!$E$5:$E$19, "")</f>
        <v/>
      </c>
      <c r="D159" s="51"/>
      <c r="E159" s="51">
        <v>18.0</v>
      </c>
      <c r="F159" s="250">
        <v>15.0</v>
      </c>
      <c r="G159" s="51">
        <f t="shared" si="8"/>
        <v>462</v>
      </c>
      <c r="H159" s="51">
        <v>3.0</v>
      </c>
      <c r="I159" s="51">
        <f t="shared" si="9"/>
        <v>96</v>
      </c>
      <c r="J159" s="230"/>
      <c r="K159" s="124"/>
    </row>
    <row r="160">
      <c r="A160" s="18"/>
      <c r="B160" s="231"/>
      <c r="C160" s="232" t="str">
        <f t="array" ref="C160">XLOOKUP(B160, Chr!$B$5:$B$19, Chr!$E$5:$E$19, "")</f>
        <v/>
      </c>
      <c r="D160" s="51"/>
      <c r="E160" s="51">
        <v>19.0</v>
      </c>
      <c r="F160" s="250">
        <v>15.0</v>
      </c>
      <c r="G160" s="51">
        <f t="shared" si="8"/>
        <v>477</v>
      </c>
      <c r="H160" s="51">
        <v>3.0</v>
      </c>
      <c r="I160" s="51">
        <f t="shared" si="9"/>
        <v>99</v>
      </c>
      <c r="J160" s="230"/>
      <c r="K160" s="124"/>
    </row>
    <row r="161">
      <c r="A161" s="18"/>
      <c r="B161" s="231"/>
      <c r="C161" s="232" t="str">
        <f t="array" ref="C161">XLOOKUP(B161, Chr!$B$5:$B$19, Chr!$E$5:$E$19, "")</f>
        <v/>
      </c>
      <c r="D161" s="51"/>
      <c r="E161" s="51">
        <v>20.0</v>
      </c>
      <c r="F161" s="250">
        <v>15.0</v>
      </c>
      <c r="G161" s="51">
        <f t="shared" si="8"/>
        <v>492</v>
      </c>
      <c r="H161" s="51">
        <v>3.0</v>
      </c>
      <c r="I161" s="51">
        <f t="shared" si="9"/>
        <v>102</v>
      </c>
      <c r="J161" s="234"/>
      <c r="K161" s="124"/>
    </row>
    <row r="162">
      <c r="A162" s="18"/>
      <c r="B162" s="231"/>
      <c r="C162" s="232" t="str">
        <f t="array" ref="C162">XLOOKUP(B162, Chr!$B$5:$B$19, Chr!$E$5:$E$19, "")</f>
        <v/>
      </c>
      <c r="D162" s="51">
        <v>2.0</v>
      </c>
      <c r="E162" s="51" t="s">
        <v>349</v>
      </c>
      <c r="F162" s="250">
        <v>57.0</v>
      </c>
      <c r="G162" s="51">
        <f t="shared" si="8"/>
        <v>549</v>
      </c>
      <c r="H162" s="51">
        <v>12.0</v>
      </c>
      <c r="I162" s="51">
        <f t="shared" si="9"/>
        <v>114</v>
      </c>
      <c r="J162" s="211" t="s">
        <v>397</v>
      </c>
      <c r="K162" s="124"/>
    </row>
    <row r="163">
      <c r="A163" s="18"/>
      <c r="B163" s="231"/>
      <c r="C163" s="232" t="str">
        <f t="array" ref="C163">XLOOKUP(B163, Chr!$B$5:$B$19, Chr!$E$5:$E$19, "")</f>
        <v/>
      </c>
      <c r="D163" s="51"/>
      <c r="E163" s="51">
        <v>21.0</v>
      </c>
      <c r="F163" s="250">
        <v>15.0</v>
      </c>
      <c r="G163" s="51">
        <f t="shared" si="8"/>
        <v>564</v>
      </c>
      <c r="H163" s="51">
        <v>3.0</v>
      </c>
      <c r="I163" s="51">
        <f t="shared" si="9"/>
        <v>117</v>
      </c>
      <c r="J163" s="235"/>
      <c r="K163" s="124"/>
    </row>
    <row r="164">
      <c r="A164" s="18"/>
      <c r="B164" s="231"/>
      <c r="C164" s="232" t="str">
        <f t="array" ref="C164">XLOOKUP(B164, Chr!$B$5:$B$19, Chr!$E$5:$E$19, "")</f>
        <v/>
      </c>
      <c r="D164" s="51"/>
      <c r="E164" s="51">
        <v>22.0</v>
      </c>
      <c r="F164" s="250">
        <v>15.0</v>
      </c>
      <c r="G164" s="51">
        <f t="shared" si="8"/>
        <v>579</v>
      </c>
      <c r="H164" s="51">
        <v>3.0</v>
      </c>
      <c r="I164" s="51">
        <f t="shared" si="9"/>
        <v>120</v>
      </c>
      <c r="J164" s="230"/>
      <c r="K164" s="124"/>
    </row>
    <row r="165">
      <c r="A165" s="18"/>
      <c r="B165" s="231"/>
      <c r="C165" s="232" t="str">
        <f t="array" ref="C165">XLOOKUP(B165, Chr!$B$5:$B$19, Chr!$E$5:$E$19, "")</f>
        <v/>
      </c>
      <c r="D165" s="51"/>
      <c r="E165" s="51">
        <v>23.0</v>
      </c>
      <c r="F165" s="250">
        <v>15.0</v>
      </c>
      <c r="G165" s="51">
        <f t="shared" si="8"/>
        <v>594</v>
      </c>
      <c r="H165" s="51">
        <v>3.0</v>
      </c>
      <c r="I165" s="51">
        <f t="shared" si="9"/>
        <v>123</v>
      </c>
      <c r="J165" s="237"/>
      <c r="K165" s="124"/>
    </row>
    <row r="166">
      <c r="A166" s="18"/>
      <c r="B166" s="231"/>
      <c r="C166" s="232" t="str">
        <f t="array" ref="C166">XLOOKUP(B166, Chr!$B$5:$B$19, Chr!$E$5:$E$19, "")</f>
        <v/>
      </c>
      <c r="D166" s="51"/>
      <c r="E166" s="51">
        <v>24.0</v>
      </c>
      <c r="F166" s="250">
        <v>15.0</v>
      </c>
      <c r="G166" s="51">
        <f t="shared" si="8"/>
        <v>609</v>
      </c>
      <c r="H166" s="51">
        <v>3.0</v>
      </c>
      <c r="I166" s="51">
        <f t="shared" si="9"/>
        <v>126</v>
      </c>
      <c r="J166" s="234"/>
      <c r="K166" s="124"/>
    </row>
    <row r="167">
      <c r="A167" s="18"/>
      <c r="B167" s="231"/>
      <c r="C167" s="232" t="str">
        <f t="array" ref="C167">XLOOKUP(B167, Chr!$B$5:$B$19, Chr!$E$5:$E$19, "")</f>
        <v/>
      </c>
      <c r="D167" s="51"/>
      <c r="E167" s="51">
        <v>25.0</v>
      </c>
      <c r="F167" s="250">
        <v>15.0</v>
      </c>
      <c r="G167" s="51">
        <f t="shared" si="8"/>
        <v>624</v>
      </c>
      <c r="H167" s="51">
        <v>3.0</v>
      </c>
      <c r="I167" s="51">
        <f t="shared" si="9"/>
        <v>129</v>
      </c>
      <c r="J167" s="247" t="s">
        <v>398</v>
      </c>
      <c r="K167" s="124"/>
    </row>
    <row r="168">
      <c r="A168" s="18"/>
      <c r="B168" s="231"/>
      <c r="C168" s="232" t="str">
        <f t="array" ref="C168">XLOOKUP(B168, Chr!$B$5:$B$19, Chr!$E$5:$E$19, "")</f>
        <v/>
      </c>
      <c r="D168" s="51"/>
      <c r="E168" s="51">
        <v>26.0</v>
      </c>
      <c r="F168" s="250">
        <v>15.0</v>
      </c>
      <c r="G168" s="51">
        <f t="shared" si="8"/>
        <v>639</v>
      </c>
      <c r="H168" s="51">
        <v>3.0</v>
      </c>
      <c r="I168" s="51">
        <f t="shared" si="9"/>
        <v>132</v>
      </c>
      <c r="J168" s="235"/>
      <c r="K168" s="124"/>
    </row>
    <row r="169">
      <c r="A169" s="18"/>
      <c r="B169" s="231"/>
      <c r="C169" s="232" t="str">
        <f t="array" ref="C169">XLOOKUP(B169, Chr!$B$5:$B$19, Chr!$E$5:$E$19, "")</f>
        <v/>
      </c>
      <c r="D169" s="51"/>
      <c r="E169" s="51">
        <v>27.0</v>
      </c>
      <c r="F169" s="250">
        <v>15.0</v>
      </c>
      <c r="G169" s="51">
        <f t="shared" si="8"/>
        <v>654</v>
      </c>
      <c r="H169" s="51">
        <v>3.0</v>
      </c>
      <c r="I169" s="51">
        <f t="shared" si="9"/>
        <v>135</v>
      </c>
      <c r="J169" s="230"/>
      <c r="K169" s="124"/>
    </row>
    <row r="170">
      <c r="A170" s="18"/>
      <c r="B170" s="231"/>
      <c r="C170" s="232" t="str">
        <f t="array" ref="C170">XLOOKUP(B170, Chr!$B$5:$B$19, Chr!$E$5:$E$19, "")</f>
        <v/>
      </c>
      <c r="D170" s="51"/>
      <c r="E170" s="51">
        <v>28.0</v>
      </c>
      <c r="F170" s="250">
        <v>15.0</v>
      </c>
      <c r="G170" s="51">
        <f t="shared" si="8"/>
        <v>669</v>
      </c>
      <c r="H170" s="51">
        <v>3.0</v>
      </c>
      <c r="I170" s="51">
        <f t="shared" si="9"/>
        <v>138</v>
      </c>
      <c r="J170" s="230"/>
      <c r="K170" s="124"/>
    </row>
    <row r="171">
      <c r="A171" s="18"/>
      <c r="B171" s="231"/>
      <c r="C171" s="232" t="str">
        <f t="array" ref="C171">XLOOKUP(B171, Chr!$B$5:$B$19, Chr!$E$5:$E$19, "")</f>
        <v/>
      </c>
      <c r="D171" s="51"/>
      <c r="E171" s="51">
        <v>29.0</v>
      </c>
      <c r="F171" s="250">
        <v>15.0</v>
      </c>
      <c r="G171" s="51">
        <f t="shared" si="8"/>
        <v>684</v>
      </c>
      <c r="H171" s="51">
        <v>3.0</v>
      </c>
      <c r="I171" s="51">
        <f t="shared" si="9"/>
        <v>141</v>
      </c>
      <c r="J171" s="230"/>
      <c r="K171" s="124"/>
    </row>
    <row r="172">
      <c r="A172" s="18"/>
      <c r="B172" s="231"/>
      <c r="C172" s="232" t="str">
        <f t="array" ref="C172">XLOOKUP(B172, Chr!$B$5:$B$19, Chr!$E$5:$E$19, "")</f>
        <v/>
      </c>
      <c r="D172" s="51"/>
      <c r="E172" s="51">
        <v>30.0</v>
      </c>
      <c r="F172" s="250">
        <v>15.0</v>
      </c>
      <c r="G172" s="51">
        <f t="shared" si="8"/>
        <v>699</v>
      </c>
      <c r="H172" s="51">
        <v>3.0</v>
      </c>
      <c r="I172" s="51">
        <f t="shared" si="9"/>
        <v>144</v>
      </c>
      <c r="J172" s="234"/>
      <c r="K172" s="124"/>
    </row>
    <row r="173">
      <c r="A173" s="18"/>
      <c r="B173" s="231"/>
      <c r="C173" s="232" t="str">
        <f t="array" ref="C173">XLOOKUP(B173, Chr!$B$5:$B$19, Chr!$E$5:$E$19, "")</f>
        <v/>
      </c>
      <c r="D173" s="51">
        <v>3.0</v>
      </c>
      <c r="E173" s="51" t="s">
        <v>349</v>
      </c>
      <c r="F173" s="250">
        <v>57.0</v>
      </c>
      <c r="G173" s="51">
        <f t="shared" si="8"/>
        <v>756</v>
      </c>
      <c r="H173" s="51">
        <v>12.0</v>
      </c>
      <c r="I173" s="51">
        <f t="shared" si="9"/>
        <v>156</v>
      </c>
      <c r="J173" s="211" t="s">
        <v>399</v>
      </c>
      <c r="K173" s="124"/>
    </row>
    <row r="174">
      <c r="A174" s="18"/>
      <c r="B174" s="231"/>
      <c r="C174" s="232" t="str">
        <f t="array" ref="C174">XLOOKUP(B174, Chr!$B$5:$B$19, Chr!$E$5:$E$19, "")</f>
        <v/>
      </c>
      <c r="D174" s="51"/>
      <c r="E174" s="51">
        <v>31.0</v>
      </c>
      <c r="F174" s="250">
        <v>15.0</v>
      </c>
      <c r="G174" s="51">
        <f t="shared" si="8"/>
        <v>771</v>
      </c>
      <c r="H174" s="51">
        <v>3.0</v>
      </c>
      <c r="I174" s="51">
        <f t="shared" si="9"/>
        <v>159</v>
      </c>
      <c r="J174" s="235"/>
      <c r="K174" s="124"/>
    </row>
    <row r="175">
      <c r="A175" s="18"/>
      <c r="B175" s="231"/>
      <c r="C175" s="232" t="str">
        <f t="array" ref="C175">XLOOKUP(B175, Chr!$B$5:$B$19, Chr!$E$5:$E$19, "")</f>
        <v/>
      </c>
      <c r="D175" s="51"/>
      <c r="E175" s="51">
        <v>32.0</v>
      </c>
      <c r="F175" s="250">
        <v>15.0</v>
      </c>
      <c r="G175" s="51">
        <f t="shared" si="8"/>
        <v>786</v>
      </c>
      <c r="H175" s="51">
        <v>3.0</v>
      </c>
      <c r="I175" s="51">
        <f t="shared" si="9"/>
        <v>162</v>
      </c>
      <c r="J175" s="230"/>
      <c r="K175" s="124"/>
    </row>
    <row r="176">
      <c r="A176" s="18"/>
      <c r="B176" s="231"/>
      <c r="C176" s="232" t="str">
        <f t="array" ref="C176">XLOOKUP(B176, Chr!$B$5:$B$19, Chr!$E$5:$E$19, "")</f>
        <v/>
      </c>
      <c r="D176" s="51"/>
      <c r="E176" s="51">
        <v>33.0</v>
      </c>
      <c r="F176" s="250">
        <v>15.0</v>
      </c>
      <c r="G176" s="51">
        <f t="shared" si="8"/>
        <v>801</v>
      </c>
      <c r="H176" s="51">
        <v>3.0</v>
      </c>
      <c r="I176" s="51">
        <f t="shared" si="9"/>
        <v>165</v>
      </c>
      <c r="J176" s="230"/>
      <c r="K176" s="124"/>
    </row>
    <row r="177">
      <c r="A177" s="18"/>
      <c r="B177" s="231"/>
      <c r="C177" s="232" t="str">
        <f t="array" ref="C177">XLOOKUP(B177, Chr!$B$5:$B$19, Chr!$E$5:$E$19, "")</f>
        <v/>
      </c>
      <c r="D177" s="51"/>
      <c r="E177" s="51">
        <v>34.0</v>
      </c>
      <c r="F177" s="250">
        <v>15.0</v>
      </c>
      <c r="G177" s="51">
        <f t="shared" si="8"/>
        <v>816</v>
      </c>
      <c r="H177" s="51">
        <v>3.0</v>
      </c>
      <c r="I177" s="51">
        <f t="shared" si="9"/>
        <v>168</v>
      </c>
      <c r="J177" s="234"/>
      <c r="K177" s="124"/>
    </row>
    <row r="178">
      <c r="A178" s="18"/>
      <c r="B178" s="231"/>
      <c r="C178" s="232" t="str">
        <f t="array" ref="C178">XLOOKUP(B178, Chr!$B$5:$B$19, Chr!$E$5:$E$19, "")</f>
        <v/>
      </c>
      <c r="D178" s="51"/>
      <c r="E178" s="51">
        <v>35.0</v>
      </c>
      <c r="F178" s="250">
        <v>15.0</v>
      </c>
      <c r="G178" s="51">
        <f t="shared" si="8"/>
        <v>831</v>
      </c>
      <c r="H178" s="51">
        <v>3.0</v>
      </c>
      <c r="I178" s="51">
        <f t="shared" si="9"/>
        <v>171</v>
      </c>
      <c r="J178" s="211" t="s">
        <v>400</v>
      </c>
      <c r="K178" s="124"/>
    </row>
    <row r="179">
      <c r="A179" s="18"/>
      <c r="B179" s="231"/>
      <c r="C179" s="232" t="str">
        <f t="array" ref="C179">XLOOKUP(B179, Chr!$B$5:$B$19, Chr!$E$5:$E$19, "")</f>
        <v/>
      </c>
      <c r="D179" s="51"/>
      <c r="E179" s="51">
        <v>36.0</v>
      </c>
      <c r="F179" s="250">
        <v>15.0</v>
      </c>
      <c r="G179" s="51">
        <f t="shared" si="8"/>
        <v>846</v>
      </c>
      <c r="H179" s="51">
        <v>3.0</v>
      </c>
      <c r="I179" s="51">
        <f t="shared" si="9"/>
        <v>174</v>
      </c>
      <c r="J179" s="235"/>
      <c r="K179" s="124"/>
    </row>
    <row r="180">
      <c r="A180" s="18"/>
      <c r="B180" s="231"/>
      <c r="C180" s="232" t="str">
        <f t="array" ref="C180">XLOOKUP(B180, Chr!$B$5:$B$19, Chr!$E$5:$E$19, "")</f>
        <v/>
      </c>
      <c r="D180" s="51"/>
      <c r="E180" s="51">
        <v>37.0</v>
      </c>
      <c r="F180" s="250">
        <v>15.0</v>
      </c>
      <c r="G180" s="51">
        <f t="shared" si="8"/>
        <v>861</v>
      </c>
      <c r="H180" s="51">
        <v>3.0</v>
      </c>
      <c r="I180" s="51">
        <f t="shared" si="9"/>
        <v>177</v>
      </c>
      <c r="J180" s="230"/>
      <c r="K180" s="124"/>
    </row>
    <row r="181">
      <c r="A181" s="18"/>
      <c r="B181" s="231"/>
      <c r="C181" s="232" t="str">
        <f t="array" ref="C181">XLOOKUP(B181, Chr!$B$5:$B$19, Chr!$E$5:$E$19, "")</f>
        <v/>
      </c>
      <c r="D181" s="51"/>
      <c r="E181" s="51">
        <v>38.0</v>
      </c>
      <c r="F181" s="250">
        <v>15.0</v>
      </c>
      <c r="G181" s="51">
        <f t="shared" si="8"/>
        <v>876</v>
      </c>
      <c r="H181" s="51">
        <v>3.0</v>
      </c>
      <c r="I181" s="51">
        <f t="shared" si="9"/>
        <v>180</v>
      </c>
      <c r="J181" s="230"/>
      <c r="K181" s="124"/>
    </row>
    <row r="182">
      <c r="A182" s="18"/>
      <c r="B182" s="231"/>
      <c r="C182" s="232" t="str">
        <f t="array" ref="C182">XLOOKUP(B182, Chr!$B$5:$B$19, Chr!$E$5:$E$19, "")</f>
        <v/>
      </c>
      <c r="D182" s="51"/>
      <c r="E182" s="51">
        <v>39.0</v>
      </c>
      <c r="F182" s="250">
        <v>15.0</v>
      </c>
      <c r="G182" s="51">
        <f t="shared" si="8"/>
        <v>891</v>
      </c>
      <c r="H182" s="51">
        <v>3.0</v>
      </c>
      <c r="I182" s="51">
        <f t="shared" si="9"/>
        <v>183</v>
      </c>
      <c r="J182" s="230"/>
      <c r="K182" s="124"/>
    </row>
    <row r="183">
      <c r="A183" s="18"/>
      <c r="B183" s="231"/>
      <c r="C183" s="232" t="str">
        <f t="array" ref="C183">XLOOKUP(B183, Chr!$B$5:$B$19, Chr!$E$5:$E$19, "")</f>
        <v/>
      </c>
      <c r="D183" s="51"/>
      <c r="E183" s="51">
        <v>40.0</v>
      </c>
      <c r="F183" s="250">
        <v>15.0</v>
      </c>
      <c r="G183" s="51">
        <f t="shared" si="8"/>
        <v>906</v>
      </c>
      <c r="H183" s="51">
        <v>3.0</v>
      </c>
      <c r="I183" s="51">
        <f t="shared" si="9"/>
        <v>186</v>
      </c>
      <c r="J183" s="234"/>
      <c r="K183" s="124"/>
    </row>
    <row r="184">
      <c r="A184" s="18"/>
      <c r="B184" s="231"/>
      <c r="C184" s="232" t="str">
        <f t="array" ref="C184">XLOOKUP(B184, Chr!$B$5:$B$19, Chr!$E$5:$E$19, "")</f>
        <v/>
      </c>
      <c r="D184" s="51">
        <v>4.0</v>
      </c>
      <c r="E184" s="51" t="s">
        <v>349</v>
      </c>
      <c r="F184" s="250">
        <v>57.0</v>
      </c>
      <c r="G184" s="51">
        <f t="shared" si="8"/>
        <v>963</v>
      </c>
      <c r="H184" s="51">
        <v>12.0</v>
      </c>
      <c r="I184" s="51">
        <f t="shared" si="9"/>
        <v>198</v>
      </c>
      <c r="J184" s="211" t="s">
        <v>401</v>
      </c>
      <c r="K184" s="124"/>
    </row>
    <row r="185">
      <c r="A185" s="18"/>
      <c r="B185" s="239"/>
      <c r="C185" s="240" t="str">
        <f t="array" ref="C185">XLOOKUP(B185, Chr!$B$5:$B$19, Chr!$E$5:$E$19, "")</f>
        <v/>
      </c>
      <c r="D185" s="214"/>
      <c r="E185" s="214"/>
      <c r="F185" s="248"/>
      <c r="G185" s="248"/>
      <c r="H185" s="248"/>
      <c r="I185" s="248"/>
      <c r="J185" s="215"/>
      <c r="K185" s="124"/>
    </row>
    <row r="186">
      <c r="A186" s="41"/>
      <c r="B186" s="242"/>
      <c r="C186" s="131"/>
      <c r="D186" s="131"/>
      <c r="E186" s="131"/>
      <c r="F186" s="131"/>
      <c r="G186" s="131"/>
      <c r="H186" s="131"/>
      <c r="I186" s="131"/>
      <c r="J186" s="131"/>
      <c r="K186" s="41"/>
    </row>
    <row r="187">
      <c r="A187" s="18"/>
      <c r="B187" s="224">
        <v>1005.0</v>
      </c>
      <c r="C187" s="225" t="str">
        <f t="array" ref="C187">XLOOKUP(B187, Chr!$B$5:$B$19, Chr!$E$5:$E$19, "")</f>
        <v>방패병</v>
      </c>
      <c r="D187" s="226">
        <v>0.0</v>
      </c>
      <c r="E187" s="226">
        <v>1.0</v>
      </c>
      <c r="F187" s="249">
        <v>11.0</v>
      </c>
      <c r="G187" s="226">
        <v>108.0</v>
      </c>
      <c r="H187" s="226">
        <v>2.0</v>
      </c>
      <c r="I187" s="226">
        <v>25.0</v>
      </c>
      <c r="J187" s="227"/>
      <c r="K187" s="124"/>
    </row>
    <row r="188">
      <c r="A188" s="18"/>
      <c r="B188" s="228"/>
      <c r="C188" s="229"/>
      <c r="D188" s="51"/>
      <c r="E188" s="51">
        <v>2.0</v>
      </c>
      <c r="F188" s="250">
        <v>11.0</v>
      </c>
      <c r="G188" s="51">
        <f t="shared" ref="G188:G230" si="10">G187+F188</f>
        <v>119</v>
      </c>
      <c r="H188" s="51">
        <v>2.0</v>
      </c>
      <c r="I188" s="51">
        <f t="shared" ref="I188:I230" si="11">I187+H188</f>
        <v>27</v>
      </c>
      <c r="J188" s="230"/>
      <c r="K188" s="124"/>
    </row>
    <row r="189">
      <c r="A189" s="18"/>
      <c r="B189" s="231"/>
      <c r="C189" s="232" t="str">
        <f t="array" ref="C189">XLOOKUP(B189, Chr!$B$5:$B$19, Chr!$E$5:$E$19, "")</f>
        <v/>
      </c>
      <c r="D189" s="51"/>
      <c r="E189" s="51">
        <v>3.0</v>
      </c>
      <c r="F189" s="250">
        <v>11.0</v>
      </c>
      <c r="G189" s="51">
        <f t="shared" si="10"/>
        <v>130</v>
      </c>
      <c r="H189" s="51">
        <v>2.0</v>
      </c>
      <c r="I189" s="51">
        <f t="shared" si="11"/>
        <v>29</v>
      </c>
      <c r="J189" s="230"/>
      <c r="K189" s="124"/>
    </row>
    <row r="190">
      <c r="A190" s="18"/>
      <c r="B190" s="231"/>
      <c r="C190" s="232" t="str">
        <f t="array" ref="C190">XLOOKUP(B190, Chr!$B$5:$B$19, Chr!$E$5:$E$19, "")</f>
        <v/>
      </c>
      <c r="D190" s="51"/>
      <c r="E190" s="51">
        <v>4.0</v>
      </c>
      <c r="F190" s="250">
        <v>11.0</v>
      </c>
      <c r="G190" s="51">
        <f t="shared" si="10"/>
        <v>141</v>
      </c>
      <c r="H190" s="51">
        <v>2.0</v>
      </c>
      <c r="I190" s="51">
        <f t="shared" si="11"/>
        <v>31</v>
      </c>
      <c r="J190" s="234"/>
      <c r="K190" s="124"/>
    </row>
    <row r="191">
      <c r="A191" s="18"/>
      <c r="B191" s="231"/>
      <c r="C191" s="232" t="str">
        <f t="array" ref="C191">XLOOKUP(B191, Chr!$B$5:$B$19, Chr!$E$5:$E$19, "")</f>
        <v/>
      </c>
      <c r="D191" s="51"/>
      <c r="E191" s="51">
        <v>5.0</v>
      </c>
      <c r="F191" s="250">
        <v>11.0</v>
      </c>
      <c r="G191" s="51">
        <f t="shared" si="10"/>
        <v>152</v>
      </c>
      <c r="H191" s="51">
        <v>2.0</v>
      </c>
      <c r="I191" s="51">
        <f t="shared" si="11"/>
        <v>33</v>
      </c>
      <c r="J191" s="211" t="s">
        <v>402</v>
      </c>
      <c r="K191" s="124"/>
    </row>
    <row r="192">
      <c r="A192" s="18"/>
      <c r="B192" s="231"/>
      <c r="C192" s="232" t="str">
        <f t="array" ref="C192">XLOOKUP(B192, Chr!$B$5:$B$19, Chr!$E$5:$E$19, "")</f>
        <v/>
      </c>
      <c r="D192" s="51"/>
      <c r="E192" s="51">
        <v>6.0</v>
      </c>
      <c r="F192" s="250">
        <v>11.0</v>
      </c>
      <c r="G192" s="51">
        <f t="shared" si="10"/>
        <v>163</v>
      </c>
      <c r="H192" s="51">
        <v>2.0</v>
      </c>
      <c r="I192" s="51">
        <f t="shared" si="11"/>
        <v>35</v>
      </c>
      <c r="J192" s="235"/>
      <c r="K192" s="124"/>
    </row>
    <row r="193">
      <c r="A193" s="18"/>
      <c r="B193" s="231"/>
      <c r="C193" s="232" t="str">
        <f t="array" ref="C193">XLOOKUP(B193, Chr!$B$5:$B$19, Chr!$E$5:$E$19, "")</f>
        <v/>
      </c>
      <c r="D193" s="51"/>
      <c r="E193" s="51">
        <v>7.0</v>
      </c>
      <c r="F193" s="250">
        <v>11.0</v>
      </c>
      <c r="G193" s="51">
        <f t="shared" si="10"/>
        <v>174</v>
      </c>
      <c r="H193" s="51">
        <v>2.0</v>
      </c>
      <c r="I193" s="51">
        <f t="shared" si="11"/>
        <v>37</v>
      </c>
      <c r="J193" s="230"/>
      <c r="K193" s="124"/>
    </row>
    <row r="194">
      <c r="A194" s="18"/>
      <c r="B194" s="231"/>
      <c r="C194" s="232" t="str">
        <f t="array" ref="C194">XLOOKUP(B194, Chr!$B$5:$B$19, Chr!$E$5:$E$19, "")</f>
        <v/>
      </c>
      <c r="D194" s="51"/>
      <c r="E194" s="51">
        <v>8.0</v>
      </c>
      <c r="F194" s="250">
        <v>11.0</v>
      </c>
      <c r="G194" s="51">
        <f t="shared" si="10"/>
        <v>185</v>
      </c>
      <c r="H194" s="51">
        <v>2.0</v>
      </c>
      <c r="I194" s="51">
        <f t="shared" si="11"/>
        <v>39</v>
      </c>
      <c r="J194" s="230"/>
      <c r="K194" s="124"/>
    </row>
    <row r="195">
      <c r="A195" s="18"/>
      <c r="B195" s="231"/>
      <c r="C195" s="232" t="str">
        <f t="array" ref="C195">XLOOKUP(B195, Chr!$B$5:$B$19, Chr!$E$5:$E$19, "")</f>
        <v/>
      </c>
      <c r="D195" s="51"/>
      <c r="E195" s="51">
        <v>9.0</v>
      </c>
      <c r="F195" s="250">
        <v>11.0</v>
      </c>
      <c r="G195" s="51">
        <f t="shared" si="10"/>
        <v>196</v>
      </c>
      <c r="H195" s="51">
        <v>2.0</v>
      </c>
      <c r="I195" s="51">
        <f t="shared" si="11"/>
        <v>41</v>
      </c>
      <c r="J195" s="230"/>
      <c r="K195" s="124"/>
    </row>
    <row r="196">
      <c r="A196" s="18"/>
      <c r="B196" s="231"/>
      <c r="C196" s="232" t="str">
        <f t="array" ref="C196">XLOOKUP(B196, Chr!$B$5:$B$19, Chr!$E$5:$E$19, "")</f>
        <v/>
      </c>
      <c r="D196" s="51"/>
      <c r="E196" s="51">
        <v>10.0</v>
      </c>
      <c r="F196" s="250">
        <v>11.0</v>
      </c>
      <c r="G196" s="51">
        <f t="shared" si="10"/>
        <v>207</v>
      </c>
      <c r="H196" s="51">
        <v>2.0</v>
      </c>
      <c r="I196" s="51">
        <f t="shared" si="11"/>
        <v>43</v>
      </c>
      <c r="J196" s="234"/>
      <c r="K196" s="124"/>
    </row>
    <row r="197">
      <c r="A197" s="18"/>
      <c r="B197" s="231"/>
      <c r="C197" s="232" t="str">
        <f t="array" ref="C197">XLOOKUP(B197, Chr!$B$5:$B$19, Chr!$E$5:$E$19, "")</f>
        <v/>
      </c>
      <c r="D197" s="51">
        <v>1.0</v>
      </c>
      <c r="E197" s="51" t="s">
        <v>349</v>
      </c>
      <c r="F197" s="250">
        <v>11.0</v>
      </c>
      <c r="G197" s="51">
        <f t="shared" si="10"/>
        <v>218</v>
      </c>
      <c r="H197" s="51">
        <v>2.0</v>
      </c>
      <c r="I197" s="51">
        <f t="shared" si="11"/>
        <v>45</v>
      </c>
      <c r="J197" s="211" t="s">
        <v>403</v>
      </c>
      <c r="K197" s="124"/>
    </row>
    <row r="198">
      <c r="A198" s="18"/>
      <c r="B198" s="231"/>
      <c r="C198" s="232" t="str">
        <f t="array" ref="C198">XLOOKUP(B198, Chr!$B$5:$B$19, Chr!$E$5:$E$19, "")</f>
        <v/>
      </c>
      <c r="D198" s="51"/>
      <c r="E198" s="51">
        <v>11.0</v>
      </c>
      <c r="F198" s="250">
        <v>11.0</v>
      </c>
      <c r="G198" s="51">
        <f t="shared" si="10"/>
        <v>229</v>
      </c>
      <c r="H198" s="51">
        <v>2.0</v>
      </c>
      <c r="I198" s="51">
        <f t="shared" si="11"/>
        <v>47</v>
      </c>
      <c r="J198" s="235"/>
      <c r="K198" s="124"/>
    </row>
    <row r="199">
      <c r="A199" s="18"/>
      <c r="B199" s="231"/>
      <c r="C199" s="232" t="str">
        <f t="array" ref="C199">XLOOKUP(B199, Chr!$B$5:$B$19, Chr!$E$5:$E$19, "")</f>
        <v/>
      </c>
      <c r="D199" s="51"/>
      <c r="E199" s="51">
        <v>12.0</v>
      </c>
      <c r="F199" s="250">
        <v>11.0</v>
      </c>
      <c r="G199" s="51">
        <f t="shared" si="10"/>
        <v>240</v>
      </c>
      <c r="H199" s="51">
        <v>2.0</v>
      </c>
      <c r="I199" s="51">
        <f t="shared" si="11"/>
        <v>49</v>
      </c>
      <c r="J199" s="230"/>
      <c r="K199" s="124"/>
    </row>
    <row r="200">
      <c r="A200" s="18"/>
      <c r="B200" s="231"/>
      <c r="C200" s="232" t="str">
        <f t="array" ref="C200">XLOOKUP(B200, Chr!$B$5:$B$19, Chr!$E$5:$E$19, "")</f>
        <v/>
      </c>
      <c r="D200" s="51"/>
      <c r="E200" s="51">
        <v>13.0</v>
      </c>
      <c r="F200" s="250">
        <v>11.0</v>
      </c>
      <c r="G200" s="51">
        <f t="shared" si="10"/>
        <v>251</v>
      </c>
      <c r="H200" s="51">
        <v>2.0</v>
      </c>
      <c r="I200" s="51">
        <f t="shared" si="11"/>
        <v>51</v>
      </c>
      <c r="J200" s="230"/>
      <c r="K200" s="124"/>
    </row>
    <row r="201">
      <c r="A201" s="18"/>
      <c r="B201" s="231"/>
      <c r="C201" s="232" t="str">
        <f t="array" ref="C201">XLOOKUP(B201, Chr!$B$5:$B$19, Chr!$E$5:$E$19, "")</f>
        <v/>
      </c>
      <c r="D201" s="51"/>
      <c r="E201" s="51">
        <v>14.0</v>
      </c>
      <c r="F201" s="250">
        <v>11.0</v>
      </c>
      <c r="G201" s="51">
        <f t="shared" si="10"/>
        <v>262</v>
      </c>
      <c r="H201" s="51">
        <v>2.0</v>
      </c>
      <c r="I201" s="51">
        <f t="shared" si="11"/>
        <v>53</v>
      </c>
      <c r="J201" s="238"/>
      <c r="K201" s="124"/>
    </row>
    <row r="202">
      <c r="A202" s="18"/>
      <c r="B202" s="231"/>
      <c r="C202" s="232" t="str">
        <f t="array" ref="C202">XLOOKUP(B202, Chr!$B$5:$B$19, Chr!$E$5:$E$19, "")</f>
        <v/>
      </c>
      <c r="D202" s="51"/>
      <c r="E202" s="51">
        <v>15.0</v>
      </c>
      <c r="F202" s="250">
        <v>11.0</v>
      </c>
      <c r="G202" s="51">
        <f t="shared" si="10"/>
        <v>273</v>
      </c>
      <c r="H202" s="51">
        <v>2.0</v>
      </c>
      <c r="I202" s="51">
        <f t="shared" si="11"/>
        <v>55</v>
      </c>
      <c r="J202" s="247" t="s">
        <v>404</v>
      </c>
      <c r="K202" s="124"/>
    </row>
    <row r="203">
      <c r="A203" s="18"/>
      <c r="B203" s="231"/>
      <c r="C203" s="232" t="str">
        <f t="array" ref="C203">XLOOKUP(B203, Chr!$B$5:$B$19, Chr!$E$5:$E$19, "")</f>
        <v/>
      </c>
      <c r="D203" s="51"/>
      <c r="E203" s="51">
        <v>16.0</v>
      </c>
      <c r="F203" s="250">
        <v>11.0</v>
      </c>
      <c r="G203" s="51">
        <f t="shared" si="10"/>
        <v>284</v>
      </c>
      <c r="H203" s="51">
        <v>2.0</v>
      </c>
      <c r="I203" s="51">
        <f t="shared" si="11"/>
        <v>57</v>
      </c>
      <c r="J203" s="235"/>
      <c r="K203" s="124"/>
    </row>
    <row r="204">
      <c r="A204" s="18"/>
      <c r="B204" s="231"/>
      <c r="C204" s="232" t="str">
        <f t="array" ref="C204">XLOOKUP(B204, Chr!$B$5:$B$19, Chr!$E$5:$E$19, "")</f>
        <v/>
      </c>
      <c r="D204" s="51"/>
      <c r="E204" s="51">
        <v>17.0</v>
      </c>
      <c r="F204" s="250">
        <v>11.0</v>
      </c>
      <c r="G204" s="51">
        <f t="shared" si="10"/>
        <v>295</v>
      </c>
      <c r="H204" s="51">
        <v>2.0</v>
      </c>
      <c r="I204" s="51">
        <f t="shared" si="11"/>
        <v>59</v>
      </c>
      <c r="J204" s="230"/>
      <c r="K204" s="124"/>
    </row>
    <row r="205">
      <c r="A205" s="18"/>
      <c r="B205" s="231"/>
      <c r="C205" s="232" t="str">
        <f t="array" ref="C205">XLOOKUP(B205, Chr!$B$5:$B$19, Chr!$E$5:$E$19, "")</f>
        <v/>
      </c>
      <c r="D205" s="51"/>
      <c r="E205" s="51">
        <v>18.0</v>
      </c>
      <c r="F205" s="250">
        <v>11.0</v>
      </c>
      <c r="G205" s="51">
        <f t="shared" si="10"/>
        <v>306</v>
      </c>
      <c r="H205" s="51">
        <v>2.0</v>
      </c>
      <c r="I205" s="51">
        <f t="shared" si="11"/>
        <v>61</v>
      </c>
      <c r="J205" s="230"/>
      <c r="K205" s="124"/>
    </row>
    <row r="206">
      <c r="A206" s="18"/>
      <c r="B206" s="231"/>
      <c r="C206" s="232" t="str">
        <f t="array" ref="C206">XLOOKUP(B206, Chr!$B$5:$B$19, Chr!$E$5:$E$19, "")</f>
        <v/>
      </c>
      <c r="D206" s="51"/>
      <c r="E206" s="51">
        <v>19.0</v>
      </c>
      <c r="F206" s="250">
        <v>11.0</v>
      </c>
      <c r="G206" s="51">
        <f t="shared" si="10"/>
        <v>317</v>
      </c>
      <c r="H206" s="51">
        <v>2.0</v>
      </c>
      <c r="I206" s="51">
        <f t="shared" si="11"/>
        <v>63</v>
      </c>
      <c r="J206" s="230"/>
      <c r="K206" s="124"/>
    </row>
    <row r="207">
      <c r="A207" s="18"/>
      <c r="B207" s="231"/>
      <c r="C207" s="232" t="str">
        <f t="array" ref="C207">XLOOKUP(B207, Chr!$B$5:$B$19, Chr!$E$5:$E$19, "")</f>
        <v/>
      </c>
      <c r="D207" s="51"/>
      <c r="E207" s="51">
        <v>20.0</v>
      </c>
      <c r="F207" s="250">
        <v>11.0</v>
      </c>
      <c r="G207" s="51">
        <f t="shared" si="10"/>
        <v>328</v>
      </c>
      <c r="H207" s="51">
        <v>2.0</v>
      </c>
      <c r="I207" s="51">
        <f t="shared" si="11"/>
        <v>65</v>
      </c>
      <c r="J207" s="234"/>
      <c r="K207" s="124"/>
    </row>
    <row r="208">
      <c r="A208" s="18"/>
      <c r="B208" s="231"/>
      <c r="C208" s="232" t="str">
        <f t="array" ref="C208">XLOOKUP(B208, Chr!$B$5:$B$19, Chr!$E$5:$E$19, "")</f>
        <v/>
      </c>
      <c r="D208" s="51">
        <v>2.0</v>
      </c>
      <c r="E208" s="51" t="s">
        <v>349</v>
      </c>
      <c r="F208" s="250">
        <v>11.0</v>
      </c>
      <c r="G208" s="51">
        <f t="shared" si="10"/>
        <v>339</v>
      </c>
      <c r="H208" s="51">
        <v>2.0</v>
      </c>
      <c r="I208" s="51">
        <f t="shared" si="11"/>
        <v>67</v>
      </c>
      <c r="J208" s="211" t="s">
        <v>405</v>
      </c>
      <c r="K208" s="124"/>
    </row>
    <row r="209">
      <c r="A209" s="18"/>
      <c r="B209" s="231"/>
      <c r="C209" s="232" t="str">
        <f t="array" ref="C209">XLOOKUP(B209, Chr!$B$5:$B$19, Chr!$E$5:$E$19, "")</f>
        <v/>
      </c>
      <c r="D209" s="51"/>
      <c r="E209" s="51">
        <v>21.0</v>
      </c>
      <c r="F209" s="250">
        <v>11.0</v>
      </c>
      <c r="G209" s="51">
        <f t="shared" si="10"/>
        <v>350</v>
      </c>
      <c r="H209" s="51">
        <v>2.0</v>
      </c>
      <c r="I209" s="51">
        <f t="shared" si="11"/>
        <v>69</v>
      </c>
      <c r="J209" s="235"/>
      <c r="K209" s="124"/>
    </row>
    <row r="210">
      <c r="A210" s="18"/>
      <c r="B210" s="231"/>
      <c r="C210" s="232" t="str">
        <f t="array" ref="C210">XLOOKUP(B210, Chr!$B$5:$B$19, Chr!$E$5:$E$19, "")</f>
        <v/>
      </c>
      <c r="D210" s="51"/>
      <c r="E210" s="51">
        <v>22.0</v>
      </c>
      <c r="F210" s="250">
        <v>11.0</v>
      </c>
      <c r="G210" s="51">
        <f t="shared" si="10"/>
        <v>361</v>
      </c>
      <c r="H210" s="51">
        <v>2.0</v>
      </c>
      <c r="I210" s="51">
        <f t="shared" si="11"/>
        <v>71</v>
      </c>
      <c r="J210" s="230"/>
      <c r="K210" s="124"/>
    </row>
    <row r="211">
      <c r="A211" s="18"/>
      <c r="B211" s="231"/>
      <c r="C211" s="232" t="str">
        <f t="array" ref="C211">XLOOKUP(B211, Chr!$B$5:$B$19, Chr!$E$5:$E$19, "")</f>
        <v/>
      </c>
      <c r="D211" s="51"/>
      <c r="E211" s="51">
        <v>23.0</v>
      </c>
      <c r="F211" s="250">
        <v>11.0</v>
      </c>
      <c r="G211" s="51">
        <f t="shared" si="10"/>
        <v>372</v>
      </c>
      <c r="H211" s="51">
        <v>2.0</v>
      </c>
      <c r="I211" s="51">
        <f t="shared" si="11"/>
        <v>73</v>
      </c>
      <c r="J211" s="237"/>
      <c r="K211" s="124"/>
    </row>
    <row r="212">
      <c r="A212" s="18"/>
      <c r="B212" s="231"/>
      <c r="C212" s="232" t="str">
        <f t="array" ref="C212">XLOOKUP(B212, Chr!$B$5:$B$19, Chr!$E$5:$E$19, "")</f>
        <v/>
      </c>
      <c r="D212" s="51"/>
      <c r="E212" s="51">
        <v>24.0</v>
      </c>
      <c r="F212" s="250">
        <v>11.0</v>
      </c>
      <c r="G212" s="51">
        <f t="shared" si="10"/>
        <v>383</v>
      </c>
      <c r="H212" s="51">
        <v>2.0</v>
      </c>
      <c r="I212" s="51">
        <f t="shared" si="11"/>
        <v>75</v>
      </c>
      <c r="J212" s="234"/>
      <c r="K212" s="124"/>
    </row>
    <row r="213">
      <c r="A213" s="18"/>
      <c r="B213" s="231"/>
      <c r="C213" s="232" t="str">
        <f t="array" ref="C213">XLOOKUP(B213, Chr!$B$5:$B$19, Chr!$E$5:$E$19, "")</f>
        <v/>
      </c>
      <c r="D213" s="51"/>
      <c r="E213" s="51">
        <v>25.0</v>
      </c>
      <c r="F213" s="250">
        <v>11.0</v>
      </c>
      <c r="G213" s="51">
        <f t="shared" si="10"/>
        <v>394</v>
      </c>
      <c r="H213" s="51">
        <v>2.0</v>
      </c>
      <c r="I213" s="51">
        <f t="shared" si="11"/>
        <v>77</v>
      </c>
      <c r="J213" s="247" t="s">
        <v>406</v>
      </c>
      <c r="K213" s="124"/>
    </row>
    <row r="214">
      <c r="A214" s="18"/>
      <c r="B214" s="231"/>
      <c r="C214" s="232" t="str">
        <f t="array" ref="C214">XLOOKUP(B214, Chr!$B$5:$B$19, Chr!$E$5:$E$19, "")</f>
        <v/>
      </c>
      <c r="D214" s="51"/>
      <c r="E214" s="51">
        <v>26.0</v>
      </c>
      <c r="F214" s="250">
        <v>11.0</v>
      </c>
      <c r="G214" s="51">
        <f t="shared" si="10"/>
        <v>405</v>
      </c>
      <c r="H214" s="51">
        <v>2.0</v>
      </c>
      <c r="I214" s="51">
        <f t="shared" si="11"/>
        <v>79</v>
      </c>
      <c r="J214" s="235"/>
      <c r="K214" s="124"/>
    </row>
    <row r="215">
      <c r="A215" s="18"/>
      <c r="B215" s="231"/>
      <c r="C215" s="232" t="str">
        <f t="array" ref="C215">XLOOKUP(B215, Chr!$B$5:$B$19, Chr!$E$5:$E$19, "")</f>
        <v/>
      </c>
      <c r="D215" s="51"/>
      <c r="E215" s="51">
        <v>27.0</v>
      </c>
      <c r="F215" s="250">
        <v>11.0</v>
      </c>
      <c r="G215" s="51">
        <f t="shared" si="10"/>
        <v>416</v>
      </c>
      <c r="H215" s="51">
        <v>2.0</v>
      </c>
      <c r="I215" s="51">
        <f t="shared" si="11"/>
        <v>81</v>
      </c>
      <c r="J215" s="230"/>
      <c r="K215" s="124"/>
    </row>
    <row r="216">
      <c r="A216" s="18"/>
      <c r="B216" s="231"/>
      <c r="C216" s="232" t="str">
        <f t="array" ref="C216">XLOOKUP(B216, Chr!$B$5:$B$19, Chr!$E$5:$E$19, "")</f>
        <v/>
      </c>
      <c r="D216" s="51"/>
      <c r="E216" s="51">
        <v>28.0</v>
      </c>
      <c r="F216" s="250">
        <v>11.0</v>
      </c>
      <c r="G216" s="51">
        <f t="shared" si="10"/>
        <v>427</v>
      </c>
      <c r="H216" s="51">
        <v>2.0</v>
      </c>
      <c r="I216" s="51">
        <f t="shared" si="11"/>
        <v>83</v>
      </c>
      <c r="J216" s="230"/>
      <c r="K216" s="124"/>
    </row>
    <row r="217">
      <c r="A217" s="18"/>
      <c r="B217" s="231"/>
      <c r="C217" s="232" t="str">
        <f t="array" ref="C217">XLOOKUP(B217, Chr!$B$5:$B$19, Chr!$E$5:$E$19, "")</f>
        <v/>
      </c>
      <c r="D217" s="51"/>
      <c r="E217" s="51">
        <v>29.0</v>
      </c>
      <c r="F217" s="250">
        <v>11.0</v>
      </c>
      <c r="G217" s="51">
        <f t="shared" si="10"/>
        <v>438</v>
      </c>
      <c r="H217" s="51">
        <v>2.0</v>
      </c>
      <c r="I217" s="51">
        <f t="shared" si="11"/>
        <v>85</v>
      </c>
      <c r="J217" s="230"/>
      <c r="K217" s="124"/>
    </row>
    <row r="218">
      <c r="A218" s="18"/>
      <c r="B218" s="231"/>
      <c r="C218" s="232" t="str">
        <f t="array" ref="C218">XLOOKUP(B218, Chr!$B$5:$B$19, Chr!$E$5:$E$19, "")</f>
        <v/>
      </c>
      <c r="D218" s="51"/>
      <c r="E218" s="51">
        <v>30.0</v>
      </c>
      <c r="F218" s="250">
        <v>11.0</v>
      </c>
      <c r="G218" s="51">
        <f t="shared" si="10"/>
        <v>449</v>
      </c>
      <c r="H218" s="51">
        <v>2.0</v>
      </c>
      <c r="I218" s="51">
        <f t="shared" si="11"/>
        <v>87</v>
      </c>
      <c r="J218" s="234"/>
      <c r="K218" s="124"/>
    </row>
    <row r="219">
      <c r="A219" s="18"/>
      <c r="B219" s="231"/>
      <c r="C219" s="232" t="str">
        <f t="array" ref="C219">XLOOKUP(B219, Chr!$B$5:$B$19, Chr!$E$5:$E$19, "")</f>
        <v/>
      </c>
      <c r="D219" s="51">
        <v>3.0</v>
      </c>
      <c r="E219" s="51" t="s">
        <v>349</v>
      </c>
      <c r="F219" s="250">
        <v>11.0</v>
      </c>
      <c r="G219" s="51">
        <f t="shared" si="10"/>
        <v>460</v>
      </c>
      <c r="H219" s="51">
        <v>2.0</v>
      </c>
      <c r="I219" s="51">
        <f t="shared" si="11"/>
        <v>89</v>
      </c>
      <c r="J219" s="211" t="s">
        <v>407</v>
      </c>
      <c r="K219" s="124"/>
    </row>
    <row r="220">
      <c r="A220" s="18"/>
      <c r="B220" s="231"/>
      <c r="C220" s="232" t="str">
        <f t="array" ref="C220">XLOOKUP(B220, Chr!$B$5:$B$19, Chr!$E$5:$E$19, "")</f>
        <v/>
      </c>
      <c r="D220" s="51"/>
      <c r="E220" s="51">
        <v>31.0</v>
      </c>
      <c r="F220" s="250">
        <v>11.0</v>
      </c>
      <c r="G220" s="51">
        <f t="shared" si="10"/>
        <v>471</v>
      </c>
      <c r="H220" s="51">
        <v>2.0</v>
      </c>
      <c r="I220" s="51">
        <f t="shared" si="11"/>
        <v>91</v>
      </c>
      <c r="J220" s="235"/>
      <c r="K220" s="124"/>
    </row>
    <row r="221">
      <c r="A221" s="18"/>
      <c r="B221" s="231"/>
      <c r="C221" s="232" t="str">
        <f t="array" ref="C221">XLOOKUP(B221, Chr!$B$5:$B$19, Chr!$E$5:$E$19, "")</f>
        <v/>
      </c>
      <c r="D221" s="51"/>
      <c r="E221" s="51">
        <v>32.0</v>
      </c>
      <c r="F221" s="250">
        <v>11.0</v>
      </c>
      <c r="G221" s="51">
        <f t="shared" si="10"/>
        <v>482</v>
      </c>
      <c r="H221" s="51">
        <v>2.0</v>
      </c>
      <c r="I221" s="51">
        <f t="shared" si="11"/>
        <v>93</v>
      </c>
      <c r="J221" s="230"/>
      <c r="K221" s="124"/>
    </row>
    <row r="222">
      <c r="A222" s="18"/>
      <c r="B222" s="231"/>
      <c r="C222" s="232" t="str">
        <f t="array" ref="C222">XLOOKUP(B222, Chr!$B$5:$B$19, Chr!$E$5:$E$19, "")</f>
        <v/>
      </c>
      <c r="D222" s="51"/>
      <c r="E222" s="51">
        <v>33.0</v>
      </c>
      <c r="F222" s="250">
        <v>11.0</v>
      </c>
      <c r="G222" s="51">
        <f t="shared" si="10"/>
        <v>493</v>
      </c>
      <c r="H222" s="51">
        <v>2.0</v>
      </c>
      <c r="I222" s="51">
        <f t="shared" si="11"/>
        <v>95</v>
      </c>
      <c r="J222" s="230"/>
      <c r="K222" s="124"/>
    </row>
    <row r="223">
      <c r="A223" s="18"/>
      <c r="B223" s="231"/>
      <c r="C223" s="232" t="str">
        <f t="array" ref="C223">XLOOKUP(B223, Chr!$B$5:$B$19, Chr!$E$5:$E$19, "")</f>
        <v/>
      </c>
      <c r="D223" s="51"/>
      <c r="E223" s="51">
        <v>34.0</v>
      </c>
      <c r="F223" s="250">
        <v>11.0</v>
      </c>
      <c r="G223" s="51">
        <f t="shared" si="10"/>
        <v>504</v>
      </c>
      <c r="H223" s="51">
        <v>2.0</v>
      </c>
      <c r="I223" s="51">
        <f t="shared" si="11"/>
        <v>97</v>
      </c>
      <c r="J223" s="234"/>
      <c r="K223" s="124"/>
    </row>
    <row r="224">
      <c r="A224" s="18"/>
      <c r="B224" s="231"/>
      <c r="C224" s="232" t="str">
        <f t="array" ref="C224">XLOOKUP(B224, Chr!$B$5:$B$19, Chr!$E$5:$E$19, "")</f>
        <v/>
      </c>
      <c r="D224" s="51"/>
      <c r="E224" s="51">
        <v>35.0</v>
      </c>
      <c r="F224" s="250">
        <v>11.0</v>
      </c>
      <c r="G224" s="51">
        <f t="shared" si="10"/>
        <v>515</v>
      </c>
      <c r="H224" s="51">
        <v>2.0</v>
      </c>
      <c r="I224" s="51">
        <f t="shared" si="11"/>
        <v>99</v>
      </c>
      <c r="J224" s="211" t="s">
        <v>408</v>
      </c>
      <c r="K224" s="124"/>
    </row>
    <row r="225">
      <c r="A225" s="18"/>
      <c r="B225" s="231"/>
      <c r="C225" s="232" t="str">
        <f t="array" ref="C225">XLOOKUP(B225, Chr!$B$5:$B$19, Chr!$E$5:$E$19, "")</f>
        <v/>
      </c>
      <c r="D225" s="51"/>
      <c r="E225" s="51">
        <v>36.0</v>
      </c>
      <c r="F225" s="250">
        <v>11.0</v>
      </c>
      <c r="G225" s="51">
        <f t="shared" si="10"/>
        <v>526</v>
      </c>
      <c r="H225" s="51">
        <v>2.0</v>
      </c>
      <c r="I225" s="51">
        <f t="shared" si="11"/>
        <v>101</v>
      </c>
      <c r="J225" s="235"/>
      <c r="K225" s="124"/>
    </row>
    <row r="226">
      <c r="A226" s="18"/>
      <c r="B226" s="231"/>
      <c r="C226" s="232" t="str">
        <f t="array" ref="C226">XLOOKUP(B226, Chr!$B$5:$B$19, Chr!$E$5:$E$19, "")</f>
        <v/>
      </c>
      <c r="D226" s="51"/>
      <c r="E226" s="51">
        <v>37.0</v>
      </c>
      <c r="F226" s="250">
        <v>11.0</v>
      </c>
      <c r="G226" s="51">
        <f t="shared" si="10"/>
        <v>537</v>
      </c>
      <c r="H226" s="51">
        <v>2.0</v>
      </c>
      <c r="I226" s="51">
        <f t="shared" si="11"/>
        <v>103</v>
      </c>
      <c r="J226" s="230"/>
      <c r="K226" s="124"/>
    </row>
    <row r="227">
      <c r="A227" s="18"/>
      <c r="B227" s="231"/>
      <c r="C227" s="232" t="str">
        <f t="array" ref="C227">XLOOKUP(B227, Chr!$B$5:$B$19, Chr!$E$5:$E$19, "")</f>
        <v/>
      </c>
      <c r="D227" s="51"/>
      <c r="E227" s="51">
        <v>38.0</v>
      </c>
      <c r="F227" s="250">
        <v>11.0</v>
      </c>
      <c r="G227" s="51">
        <f t="shared" si="10"/>
        <v>548</v>
      </c>
      <c r="H227" s="51">
        <v>2.0</v>
      </c>
      <c r="I227" s="51">
        <f t="shared" si="11"/>
        <v>105</v>
      </c>
      <c r="J227" s="230"/>
      <c r="K227" s="124"/>
    </row>
    <row r="228">
      <c r="A228" s="18"/>
      <c r="B228" s="231"/>
      <c r="C228" s="232" t="str">
        <f t="array" ref="C228">XLOOKUP(B228, Chr!$B$5:$B$19, Chr!$E$5:$E$19, "")</f>
        <v/>
      </c>
      <c r="D228" s="51"/>
      <c r="E228" s="51">
        <v>39.0</v>
      </c>
      <c r="F228" s="250">
        <v>11.0</v>
      </c>
      <c r="G228" s="51">
        <f t="shared" si="10"/>
        <v>559</v>
      </c>
      <c r="H228" s="51">
        <v>2.0</v>
      </c>
      <c r="I228" s="51">
        <f t="shared" si="11"/>
        <v>107</v>
      </c>
      <c r="J228" s="230"/>
      <c r="K228" s="124"/>
    </row>
    <row r="229">
      <c r="A229" s="18"/>
      <c r="B229" s="231"/>
      <c r="C229" s="232" t="str">
        <f t="array" ref="C229">XLOOKUP(B229, Chr!$B$5:$B$19, Chr!$E$5:$E$19, "")</f>
        <v/>
      </c>
      <c r="D229" s="51"/>
      <c r="E229" s="51">
        <v>40.0</v>
      </c>
      <c r="F229" s="250">
        <v>11.0</v>
      </c>
      <c r="G229" s="51">
        <f t="shared" si="10"/>
        <v>570</v>
      </c>
      <c r="H229" s="51">
        <v>2.0</v>
      </c>
      <c r="I229" s="51">
        <f t="shared" si="11"/>
        <v>109</v>
      </c>
      <c r="J229" s="234"/>
      <c r="K229" s="124"/>
    </row>
    <row r="230">
      <c r="A230" s="18"/>
      <c r="B230" s="239"/>
      <c r="C230" s="240" t="str">
        <f t="array" ref="C230">XLOOKUP(B230, Chr!$B$5:$B$19, Chr!$E$5:$E$19, "")</f>
        <v/>
      </c>
      <c r="D230" s="214">
        <v>4.0</v>
      </c>
      <c r="E230" s="214" t="s">
        <v>349</v>
      </c>
      <c r="F230" s="251">
        <v>11.0</v>
      </c>
      <c r="G230" s="214">
        <f t="shared" si="10"/>
        <v>581</v>
      </c>
      <c r="H230" s="214">
        <v>2.0</v>
      </c>
      <c r="I230" s="214">
        <f t="shared" si="11"/>
        <v>111</v>
      </c>
      <c r="J230" s="215" t="s">
        <v>409</v>
      </c>
      <c r="K230" s="124"/>
    </row>
    <row r="231">
      <c r="A231" s="41"/>
      <c r="B231" s="242"/>
      <c r="C231" s="131"/>
      <c r="D231" s="131"/>
      <c r="E231" s="131"/>
      <c r="F231" s="131"/>
      <c r="G231" s="131"/>
      <c r="H231" s="131"/>
      <c r="I231" s="131"/>
      <c r="J231" s="131"/>
      <c r="K231" s="41"/>
    </row>
    <row r="232">
      <c r="A232" s="18"/>
      <c r="B232" s="224">
        <v>1006.0</v>
      </c>
      <c r="C232" s="225" t="str">
        <f t="array" ref="C232">XLOOKUP(B232, Chr!$B$5:$B$19, Chr!$E$5:$E$19, "")</f>
        <v>연금술사</v>
      </c>
      <c r="D232" s="226">
        <v>0.0</v>
      </c>
      <c r="E232" s="226">
        <v>1.0</v>
      </c>
      <c r="F232" s="243">
        <f t="array" ref="F232">IF($B$232="", "", XLOOKUP($B$232, Chr!$B$3:$B$17, Chr!$F$3:$F$17, ""))</f>
        <v>8</v>
      </c>
      <c r="G232" s="226">
        <v>74.0</v>
      </c>
      <c r="H232" s="226">
        <f t="array" ref="H232">IF($B$232="", "", XLOOKUP($B$232, Chr!$B$3:$B$17, Chr!$G$3:$G$17, ""))</f>
        <v>3</v>
      </c>
      <c r="I232" s="226">
        <v>29.0</v>
      </c>
      <c r="J232" s="227"/>
      <c r="K232" s="124"/>
    </row>
    <row r="233">
      <c r="A233" s="18"/>
      <c r="B233" s="228"/>
      <c r="C233" s="229"/>
      <c r="D233" s="51"/>
      <c r="E233" s="51">
        <v>2.0</v>
      </c>
      <c r="F233" s="244">
        <f t="array" ref="F233">IF($B$232="", "", XLOOKUP($B$232, Chr!$B$3:$B$17, Chr!$F$3:$F$17, ""))</f>
        <v>8</v>
      </c>
      <c r="G233" s="51">
        <v>82.0</v>
      </c>
      <c r="H233" s="51">
        <f t="array" ref="H233">IF($B$232="", "", XLOOKUP($B$232, Chr!$B$3:$B$17, Chr!$G$3:$G$17, ""))</f>
        <v>3</v>
      </c>
      <c r="I233" s="51">
        <v>32.0</v>
      </c>
      <c r="J233" s="230"/>
      <c r="K233" s="124"/>
    </row>
    <row r="234">
      <c r="A234" s="18"/>
      <c r="B234" s="231"/>
      <c r="C234" s="232" t="str">
        <f t="array" ref="C234">XLOOKUP(B234, Chr!$B$5:$B$19, Chr!$E$5:$E$19, "")</f>
        <v/>
      </c>
      <c r="D234" s="51"/>
      <c r="E234" s="51">
        <v>3.0</v>
      </c>
      <c r="F234" s="244">
        <f t="array" ref="F234">IF($B$232="", "", XLOOKUP($B$232, Chr!$B$3:$B$17, Chr!$F$3:$F$17, ""))</f>
        <v>8</v>
      </c>
      <c r="G234" s="51">
        <v>90.0</v>
      </c>
      <c r="H234" s="51">
        <f t="array" ref="H234">IF($B$232="", "", XLOOKUP($B$232, Chr!$B$3:$B$17, Chr!$G$3:$G$17, ""))</f>
        <v>3</v>
      </c>
      <c r="I234" s="51">
        <v>35.0</v>
      </c>
      <c r="J234" s="230"/>
      <c r="K234" s="124"/>
    </row>
    <row r="235">
      <c r="A235" s="18"/>
      <c r="B235" s="231"/>
      <c r="C235" s="232" t="str">
        <f t="array" ref="C235">XLOOKUP(B235, Chr!$B$5:$B$19, Chr!$E$5:$E$19, "")</f>
        <v/>
      </c>
      <c r="D235" s="51"/>
      <c r="E235" s="51">
        <v>4.0</v>
      </c>
      <c r="F235" s="244">
        <f t="array" ref="F235">IF($B$232="", "", XLOOKUP($B$232, Chr!$B$3:$B$17, Chr!$F$3:$F$17, ""))</f>
        <v>8</v>
      </c>
      <c r="G235" s="51">
        <v>98.0</v>
      </c>
      <c r="H235" s="51">
        <f t="array" ref="H235">IF($B$232="", "", XLOOKUP($B$232, Chr!$B$3:$B$17, Chr!$G$3:$G$17, ""))</f>
        <v>3</v>
      </c>
      <c r="I235" s="51">
        <v>38.0</v>
      </c>
      <c r="J235" s="234"/>
      <c r="K235" s="124"/>
    </row>
    <row r="236">
      <c r="A236" s="18"/>
      <c r="B236" s="231"/>
      <c r="C236" s="232" t="str">
        <f t="array" ref="C236">XLOOKUP(B236, Chr!$B$5:$B$19, Chr!$E$5:$E$19, "")</f>
        <v/>
      </c>
      <c r="D236" s="51"/>
      <c r="E236" s="51">
        <v>5.0</v>
      </c>
      <c r="F236" s="244">
        <f t="array" ref="F236">IF($B$232="", "", XLOOKUP($B$232, Chr!$B$3:$B$17, Chr!$F$3:$F$17, ""))</f>
        <v>8</v>
      </c>
      <c r="G236" s="51">
        <v>106.0</v>
      </c>
      <c r="H236" s="51">
        <f t="array" ref="H236">IF($B$232="", "", XLOOKUP($B$232, Chr!$B$3:$B$17, Chr!$G$3:$G$17, ""))</f>
        <v>3</v>
      </c>
      <c r="I236" s="51">
        <v>41.0</v>
      </c>
      <c r="J236" s="211" t="s">
        <v>410</v>
      </c>
      <c r="K236" s="124"/>
    </row>
    <row r="237">
      <c r="A237" s="18"/>
      <c r="B237" s="231"/>
      <c r="C237" s="232" t="str">
        <f t="array" ref="C237">XLOOKUP(B237, Chr!$B$5:$B$19, Chr!$E$5:$E$19, "")</f>
        <v/>
      </c>
      <c r="D237" s="51"/>
      <c r="E237" s="51">
        <v>6.0</v>
      </c>
      <c r="F237" s="244">
        <f t="array" ref="F237">IF($B$232="", "", XLOOKUP($B$232, Chr!$B$3:$B$17, Chr!$F$3:$F$17, ""))</f>
        <v>8</v>
      </c>
      <c r="G237" s="51">
        <v>114.0</v>
      </c>
      <c r="H237" s="51">
        <f t="array" ref="H237">IF($B$232="", "", XLOOKUP($B$232, Chr!$B$3:$B$17, Chr!$G$3:$G$17, ""))</f>
        <v>3</v>
      </c>
      <c r="I237" s="51">
        <v>44.0</v>
      </c>
      <c r="J237" s="235"/>
      <c r="K237" s="124"/>
    </row>
    <row r="238">
      <c r="A238" s="18"/>
      <c r="B238" s="231"/>
      <c r="C238" s="232" t="str">
        <f t="array" ref="C238">XLOOKUP(B238, Chr!$B$5:$B$19, Chr!$E$5:$E$19, "")</f>
        <v/>
      </c>
      <c r="D238" s="51"/>
      <c r="E238" s="51">
        <v>7.0</v>
      </c>
      <c r="F238" s="244">
        <f t="array" ref="F238">IF($B$232="", "", XLOOKUP($B$232, Chr!$B$3:$B$17, Chr!$F$3:$F$17, ""))</f>
        <v>8</v>
      </c>
      <c r="G238" s="51">
        <v>122.0</v>
      </c>
      <c r="H238" s="51">
        <f t="array" ref="H238">IF($B$232="", "", XLOOKUP($B$232, Chr!$B$3:$B$17, Chr!$G$3:$G$17, ""))</f>
        <v>3</v>
      </c>
      <c r="I238" s="51">
        <v>47.0</v>
      </c>
      <c r="J238" s="230"/>
      <c r="K238" s="124"/>
    </row>
    <row r="239">
      <c r="A239" s="18"/>
      <c r="B239" s="231"/>
      <c r="C239" s="232" t="str">
        <f t="array" ref="C239">XLOOKUP(B239, Chr!$B$5:$B$19, Chr!$E$5:$E$19, "")</f>
        <v/>
      </c>
      <c r="D239" s="51"/>
      <c r="E239" s="51">
        <v>8.0</v>
      </c>
      <c r="F239" s="244">
        <f t="array" ref="F239">IF($B$232="", "", XLOOKUP($B$232, Chr!$B$3:$B$17, Chr!$F$3:$F$17, ""))</f>
        <v>8</v>
      </c>
      <c r="G239" s="51">
        <v>130.0</v>
      </c>
      <c r="H239" s="51">
        <f t="array" ref="H239">IF($B$232="", "", XLOOKUP($B$232, Chr!$B$3:$B$17, Chr!$G$3:$G$17, ""))</f>
        <v>3</v>
      </c>
      <c r="I239" s="51">
        <v>50.0</v>
      </c>
      <c r="J239" s="230"/>
      <c r="K239" s="124"/>
    </row>
    <row r="240">
      <c r="A240" s="18"/>
      <c r="B240" s="231"/>
      <c r="C240" s="232" t="str">
        <f t="array" ref="C240">XLOOKUP(B240, Chr!$B$5:$B$19, Chr!$E$5:$E$19, "")</f>
        <v/>
      </c>
      <c r="D240" s="51"/>
      <c r="E240" s="51">
        <v>9.0</v>
      </c>
      <c r="F240" s="244">
        <f t="array" ref="F240">IF($B$232="", "", XLOOKUP($B$232, Chr!$B$3:$B$17, Chr!$F$3:$F$17, ""))</f>
        <v>8</v>
      </c>
      <c r="G240" s="51">
        <v>138.0</v>
      </c>
      <c r="H240" s="51">
        <f t="array" ref="H240">IF($B$232="", "", XLOOKUP($B$232, Chr!$B$3:$B$17, Chr!$G$3:$G$17, ""))</f>
        <v>3</v>
      </c>
      <c r="I240" s="51">
        <v>53.0</v>
      </c>
      <c r="J240" s="230"/>
      <c r="K240" s="124"/>
    </row>
    <row r="241">
      <c r="A241" s="18"/>
      <c r="B241" s="231"/>
      <c r="C241" s="232" t="str">
        <f t="array" ref="C241">XLOOKUP(B241, Chr!$B$5:$B$19, Chr!$E$5:$E$19, "")</f>
        <v/>
      </c>
      <c r="D241" s="51"/>
      <c r="E241" s="51">
        <v>10.0</v>
      </c>
      <c r="F241" s="244">
        <f t="array" ref="F241">IF($B$232="", "", XLOOKUP($B$232, Chr!$B$3:$B$17, Chr!$F$3:$F$17, ""))</f>
        <v>8</v>
      </c>
      <c r="G241" s="51">
        <v>146.0</v>
      </c>
      <c r="H241" s="51">
        <f t="array" ref="H241">IF($B$232="", "", XLOOKUP($B$232, Chr!$B$3:$B$17, Chr!$G$3:$G$17, ""))</f>
        <v>3</v>
      </c>
      <c r="I241" s="51">
        <v>56.0</v>
      </c>
      <c r="J241" s="234"/>
      <c r="K241" s="124"/>
    </row>
    <row r="242">
      <c r="A242" s="18"/>
      <c r="B242" s="231"/>
      <c r="C242" s="232" t="str">
        <f t="array" ref="C242">XLOOKUP(B242, Chr!$B$5:$B$19, Chr!$E$5:$E$19, "")</f>
        <v/>
      </c>
      <c r="D242" s="51">
        <v>1.0</v>
      </c>
      <c r="E242" s="51" t="s">
        <v>349</v>
      </c>
      <c r="F242" s="250">
        <v>8.0</v>
      </c>
      <c r="G242" s="51">
        <v>154.0</v>
      </c>
      <c r="H242" s="51">
        <f t="array" ref="H242">IF($B$232="", "", XLOOKUP($B$232, Chr!$B$3:$B$17, Chr!$G$3:$G$17, ""))</f>
        <v>3</v>
      </c>
      <c r="I242" s="51">
        <v>59.0</v>
      </c>
      <c r="J242" s="211" t="s">
        <v>411</v>
      </c>
      <c r="K242" s="124"/>
    </row>
    <row r="243">
      <c r="A243" s="18"/>
      <c r="B243" s="231"/>
      <c r="C243" s="232" t="str">
        <f t="array" ref="C243">XLOOKUP(B243, Chr!$B$5:$B$19, Chr!$E$5:$E$19, "")</f>
        <v/>
      </c>
      <c r="D243" s="51"/>
      <c r="E243" s="51">
        <v>11.0</v>
      </c>
      <c r="F243" s="244">
        <f t="array" ref="F243">IF($B$232="", "", XLOOKUP($B$232, Chr!$B$3:$B$17, Chr!$F$3:$F$17, ""))</f>
        <v>8</v>
      </c>
      <c r="G243" s="51">
        <v>162.0</v>
      </c>
      <c r="H243" s="51">
        <f t="array" ref="H243">IF($B$232="", "", XLOOKUP($B$232, Chr!$B$3:$B$17, Chr!$G$3:$G$17, ""))</f>
        <v>3</v>
      </c>
      <c r="I243" s="51">
        <v>62.0</v>
      </c>
      <c r="J243" s="235"/>
      <c r="K243" s="124"/>
    </row>
    <row r="244">
      <c r="A244" s="18"/>
      <c r="B244" s="231"/>
      <c r="C244" s="232" t="str">
        <f t="array" ref="C244">XLOOKUP(B244, Chr!$B$5:$B$19, Chr!$E$5:$E$19, "")</f>
        <v/>
      </c>
      <c r="D244" s="51"/>
      <c r="E244" s="51">
        <v>12.0</v>
      </c>
      <c r="F244" s="244">
        <f t="array" ref="F244">IF($B$232="", "", XLOOKUP($B$232, Chr!$B$3:$B$17, Chr!$F$3:$F$17, ""))</f>
        <v>8</v>
      </c>
      <c r="G244" s="51">
        <v>170.0</v>
      </c>
      <c r="H244" s="51">
        <f t="array" ref="H244">IF($B$232="", "", XLOOKUP($B$232, Chr!$B$3:$B$17, Chr!$G$3:$G$17, ""))</f>
        <v>3</v>
      </c>
      <c r="I244" s="51">
        <v>65.0</v>
      </c>
      <c r="J244" s="230"/>
      <c r="K244" s="124"/>
    </row>
    <row r="245">
      <c r="A245" s="18"/>
      <c r="B245" s="231"/>
      <c r="C245" s="232" t="str">
        <f t="array" ref="C245">XLOOKUP(B245, Chr!$B$5:$B$19, Chr!$E$5:$E$19, "")</f>
        <v/>
      </c>
      <c r="D245" s="51"/>
      <c r="E245" s="51">
        <v>13.0</v>
      </c>
      <c r="F245" s="244">
        <f t="array" ref="F245">IF($B$232="", "", XLOOKUP($B$232, Chr!$B$3:$B$17, Chr!$F$3:$F$17, ""))</f>
        <v>8</v>
      </c>
      <c r="G245" s="51">
        <v>178.0</v>
      </c>
      <c r="H245" s="51">
        <f t="array" ref="H245">IF($B$232="", "", XLOOKUP($B$232, Chr!$B$3:$B$17, Chr!$G$3:$G$17, ""))</f>
        <v>3</v>
      </c>
      <c r="I245" s="51">
        <v>68.0</v>
      </c>
      <c r="J245" s="230"/>
      <c r="K245" s="124"/>
    </row>
    <row r="246">
      <c r="A246" s="18"/>
      <c r="B246" s="231"/>
      <c r="C246" s="232" t="str">
        <f t="array" ref="C246">XLOOKUP(B246, Chr!$B$5:$B$19, Chr!$E$5:$E$19, "")</f>
        <v/>
      </c>
      <c r="D246" s="51"/>
      <c r="E246" s="51">
        <v>14.0</v>
      </c>
      <c r="F246" s="244">
        <f t="array" ref="F246">IF($B$232="", "", XLOOKUP($B$232, Chr!$B$3:$B$17, Chr!$F$3:$F$17, ""))</f>
        <v>8</v>
      </c>
      <c r="G246" s="51">
        <v>186.0</v>
      </c>
      <c r="H246" s="51">
        <f t="array" ref="H246">IF($B$232="", "", XLOOKUP($B$232, Chr!$B$3:$B$17, Chr!$G$3:$G$17, ""))</f>
        <v>3</v>
      </c>
      <c r="I246" s="51">
        <v>71.0</v>
      </c>
      <c r="J246" s="238"/>
      <c r="K246" s="124"/>
    </row>
    <row r="247">
      <c r="A247" s="18"/>
      <c r="B247" s="231"/>
      <c r="C247" s="232" t="str">
        <f t="array" ref="C247">XLOOKUP(B247, Chr!$B$5:$B$19, Chr!$E$5:$E$19, "")</f>
        <v/>
      </c>
      <c r="D247" s="51"/>
      <c r="E247" s="51">
        <v>15.0</v>
      </c>
      <c r="F247" s="244">
        <f t="array" ref="F247">IF($B$232="", "", XLOOKUP($B$232, Chr!$B$3:$B$17, Chr!$F$3:$F$17, ""))</f>
        <v>8</v>
      </c>
      <c r="G247" s="51">
        <v>194.0</v>
      </c>
      <c r="H247" s="51">
        <f t="array" ref="H247">IF($B$232="", "", XLOOKUP($B$232, Chr!$B$3:$B$17, Chr!$G$3:$G$17, ""))</f>
        <v>3</v>
      </c>
      <c r="I247" s="51">
        <v>74.0</v>
      </c>
      <c r="J247" s="247" t="s">
        <v>412</v>
      </c>
      <c r="K247" s="124"/>
    </row>
    <row r="248">
      <c r="A248" s="18"/>
      <c r="B248" s="231"/>
      <c r="C248" s="232" t="str">
        <f t="array" ref="C248">XLOOKUP(B248, Chr!$B$5:$B$19, Chr!$E$5:$E$19, "")</f>
        <v/>
      </c>
      <c r="D248" s="51"/>
      <c r="E248" s="51">
        <v>16.0</v>
      </c>
      <c r="F248" s="244">
        <f t="array" ref="F248">IF($B$232="", "", XLOOKUP($B$232, Chr!$B$3:$B$17, Chr!$F$3:$F$17, ""))</f>
        <v>8</v>
      </c>
      <c r="G248" s="51">
        <v>202.0</v>
      </c>
      <c r="H248" s="51">
        <f t="array" ref="H248">IF($B$232="", "", XLOOKUP($B$232, Chr!$B$3:$B$17, Chr!$G$3:$G$17, ""))</f>
        <v>3</v>
      </c>
      <c r="I248" s="51">
        <v>77.0</v>
      </c>
      <c r="J248" s="235"/>
      <c r="K248" s="124"/>
    </row>
    <row r="249">
      <c r="A249" s="18"/>
      <c r="B249" s="231"/>
      <c r="C249" s="232" t="str">
        <f t="array" ref="C249">XLOOKUP(B249, Chr!$B$5:$B$19, Chr!$E$5:$E$19, "")</f>
        <v/>
      </c>
      <c r="D249" s="51"/>
      <c r="E249" s="51">
        <v>17.0</v>
      </c>
      <c r="F249" s="244">
        <f t="array" ref="F249">IF($B$232="", "", XLOOKUP($B$232, Chr!$B$3:$B$17, Chr!$F$3:$F$17, ""))</f>
        <v>8</v>
      </c>
      <c r="G249" s="51">
        <v>210.0</v>
      </c>
      <c r="H249" s="51">
        <f t="array" ref="H249">IF($B$232="", "", XLOOKUP($B$232, Chr!$B$3:$B$17, Chr!$G$3:$G$17, ""))</f>
        <v>3</v>
      </c>
      <c r="I249" s="51">
        <v>80.0</v>
      </c>
      <c r="J249" s="230"/>
      <c r="K249" s="124"/>
    </row>
    <row r="250">
      <c r="A250" s="18"/>
      <c r="B250" s="231"/>
      <c r="C250" s="232" t="str">
        <f t="array" ref="C250">XLOOKUP(B250, Chr!$B$5:$B$19, Chr!$E$5:$E$19, "")</f>
        <v/>
      </c>
      <c r="D250" s="51"/>
      <c r="E250" s="51">
        <v>18.0</v>
      </c>
      <c r="F250" s="244">
        <f t="array" ref="F250">IF($B$232="", "", XLOOKUP($B$232, Chr!$B$3:$B$17, Chr!$F$3:$F$17, ""))</f>
        <v>8</v>
      </c>
      <c r="G250" s="51">
        <v>218.0</v>
      </c>
      <c r="H250" s="51">
        <f t="array" ref="H250">IF($B$232="", "", XLOOKUP($B$232, Chr!$B$3:$B$17, Chr!$G$3:$G$17, ""))</f>
        <v>3</v>
      </c>
      <c r="I250" s="51">
        <v>83.0</v>
      </c>
      <c r="J250" s="230"/>
      <c r="K250" s="124"/>
    </row>
    <row r="251">
      <c r="A251" s="18"/>
      <c r="B251" s="231"/>
      <c r="C251" s="232" t="str">
        <f t="array" ref="C251">XLOOKUP(B251, Chr!$B$5:$B$19, Chr!$E$5:$E$19, "")</f>
        <v/>
      </c>
      <c r="D251" s="51"/>
      <c r="E251" s="51">
        <v>19.0</v>
      </c>
      <c r="F251" s="244">
        <f t="array" ref="F251">IF($B$232="", "", XLOOKUP($B$232, Chr!$B$3:$B$17, Chr!$F$3:$F$17, ""))</f>
        <v>8</v>
      </c>
      <c r="G251" s="51">
        <v>226.0</v>
      </c>
      <c r="H251" s="51">
        <f t="array" ref="H251">IF($B$232="", "", XLOOKUP($B$232, Chr!$B$3:$B$17, Chr!$G$3:$G$17, ""))</f>
        <v>3</v>
      </c>
      <c r="I251" s="51">
        <v>86.0</v>
      </c>
      <c r="J251" s="230"/>
      <c r="K251" s="124"/>
    </row>
    <row r="252">
      <c r="A252" s="18"/>
      <c r="B252" s="231"/>
      <c r="C252" s="232" t="str">
        <f t="array" ref="C252">XLOOKUP(B252, Chr!$B$5:$B$19, Chr!$E$5:$E$19, "")</f>
        <v/>
      </c>
      <c r="D252" s="51"/>
      <c r="E252" s="51">
        <v>20.0</v>
      </c>
      <c r="F252" s="244">
        <f t="array" ref="F252">IF($B$232="", "", XLOOKUP($B$232, Chr!$B$3:$B$17, Chr!$F$3:$F$17, ""))</f>
        <v>8</v>
      </c>
      <c r="G252" s="51">
        <v>234.0</v>
      </c>
      <c r="H252" s="51">
        <f t="array" ref="H252">IF($B$232="", "", XLOOKUP($B$232, Chr!$B$3:$B$17, Chr!$G$3:$G$17, ""))</f>
        <v>3</v>
      </c>
      <c r="I252" s="51">
        <v>89.0</v>
      </c>
      <c r="J252" s="234"/>
      <c r="K252" s="124"/>
    </row>
    <row r="253">
      <c r="A253" s="18"/>
      <c r="B253" s="231"/>
      <c r="C253" s="232" t="str">
        <f t="array" ref="C253">XLOOKUP(B253, Chr!$B$5:$B$19, Chr!$E$5:$E$19, "")</f>
        <v/>
      </c>
      <c r="D253" s="51">
        <v>2.0</v>
      </c>
      <c r="E253" s="51" t="s">
        <v>349</v>
      </c>
      <c r="F253" s="244">
        <f t="array" ref="F253">IF($B$232="", "", XLOOKUP($B$232, Chr!$B$3:$B$17, Chr!$F$3:$F$17, ""))</f>
        <v>8</v>
      </c>
      <c r="G253" s="51">
        <v>242.0</v>
      </c>
      <c r="H253" s="51">
        <f t="array" ref="H253">IF($B$232="", "", XLOOKUP($B$232, Chr!$B$3:$B$17, Chr!$G$3:$G$17, ""))</f>
        <v>3</v>
      </c>
      <c r="I253" s="51">
        <v>92.0</v>
      </c>
      <c r="J253" s="211" t="s">
        <v>413</v>
      </c>
      <c r="K253" s="124"/>
    </row>
    <row r="254">
      <c r="A254" s="18"/>
      <c r="B254" s="231"/>
      <c r="C254" s="232" t="str">
        <f t="array" ref="C254">XLOOKUP(B254, Chr!$B$5:$B$19, Chr!$E$5:$E$19, "")</f>
        <v/>
      </c>
      <c r="D254" s="51"/>
      <c r="E254" s="51">
        <v>21.0</v>
      </c>
      <c r="F254" s="244">
        <f t="array" ref="F254">IF($B$232="", "", XLOOKUP($B$232, Chr!$B$3:$B$17, Chr!$F$3:$F$17, ""))</f>
        <v>8</v>
      </c>
      <c r="G254" s="51">
        <v>250.0</v>
      </c>
      <c r="H254" s="51">
        <f t="array" ref="H254">IF($B$232="", "", XLOOKUP($B$232, Chr!$B$3:$B$17, Chr!$G$3:$G$17, ""))</f>
        <v>3</v>
      </c>
      <c r="I254" s="51">
        <v>95.0</v>
      </c>
      <c r="J254" s="235"/>
      <c r="K254" s="124"/>
    </row>
    <row r="255">
      <c r="A255" s="18"/>
      <c r="B255" s="231"/>
      <c r="C255" s="232" t="str">
        <f t="array" ref="C255">XLOOKUP(B255, Chr!$B$5:$B$19, Chr!$E$5:$E$19, "")</f>
        <v/>
      </c>
      <c r="D255" s="51"/>
      <c r="E255" s="51">
        <v>22.0</v>
      </c>
      <c r="F255" s="244">
        <f t="array" ref="F255">IF($B$232="", "", XLOOKUP($B$232, Chr!$B$3:$B$17, Chr!$F$3:$F$17, ""))</f>
        <v>8</v>
      </c>
      <c r="G255" s="51">
        <v>258.0</v>
      </c>
      <c r="H255" s="51">
        <f t="array" ref="H255">IF($B$232="", "", XLOOKUP($B$232, Chr!$B$3:$B$17, Chr!$G$3:$G$17, ""))</f>
        <v>3</v>
      </c>
      <c r="I255" s="51">
        <v>98.0</v>
      </c>
      <c r="J255" s="230"/>
      <c r="K255" s="124"/>
    </row>
    <row r="256">
      <c r="A256" s="18"/>
      <c r="B256" s="231"/>
      <c r="C256" s="232" t="str">
        <f t="array" ref="C256">XLOOKUP(B256, Chr!$B$5:$B$19, Chr!$E$5:$E$19, "")</f>
        <v/>
      </c>
      <c r="D256" s="51"/>
      <c r="E256" s="51">
        <v>23.0</v>
      </c>
      <c r="F256" s="244">
        <f t="array" ref="F256">IF($B$232="", "", XLOOKUP($B$232, Chr!$B$3:$B$17, Chr!$F$3:$F$17, ""))</f>
        <v>8</v>
      </c>
      <c r="G256" s="51">
        <v>266.0</v>
      </c>
      <c r="H256" s="51">
        <f t="array" ref="H256">IF($B$232="", "", XLOOKUP($B$232, Chr!$B$3:$B$17, Chr!$G$3:$G$17, ""))</f>
        <v>3</v>
      </c>
      <c r="I256" s="51">
        <v>101.0</v>
      </c>
      <c r="J256" s="237"/>
      <c r="K256" s="124"/>
    </row>
    <row r="257">
      <c r="A257" s="18"/>
      <c r="B257" s="231"/>
      <c r="C257" s="232" t="str">
        <f t="array" ref="C257">XLOOKUP(B257, Chr!$B$5:$B$19, Chr!$E$5:$E$19, "")</f>
        <v/>
      </c>
      <c r="D257" s="51"/>
      <c r="E257" s="51">
        <v>24.0</v>
      </c>
      <c r="F257" s="244">
        <f t="array" ref="F257">IF($B$232="", "", XLOOKUP($B$232, Chr!$B$3:$B$17, Chr!$F$3:$F$17, ""))</f>
        <v>8</v>
      </c>
      <c r="G257" s="51">
        <v>274.0</v>
      </c>
      <c r="H257" s="51">
        <f t="array" ref="H257">IF($B$232="", "", XLOOKUP($B$232, Chr!$B$3:$B$17, Chr!$G$3:$G$17, ""))</f>
        <v>3</v>
      </c>
      <c r="I257" s="51">
        <v>104.0</v>
      </c>
      <c r="J257" s="234"/>
      <c r="K257" s="124"/>
    </row>
    <row r="258">
      <c r="A258" s="18"/>
      <c r="B258" s="231"/>
      <c r="C258" s="232" t="str">
        <f t="array" ref="C258">XLOOKUP(B258, Chr!$B$5:$B$19, Chr!$E$5:$E$19, "")</f>
        <v/>
      </c>
      <c r="D258" s="51"/>
      <c r="E258" s="51">
        <v>25.0</v>
      </c>
      <c r="F258" s="244">
        <f t="array" ref="F258">IF($B$232="", "", XLOOKUP($B$232, Chr!$B$3:$B$17, Chr!$F$3:$F$17, ""))</f>
        <v>8</v>
      </c>
      <c r="G258" s="51">
        <v>282.0</v>
      </c>
      <c r="H258" s="51">
        <f t="array" ref="H258">IF($B$232="", "", XLOOKUP($B$232, Chr!$B$3:$B$17, Chr!$G$3:$G$17, ""))</f>
        <v>3</v>
      </c>
      <c r="I258" s="51">
        <v>107.0</v>
      </c>
      <c r="J258" s="247" t="s">
        <v>414</v>
      </c>
      <c r="K258" s="124"/>
    </row>
    <row r="259">
      <c r="A259" s="18"/>
      <c r="B259" s="231"/>
      <c r="C259" s="232" t="str">
        <f t="array" ref="C259">XLOOKUP(B259, Chr!$B$5:$B$19, Chr!$E$5:$E$19, "")</f>
        <v/>
      </c>
      <c r="D259" s="51"/>
      <c r="E259" s="51">
        <v>26.0</v>
      </c>
      <c r="F259" s="244">
        <f t="array" ref="F259">IF($B$232="", "", XLOOKUP($B$232, Chr!$B$3:$B$17, Chr!$F$3:$F$17, ""))</f>
        <v>8</v>
      </c>
      <c r="G259" s="51">
        <v>290.0</v>
      </c>
      <c r="H259" s="51">
        <f t="array" ref="H259">IF($B$232="", "", XLOOKUP($B$232, Chr!$B$3:$B$17, Chr!$G$3:$G$17, ""))</f>
        <v>3</v>
      </c>
      <c r="I259" s="51">
        <v>110.0</v>
      </c>
      <c r="J259" s="235"/>
      <c r="K259" s="124"/>
    </row>
    <row r="260">
      <c r="A260" s="18"/>
      <c r="B260" s="231"/>
      <c r="C260" s="232" t="str">
        <f t="array" ref="C260">XLOOKUP(B260, Chr!$B$5:$B$19, Chr!$E$5:$E$19, "")</f>
        <v/>
      </c>
      <c r="D260" s="51"/>
      <c r="E260" s="51">
        <v>27.0</v>
      </c>
      <c r="F260" s="244">
        <f t="array" ref="F260">IF($B$232="", "", XLOOKUP($B$232, Chr!$B$3:$B$17, Chr!$F$3:$F$17, ""))</f>
        <v>8</v>
      </c>
      <c r="G260" s="51">
        <v>298.0</v>
      </c>
      <c r="H260" s="51">
        <f t="array" ref="H260">IF($B$232="", "", XLOOKUP($B$232, Chr!$B$3:$B$17, Chr!$G$3:$G$17, ""))</f>
        <v>3</v>
      </c>
      <c r="I260" s="51">
        <v>113.0</v>
      </c>
      <c r="J260" s="230"/>
      <c r="K260" s="124"/>
    </row>
    <row r="261">
      <c r="A261" s="18"/>
      <c r="B261" s="231"/>
      <c r="C261" s="232" t="str">
        <f t="array" ref="C261">XLOOKUP(B261, Chr!$B$5:$B$19, Chr!$E$5:$E$19, "")</f>
        <v/>
      </c>
      <c r="D261" s="51"/>
      <c r="E261" s="51">
        <v>28.0</v>
      </c>
      <c r="F261" s="244">
        <f t="array" ref="F261">IF($B$232="", "", XLOOKUP($B$232, Chr!$B$3:$B$17, Chr!$F$3:$F$17, ""))</f>
        <v>8</v>
      </c>
      <c r="G261" s="51">
        <v>306.0</v>
      </c>
      <c r="H261" s="51">
        <f t="array" ref="H261">IF($B$232="", "", XLOOKUP($B$232, Chr!$B$3:$B$17, Chr!$G$3:$G$17, ""))</f>
        <v>3</v>
      </c>
      <c r="I261" s="51">
        <v>116.0</v>
      </c>
      <c r="J261" s="230"/>
      <c r="K261" s="124"/>
    </row>
    <row r="262">
      <c r="A262" s="18"/>
      <c r="B262" s="231"/>
      <c r="C262" s="232" t="str">
        <f t="array" ref="C262">XLOOKUP(B262, Chr!$B$5:$B$19, Chr!$E$5:$E$19, "")</f>
        <v/>
      </c>
      <c r="D262" s="51"/>
      <c r="E262" s="51">
        <v>29.0</v>
      </c>
      <c r="F262" s="244">
        <f t="array" ref="F262">IF($B$232="", "", XLOOKUP($B$232, Chr!$B$3:$B$17, Chr!$F$3:$F$17, ""))</f>
        <v>8</v>
      </c>
      <c r="G262" s="51">
        <v>314.0</v>
      </c>
      <c r="H262" s="51">
        <f t="array" ref="H262">IF($B$232="", "", XLOOKUP($B$232, Chr!$B$3:$B$17, Chr!$G$3:$G$17, ""))</f>
        <v>3</v>
      </c>
      <c r="I262" s="51">
        <v>119.0</v>
      </c>
      <c r="J262" s="230"/>
      <c r="K262" s="124"/>
    </row>
    <row r="263">
      <c r="A263" s="18"/>
      <c r="B263" s="231"/>
      <c r="C263" s="232" t="str">
        <f t="array" ref="C263">XLOOKUP(B263, Chr!$B$5:$B$19, Chr!$E$5:$E$19, "")</f>
        <v/>
      </c>
      <c r="D263" s="51"/>
      <c r="E263" s="51">
        <v>30.0</v>
      </c>
      <c r="F263" s="244">
        <f t="array" ref="F263">IF($B$232="", "", XLOOKUP($B$232, Chr!$B$3:$B$17, Chr!$F$3:$F$17, ""))</f>
        <v>8</v>
      </c>
      <c r="G263" s="51">
        <v>322.0</v>
      </c>
      <c r="H263" s="51">
        <f t="array" ref="H263">IF($B$232="", "", XLOOKUP($B$232, Chr!$B$3:$B$17, Chr!$G$3:$G$17, ""))</f>
        <v>3</v>
      </c>
      <c r="I263" s="51">
        <v>122.0</v>
      </c>
      <c r="J263" s="234"/>
      <c r="K263" s="124"/>
    </row>
    <row r="264">
      <c r="A264" s="18"/>
      <c r="B264" s="231"/>
      <c r="C264" s="232" t="str">
        <f t="array" ref="C264">XLOOKUP(B264, Chr!$B$5:$B$19, Chr!$E$5:$E$19, "")</f>
        <v/>
      </c>
      <c r="D264" s="51">
        <v>3.0</v>
      </c>
      <c r="E264" s="51" t="s">
        <v>349</v>
      </c>
      <c r="F264" s="244">
        <f t="array" ref="F264">IF($B$232="", "", XLOOKUP($B$232, Chr!$B$3:$B$17, Chr!$F$3:$F$17, ""))</f>
        <v>8</v>
      </c>
      <c r="G264" s="51">
        <v>330.0</v>
      </c>
      <c r="H264" s="51">
        <f t="array" ref="H264">IF($B$232="", "", XLOOKUP($B$232, Chr!$B$3:$B$17, Chr!$G$3:$G$17, ""))</f>
        <v>3</v>
      </c>
      <c r="I264" s="51">
        <v>125.0</v>
      </c>
      <c r="J264" s="211" t="s">
        <v>415</v>
      </c>
      <c r="K264" s="124"/>
    </row>
    <row r="265">
      <c r="A265" s="18"/>
      <c r="B265" s="231"/>
      <c r="C265" s="232" t="str">
        <f t="array" ref="C265">XLOOKUP(B265, Chr!$B$5:$B$19, Chr!$E$5:$E$19, "")</f>
        <v/>
      </c>
      <c r="D265" s="51"/>
      <c r="E265" s="51">
        <v>31.0</v>
      </c>
      <c r="F265" s="244">
        <f t="array" ref="F265">IF($B$232="", "", XLOOKUP($B$232, Chr!$B$3:$B$17, Chr!$F$3:$F$17, ""))</f>
        <v>8</v>
      </c>
      <c r="G265" s="51">
        <v>338.0</v>
      </c>
      <c r="H265" s="51">
        <f t="array" ref="H265">IF($B$232="", "", XLOOKUP($B$232, Chr!$B$3:$B$17, Chr!$G$3:$G$17, ""))</f>
        <v>3</v>
      </c>
      <c r="I265" s="51">
        <v>128.0</v>
      </c>
      <c r="J265" s="235"/>
      <c r="K265" s="124"/>
    </row>
    <row r="266">
      <c r="A266" s="18"/>
      <c r="B266" s="231"/>
      <c r="C266" s="232" t="str">
        <f t="array" ref="C266">XLOOKUP(B266, Chr!$B$5:$B$19, Chr!$E$5:$E$19, "")</f>
        <v/>
      </c>
      <c r="D266" s="51"/>
      <c r="E266" s="51">
        <v>32.0</v>
      </c>
      <c r="F266" s="244">
        <f t="array" ref="F266">IF($B$232="", "", XLOOKUP($B$232, Chr!$B$3:$B$17, Chr!$F$3:$F$17, ""))</f>
        <v>8</v>
      </c>
      <c r="G266" s="51">
        <v>346.0</v>
      </c>
      <c r="H266" s="51">
        <f t="array" ref="H266">IF($B$232="", "", XLOOKUP($B$232, Chr!$B$3:$B$17, Chr!$G$3:$G$17, ""))</f>
        <v>3</v>
      </c>
      <c r="I266" s="51">
        <v>131.0</v>
      </c>
      <c r="J266" s="230"/>
      <c r="K266" s="124"/>
    </row>
    <row r="267">
      <c r="A267" s="18"/>
      <c r="B267" s="231"/>
      <c r="C267" s="232" t="str">
        <f t="array" ref="C267">XLOOKUP(B267, Chr!$B$5:$B$19, Chr!$E$5:$E$19, "")</f>
        <v/>
      </c>
      <c r="D267" s="51"/>
      <c r="E267" s="51">
        <v>33.0</v>
      </c>
      <c r="F267" s="244">
        <f t="array" ref="F267">IF($B$232="", "", XLOOKUP($B$232, Chr!$B$3:$B$17, Chr!$F$3:$F$17, ""))</f>
        <v>8</v>
      </c>
      <c r="G267" s="51">
        <v>354.0</v>
      </c>
      <c r="H267" s="51">
        <f t="array" ref="H267">IF($B$232="", "", XLOOKUP($B$232, Chr!$B$3:$B$17, Chr!$G$3:$G$17, ""))</f>
        <v>3</v>
      </c>
      <c r="I267" s="51">
        <v>134.0</v>
      </c>
      <c r="J267" s="230"/>
      <c r="K267" s="124"/>
    </row>
    <row r="268">
      <c r="A268" s="18"/>
      <c r="B268" s="231"/>
      <c r="C268" s="232" t="str">
        <f t="array" ref="C268">XLOOKUP(B268, Chr!$B$5:$B$19, Chr!$E$5:$E$19, "")</f>
        <v/>
      </c>
      <c r="D268" s="51"/>
      <c r="E268" s="51">
        <v>34.0</v>
      </c>
      <c r="F268" s="244">
        <f t="array" ref="F268">IF($B$232="", "", XLOOKUP($B$232, Chr!$B$3:$B$17, Chr!$F$3:$F$17, ""))</f>
        <v>8</v>
      </c>
      <c r="G268" s="51">
        <v>362.0</v>
      </c>
      <c r="H268" s="51">
        <f t="array" ref="H268">IF($B$232="", "", XLOOKUP($B$232, Chr!$B$3:$B$17, Chr!$G$3:$G$17, ""))</f>
        <v>3</v>
      </c>
      <c r="I268" s="51">
        <v>137.0</v>
      </c>
      <c r="J268" s="234"/>
      <c r="K268" s="124"/>
    </row>
    <row r="269">
      <c r="A269" s="18"/>
      <c r="B269" s="231"/>
      <c r="C269" s="232" t="str">
        <f t="array" ref="C269">XLOOKUP(B269, Chr!$B$5:$B$19, Chr!$E$5:$E$19, "")</f>
        <v/>
      </c>
      <c r="D269" s="51"/>
      <c r="E269" s="51">
        <v>35.0</v>
      </c>
      <c r="F269" s="244">
        <f t="array" ref="F269">IF($B$232="", "", XLOOKUP($B$232, Chr!$B$3:$B$17, Chr!$F$3:$F$17, ""))</f>
        <v>8</v>
      </c>
      <c r="G269" s="51">
        <v>370.0</v>
      </c>
      <c r="H269" s="51">
        <f t="array" ref="H269">IF($B$232="", "", XLOOKUP($B$232, Chr!$B$3:$B$17, Chr!$G$3:$G$17, ""))</f>
        <v>3</v>
      </c>
      <c r="I269" s="51">
        <v>140.0</v>
      </c>
      <c r="J269" s="211" t="s">
        <v>416</v>
      </c>
      <c r="K269" s="124"/>
    </row>
    <row r="270">
      <c r="A270" s="18"/>
      <c r="B270" s="231"/>
      <c r="C270" s="232" t="str">
        <f t="array" ref="C270">XLOOKUP(B270, Chr!$B$5:$B$19, Chr!$E$5:$E$19, "")</f>
        <v/>
      </c>
      <c r="D270" s="51"/>
      <c r="E270" s="51">
        <v>36.0</v>
      </c>
      <c r="F270" s="244">
        <f t="array" ref="F270">IF($B$232="", "", XLOOKUP($B$232, Chr!$B$3:$B$17, Chr!$F$3:$F$17, ""))</f>
        <v>8</v>
      </c>
      <c r="G270" s="51">
        <v>378.0</v>
      </c>
      <c r="H270" s="51">
        <f t="array" ref="H270">IF($B$232="", "", XLOOKUP($B$232, Chr!$B$3:$B$17, Chr!$G$3:$G$17, ""))</f>
        <v>3</v>
      </c>
      <c r="I270" s="51">
        <v>143.0</v>
      </c>
      <c r="J270" s="235"/>
      <c r="K270" s="124"/>
    </row>
    <row r="271">
      <c r="A271" s="18"/>
      <c r="B271" s="231"/>
      <c r="C271" s="232" t="str">
        <f t="array" ref="C271">XLOOKUP(B271, Chr!$B$5:$B$19, Chr!$E$5:$E$19, "")</f>
        <v/>
      </c>
      <c r="D271" s="51"/>
      <c r="E271" s="51">
        <v>37.0</v>
      </c>
      <c r="F271" s="244">
        <f t="array" ref="F271">IF($B$232="", "", XLOOKUP($B$232, Chr!$B$3:$B$17, Chr!$F$3:$F$17, ""))</f>
        <v>8</v>
      </c>
      <c r="G271" s="51">
        <v>386.0</v>
      </c>
      <c r="H271" s="51">
        <f t="array" ref="H271">IF($B$232="", "", XLOOKUP($B$232, Chr!$B$3:$B$17, Chr!$G$3:$G$17, ""))</f>
        <v>3</v>
      </c>
      <c r="I271" s="51">
        <v>146.0</v>
      </c>
      <c r="J271" s="230"/>
      <c r="K271" s="124"/>
    </row>
    <row r="272">
      <c r="A272" s="18"/>
      <c r="B272" s="231"/>
      <c r="C272" s="232" t="str">
        <f t="array" ref="C272">XLOOKUP(B272, Chr!$B$5:$B$19, Chr!$E$5:$E$19, "")</f>
        <v/>
      </c>
      <c r="D272" s="51"/>
      <c r="E272" s="51">
        <v>38.0</v>
      </c>
      <c r="F272" s="244">
        <f t="array" ref="F272">IF($B$232="", "", XLOOKUP($B$232, Chr!$B$3:$B$17, Chr!$F$3:$F$17, ""))</f>
        <v>8</v>
      </c>
      <c r="G272" s="51">
        <v>394.0</v>
      </c>
      <c r="H272" s="51">
        <f t="array" ref="H272">IF($B$232="", "", XLOOKUP($B$232, Chr!$B$3:$B$17, Chr!$G$3:$G$17, ""))</f>
        <v>3</v>
      </c>
      <c r="I272" s="51">
        <v>149.0</v>
      </c>
      <c r="J272" s="230"/>
      <c r="K272" s="124"/>
    </row>
    <row r="273">
      <c r="A273" s="18"/>
      <c r="B273" s="231"/>
      <c r="C273" s="232" t="str">
        <f t="array" ref="C273">XLOOKUP(B273, Chr!$B$5:$B$19, Chr!$E$5:$E$19, "")</f>
        <v/>
      </c>
      <c r="D273" s="51"/>
      <c r="E273" s="51">
        <v>39.0</v>
      </c>
      <c r="F273" s="244">
        <f t="array" ref="F273">IF($B$232="", "", XLOOKUP($B$232, Chr!$B$3:$B$17, Chr!$F$3:$F$17, ""))</f>
        <v>8</v>
      </c>
      <c r="G273" s="51">
        <v>402.0</v>
      </c>
      <c r="H273" s="51">
        <f t="array" ref="H273">IF($B$232="", "", XLOOKUP($B$232, Chr!$B$3:$B$17, Chr!$G$3:$G$17, ""))</f>
        <v>3</v>
      </c>
      <c r="I273" s="51">
        <v>152.0</v>
      </c>
      <c r="J273" s="230"/>
      <c r="K273" s="124"/>
    </row>
    <row r="274">
      <c r="A274" s="18"/>
      <c r="B274" s="231"/>
      <c r="C274" s="232" t="str">
        <f t="array" ref="C274">XLOOKUP(B274, Chr!$B$5:$B$19, Chr!$E$5:$E$19, "")</f>
        <v/>
      </c>
      <c r="D274" s="51"/>
      <c r="E274" s="51">
        <v>40.0</v>
      </c>
      <c r="F274" s="244">
        <f t="array" ref="F274">IF($B$232="", "", XLOOKUP($B$232, Chr!$B$3:$B$17, Chr!$F$3:$F$17, ""))</f>
        <v>8</v>
      </c>
      <c r="G274" s="51">
        <v>410.0</v>
      </c>
      <c r="H274" s="51">
        <f t="array" ref="H274">IF($B$232="", "", XLOOKUP($B$232, Chr!$B$3:$B$17, Chr!$G$3:$G$17, ""))</f>
        <v>3</v>
      </c>
      <c r="I274" s="51">
        <v>155.0</v>
      </c>
      <c r="J274" s="234"/>
      <c r="K274" s="124"/>
    </row>
    <row r="275">
      <c r="A275" s="18"/>
      <c r="B275" s="252"/>
      <c r="C275" s="253" t="str">
        <f t="array" ref="C275">XLOOKUP(B275, Chr!$B$5:$B$19, Chr!$E$5:$E$19, "")</f>
        <v/>
      </c>
      <c r="D275" s="51">
        <v>4.0</v>
      </c>
      <c r="E275" s="51" t="s">
        <v>349</v>
      </c>
      <c r="F275" s="244">
        <f t="array" ref="F275">IF($B$232="", "", XLOOKUP($B$232, Chr!$B$3:$B$17, Chr!$F$3:$F$17, ""))</f>
        <v>8</v>
      </c>
      <c r="G275" s="51">
        <v>418.0</v>
      </c>
      <c r="H275" s="51">
        <f t="array" ref="H275">IF($B$232="", "", XLOOKUP($B$232, Chr!$B$3:$B$17, Chr!$G$3:$G$17, ""))</f>
        <v>3</v>
      </c>
      <c r="I275" s="51">
        <v>158.0</v>
      </c>
      <c r="J275" s="211" t="s">
        <v>417</v>
      </c>
      <c r="K275" s="124"/>
    </row>
    <row r="276">
      <c r="A276" s="41"/>
      <c r="B276" s="242"/>
      <c r="C276" s="131"/>
      <c r="D276" s="131"/>
      <c r="E276" s="131"/>
      <c r="F276" s="131"/>
      <c r="G276" s="131"/>
      <c r="H276" s="131"/>
      <c r="I276" s="131"/>
      <c r="J276" s="131"/>
      <c r="K276" s="41"/>
    </row>
    <row r="277">
      <c r="A277" s="18"/>
      <c r="B277" s="203">
        <v>1007.0</v>
      </c>
      <c r="C277" s="77" t="str">
        <f t="array" ref="C277">XLOOKUP(B277, Chr!$B$5:$B$19, Chr!$E$5:$E$19, "")</f>
        <v>야만인</v>
      </c>
      <c r="D277" s="51">
        <v>0.0</v>
      </c>
      <c r="E277" s="51">
        <v>1.0</v>
      </c>
      <c r="F277" s="51">
        <v>8.0</v>
      </c>
      <c r="G277" s="51">
        <v>80.0</v>
      </c>
      <c r="H277" s="51">
        <v>3.0</v>
      </c>
      <c r="I277" s="51">
        <v>27.0</v>
      </c>
      <c r="J277" s="235"/>
      <c r="K277" s="124"/>
    </row>
    <row r="278">
      <c r="A278" s="18"/>
      <c r="B278" s="228"/>
      <c r="C278" s="229"/>
      <c r="D278" s="51"/>
      <c r="E278" s="51">
        <v>2.0</v>
      </c>
      <c r="F278" s="51">
        <v>8.0</v>
      </c>
      <c r="G278" s="51">
        <v>88.0</v>
      </c>
      <c r="H278" s="51">
        <v>3.0</v>
      </c>
      <c r="I278" s="51">
        <v>30.0</v>
      </c>
      <c r="J278" s="230"/>
      <c r="K278" s="124"/>
    </row>
    <row r="279">
      <c r="A279" s="18"/>
      <c r="B279" s="231"/>
      <c r="C279" s="232" t="str">
        <f t="array" ref="C279">XLOOKUP(B279, Chr!$B$5:$B$19, Chr!$E$5:$E$19, "")</f>
        <v/>
      </c>
      <c r="D279" s="51"/>
      <c r="E279" s="51">
        <v>3.0</v>
      </c>
      <c r="F279" s="51">
        <v>8.0</v>
      </c>
      <c r="G279" s="51">
        <v>96.0</v>
      </c>
      <c r="H279" s="51">
        <v>3.0</v>
      </c>
      <c r="I279" s="51">
        <v>33.0</v>
      </c>
      <c r="J279" s="230"/>
      <c r="K279" s="124"/>
    </row>
    <row r="280">
      <c r="A280" s="18"/>
      <c r="B280" s="231"/>
      <c r="C280" s="232" t="str">
        <f t="array" ref="C280">XLOOKUP(B280, Chr!$B$5:$B$19, Chr!$E$5:$E$19, "")</f>
        <v/>
      </c>
      <c r="D280" s="51"/>
      <c r="E280" s="51">
        <v>4.0</v>
      </c>
      <c r="F280" s="51">
        <v>8.0</v>
      </c>
      <c r="G280" s="51">
        <v>104.0</v>
      </c>
      <c r="H280" s="51">
        <v>3.0</v>
      </c>
      <c r="I280" s="51">
        <v>36.0</v>
      </c>
      <c r="J280" s="230"/>
      <c r="K280" s="124"/>
    </row>
    <row r="281">
      <c r="A281" s="18"/>
      <c r="B281" s="231"/>
      <c r="C281" s="232" t="str">
        <f t="array" ref="C281">XLOOKUP(B281, Chr!$B$5:$B$19, Chr!$E$5:$E$19, "")</f>
        <v/>
      </c>
      <c r="D281" s="51"/>
      <c r="E281" s="51">
        <v>5.0</v>
      </c>
      <c r="F281" s="51">
        <v>8.0</v>
      </c>
      <c r="G281" s="51">
        <v>112.0</v>
      </c>
      <c r="H281" s="51">
        <v>3.0</v>
      </c>
      <c r="I281" s="51">
        <v>39.0</v>
      </c>
      <c r="J281" s="234"/>
      <c r="K281" s="124"/>
    </row>
    <row r="282">
      <c r="A282" s="18"/>
      <c r="B282" s="231"/>
      <c r="C282" s="232" t="str">
        <f t="array" ref="C282">XLOOKUP(B282, Chr!$B$5:$B$19, Chr!$E$5:$E$19, "")</f>
        <v/>
      </c>
      <c r="D282" s="51"/>
      <c r="E282" s="51">
        <v>6.0</v>
      </c>
      <c r="F282" s="51">
        <v>8.0</v>
      </c>
      <c r="G282" s="51">
        <v>120.0</v>
      </c>
      <c r="H282" s="51">
        <v>3.0</v>
      </c>
      <c r="I282" s="51">
        <v>42.0</v>
      </c>
      <c r="J282" s="211" t="s">
        <v>418</v>
      </c>
      <c r="K282" s="124"/>
    </row>
    <row r="283">
      <c r="A283" s="18"/>
      <c r="B283" s="231"/>
      <c r="C283" s="232" t="str">
        <f t="array" ref="C283">XLOOKUP(B283, Chr!$B$5:$B$19, Chr!$E$5:$E$19, "")</f>
        <v/>
      </c>
      <c r="D283" s="51"/>
      <c r="E283" s="51">
        <v>7.0</v>
      </c>
      <c r="F283" s="51">
        <v>8.0</v>
      </c>
      <c r="G283" s="51">
        <v>128.0</v>
      </c>
      <c r="H283" s="51">
        <v>3.0</v>
      </c>
      <c r="I283" s="51">
        <v>45.0</v>
      </c>
      <c r="J283" s="235"/>
      <c r="K283" s="124"/>
    </row>
    <row r="284">
      <c r="A284" s="18"/>
      <c r="B284" s="231"/>
      <c r="C284" s="232" t="str">
        <f t="array" ref="C284">XLOOKUP(B284, Chr!$B$5:$B$19, Chr!$E$5:$E$19, "")</f>
        <v/>
      </c>
      <c r="D284" s="51"/>
      <c r="E284" s="51">
        <v>8.0</v>
      </c>
      <c r="F284" s="51">
        <v>8.0</v>
      </c>
      <c r="G284" s="51">
        <v>136.0</v>
      </c>
      <c r="H284" s="51">
        <v>3.0</v>
      </c>
      <c r="I284" s="51">
        <v>48.0</v>
      </c>
      <c r="J284" s="230"/>
      <c r="K284" s="124"/>
    </row>
    <row r="285">
      <c r="A285" s="18"/>
      <c r="B285" s="231"/>
      <c r="C285" s="232" t="str">
        <f t="array" ref="C285">XLOOKUP(B285, Chr!$B$5:$B$19, Chr!$E$5:$E$19, "")</f>
        <v/>
      </c>
      <c r="D285" s="51"/>
      <c r="E285" s="51">
        <v>9.0</v>
      </c>
      <c r="F285" s="51">
        <v>8.0</v>
      </c>
      <c r="G285" s="51">
        <v>144.0</v>
      </c>
      <c r="H285" s="233">
        <v>2.0</v>
      </c>
      <c r="I285" s="51">
        <v>50.0</v>
      </c>
      <c r="J285" s="230"/>
      <c r="K285" s="124"/>
    </row>
    <row r="286">
      <c r="A286" s="18"/>
      <c r="B286" s="231"/>
      <c r="C286" s="232" t="str">
        <f t="array" ref="C286">XLOOKUP(B286, Chr!$B$5:$B$19, Chr!$E$5:$E$19, "")</f>
        <v/>
      </c>
      <c r="D286" s="51"/>
      <c r="E286" s="51">
        <v>10.0</v>
      </c>
      <c r="F286" s="51">
        <v>8.0</v>
      </c>
      <c r="G286" s="51">
        <v>152.0</v>
      </c>
      <c r="H286" s="51">
        <v>3.0</v>
      </c>
      <c r="I286" s="51">
        <v>53.0</v>
      </c>
      <c r="J286" s="234"/>
      <c r="K286" s="124"/>
    </row>
    <row r="287">
      <c r="A287" s="18"/>
      <c r="B287" s="231"/>
      <c r="C287" s="232" t="str">
        <f t="array" ref="C287">XLOOKUP(B287, Chr!$B$5:$B$19, Chr!$E$5:$E$19, "")</f>
        <v/>
      </c>
      <c r="D287" s="51">
        <v>1.0</v>
      </c>
      <c r="E287" s="51" t="s">
        <v>349</v>
      </c>
      <c r="F287" s="51">
        <v>57.0</v>
      </c>
      <c r="G287" s="51">
        <v>182.0</v>
      </c>
      <c r="H287" s="51">
        <v>12.0</v>
      </c>
      <c r="I287" s="51">
        <v>64.0</v>
      </c>
      <c r="J287" s="211" t="s">
        <v>419</v>
      </c>
      <c r="K287" s="124"/>
    </row>
    <row r="288">
      <c r="A288" s="18"/>
      <c r="B288" s="231"/>
      <c r="C288" s="232" t="str">
        <f t="array" ref="C288">XLOOKUP(B288, Chr!$B$5:$B$19, Chr!$E$5:$E$19, "")</f>
        <v/>
      </c>
      <c r="D288" s="51"/>
      <c r="E288" s="51">
        <v>11.0</v>
      </c>
      <c r="F288" s="51">
        <v>10.0</v>
      </c>
      <c r="G288" s="51">
        <f t="shared" ref="G288:G297" si="12">F288+G287</f>
        <v>192</v>
      </c>
      <c r="H288" s="51">
        <v>3.0</v>
      </c>
      <c r="I288" s="51">
        <f t="shared" ref="I288:I297" si="13">H288+I287</f>
        <v>67</v>
      </c>
      <c r="J288" s="235"/>
      <c r="K288" s="124"/>
    </row>
    <row r="289">
      <c r="A289" s="18"/>
      <c r="B289" s="231"/>
      <c r="C289" s="232" t="str">
        <f t="array" ref="C289">XLOOKUP(B289, Chr!$B$5:$B$19, Chr!$E$5:$E$19, "")</f>
        <v/>
      </c>
      <c r="D289" s="51"/>
      <c r="E289" s="51">
        <v>12.0</v>
      </c>
      <c r="F289" s="51">
        <v>10.0</v>
      </c>
      <c r="G289" s="51">
        <f t="shared" si="12"/>
        <v>202</v>
      </c>
      <c r="H289" s="51">
        <v>4.0</v>
      </c>
      <c r="I289" s="51">
        <f t="shared" si="13"/>
        <v>71</v>
      </c>
      <c r="J289" s="230"/>
      <c r="K289" s="124"/>
    </row>
    <row r="290">
      <c r="A290" s="18"/>
      <c r="B290" s="231"/>
      <c r="C290" s="232" t="str">
        <f t="array" ref="C290">XLOOKUP(B290, Chr!$B$5:$B$19, Chr!$E$5:$E$19, "")</f>
        <v/>
      </c>
      <c r="D290" s="51"/>
      <c r="E290" s="51">
        <v>13.0</v>
      </c>
      <c r="F290" s="51">
        <v>8.0</v>
      </c>
      <c r="G290" s="51">
        <f t="shared" si="12"/>
        <v>210</v>
      </c>
      <c r="H290" s="51">
        <v>3.0</v>
      </c>
      <c r="I290" s="51">
        <f t="shared" si="13"/>
        <v>74</v>
      </c>
      <c r="J290" s="230"/>
      <c r="K290" s="124"/>
    </row>
    <row r="291">
      <c r="A291" s="18"/>
      <c r="B291" s="231"/>
      <c r="C291" s="232" t="str">
        <f t="array" ref="C291">XLOOKUP(B291, Chr!$B$5:$B$19, Chr!$E$5:$E$19, "")</f>
        <v/>
      </c>
      <c r="D291" s="51"/>
      <c r="E291" s="51">
        <v>14.0</v>
      </c>
      <c r="F291" s="51">
        <v>8.0</v>
      </c>
      <c r="G291" s="51">
        <f t="shared" si="12"/>
        <v>218</v>
      </c>
      <c r="H291" s="51">
        <v>3.0</v>
      </c>
      <c r="I291" s="51">
        <f t="shared" si="13"/>
        <v>77</v>
      </c>
      <c r="J291" s="238"/>
      <c r="K291" s="124"/>
    </row>
    <row r="292">
      <c r="A292" s="18"/>
      <c r="B292" s="231"/>
      <c r="C292" s="232" t="str">
        <f t="array" ref="C292">XLOOKUP(B292, Chr!$B$5:$B$19, Chr!$E$5:$E$19, "")</f>
        <v/>
      </c>
      <c r="D292" s="51"/>
      <c r="E292" s="51">
        <v>15.0</v>
      </c>
      <c r="F292" s="51">
        <v>8.0</v>
      </c>
      <c r="G292" s="51">
        <f t="shared" si="12"/>
        <v>226</v>
      </c>
      <c r="H292" s="51">
        <v>3.0</v>
      </c>
      <c r="I292" s="51">
        <f t="shared" si="13"/>
        <v>80</v>
      </c>
      <c r="J292" s="247" t="s">
        <v>420</v>
      </c>
      <c r="K292" s="124"/>
    </row>
    <row r="293">
      <c r="A293" s="18"/>
      <c r="B293" s="231"/>
      <c r="C293" s="232" t="str">
        <f t="array" ref="C293">XLOOKUP(B293, Chr!$B$5:$B$19, Chr!$E$5:$E$19, "")</f>
        <v/>
      </c>
      <c r="D293" s="51"/>
      <c r="E293" s="51">
        <v>16.0</v>
      </c>
      <c r="F293" s="51">
        <v>8.0</v>
      </c>
      <c r="G293" s="51">
        <f t="shared" si="12"/>
        <v>234</v>
      </c>
      <c r="H293" s="51">
        <v>3.0</v>
      </c>
      <c r="I293" s="51">
        <f t="shared" si="13"/>
        <v>83</v>
      </c>
      <c r="J293" s="235"/>
      <c r="K293" s="124"/>
    </row>
    <row r="294">
      <c r="A294" s="18"/>
      <c r="B294" s="231"/>
      <c r="C294" s="232" t="str">
        <f t="array" ref="C294">XLOOKUP(B294, Chr!$B$5:$B$19, Chr!$E$5:$E$19, "")</f>
        <v/>
      </c>
      <c r="D294" s="51"/>
      <c r="E294" s="51">
        <v>17.0</v>
      </c>
      <c r="F294" s="51">
        <v>8.0</v>
      </c>
      <c r="G294" s="51">
        <f t="shared" si="12"/>
        <v>242</v>
      </c>
      <c r="H294" s="51">
        <v>3.0</v>
      </c>
      <c r="I294" s="51">
        <f t="shared" si="13"/>
        <v>86</v>
      </c>
      <c r="J294" s="230"/>
      <c r="K294" s="124"/>
    </row>
    <row r="295">
      <c r="A295" s="18"/>
      <c r="B295" s="231"/>
      <c r="C295" s="232" t="str">
        <f t="array" ref="C295">XLOOKUP(B295, Chr!$B$5:$B$19, Chr!$E$5:$E$19, "")</f>
        <v/>
      </c>
      <c r="D295" s="51"/>
      <c r="E295" s="51">
        <v>18.0</v>
      </c>
      <c r="F295" s="51">
        <v>8.0</v>
      </c>
      <c r="G295" s="51">
        <f t="shared" si="12"/>
        <v>250</v>
      </c>
      <c r="H295" s="51">
        <v>3.0</v>
      </c>
      <c r="I295" s="51">
        <f t="shared" si="13"/>
        <v>89</v>
      </c>
      <c r="J295" s="230"/>
      <c r="K295" s="124"/>
    </row>
    <row r="296">
      <c r="A296" s="18"/>
      <c r="B296" s="231"/>
      <c r="C296" s="232" t="str">
        <f t="array" ref="C296">XLOOKUP(B296, Chr!$B$5:$B$19, Chr!$E$5:$E$19, "")</f>
        <v/>
      </c>
      <c r="D296" s="51"/>
      <c r="E296" s="51">
        <v>19.0</v>
      </c>
      <c r="F296" s="51">
        <v>8.0</v>
      </c>
      <c r="G296" s="51">
        <f t="shared" si="12"/>
        <v>258</v>
      </c>
      <c r="H296" s="51">
        <v>3.0</v>
      </c>
      <c r="I296" s="51">
        <f t="shared" si="13"/>
        <v>92</v>
      </c>
      <c r="J296" s="230"/>
      <c r="K296" s="124"/>
    </row>
    <row r="297">
      <c r="A297" s="18"/>
      <c r="B297" s="231"/>
      <c r="C297" s="232" t="str">
        <f t="array" ref="C297">XLOOKUP(B297, Chr!$B$5:$B$19, Chr!$E$5:$E$19, "")</f>
        <v/>
      </c>
      <c r="D297" s="51"/>
      <c r="E297" s="51">
        <v>20.0</v>
      </c>
      <c r="F297" s="51">
        <v>8.0</v>
      </c>
      <c r="G297" s="51">
        <f t="shared" si="12"/>
        <v>266</v>
      </c>
      <c r="H297" s="51">
        <v>3.0</v>
      </c>
      <c r="I297" s="51">
        <f t="shared" si="13"/>
        <v>95</v>
      </c>
      <c r="J297" s="234"/>
      <c r="K297" s="124"/>
    </row>
    <row r="298">
      <c r="A298" s="18"/>
      <c r="B298" s="231"/>
      <c r="C298" s="232" t="str">
        <f t="array" ref="C298">XLOOKUP(B298, Chr!$B$5:$B$19, Chr!$E$5:$E$19, "")</f>
        <v/>
      </c>
      <c r="D298" s="51">
        <v>2.0</v>
      </c>
      <c r="E298" s="51" t="s">
        <v>349</v>
      </c>
      <c r="F298" s="51">
        <v>57.0</v>
      </c>
      <c r="G298" s="51">
        <v>248.0</v>
      </c>
      <c r="H298" s="51">
        <v>12.0</v>
      </c>
      <c r="I298" s="51">
        <v>90.0</v>
      </c>
      <c r="J298" s="211" t="s">
        <v>421</v>
      </c>
      <c r="K298" s="124"/>
    </row>
    <row r="299">
      <c r="A299" s="18"/>
      <c r="B299" s="231"/>
      <c r="C299" s="232" t="str">
        <f t="array" ref="C299">XLOOKUP(B299, Chr!$B$5:$B$19, Chr!$E$5:$E$19, "")</f>
        <v/>
      </c>
      <c r="D299" s="51"/>
      <c r="E299" s="51">
        <v>21.0</v>
      </c>
      <c r="F299" s="51">
        <v>8.0</v>
      </c>
      <c r="G299" s="51">
        <v>256.0</v>
      </c>
      <c r="H299" s="51">
        <v>3.0</v>
      </c>
      <c r="I299" s="51">
        <v>93.0</v>
      </c>
      <c r="J299" s="235"/>
      <c r="K299" s="124"/>
    </row>
    <row r="300">
      <c r="A300" s="18"/>
      <c r="B300" s="231"/>
      <c r="C300" s="232" t="str">
        <f t="array" ref="C300">XLOOKUP(B300, Chr!$B$5:$B$19, Chr!$E$5:$E$19, "")</f>
        <v/>
      </c>
      <c r="D300" s="51"/>
      <c r="E300" s="51">
        <v>22.0</v>
      </c>
      <c r="F300" s="51">
        <v>8.0</v>
      </c>
      <c r="G300" s="51">
        <v>264.0</v>
      </c>
      <c r="H300" s="51">
        <v>3.0</v>
      </c>
      <c r="I300" s="51">
        <v>96.0</v>
      </c>
      <c r="J300" s="230"/>
      <c r="K300" s="124"/>
    </row>
    <row r="301">
      <c r="A301" s="18"/>
      <c r="B301" s="231"/>
      <c r="C301" s="232" t="str">
        <f t="array" ref="C301">XLOOKUP(B301, Chr!$B$5:$B$19, Chr!$E$5:$E$19, "")</f>
        <v/>
      </c>
      <c r="D301" s="51"/>
      <c r="E301" s="51">
        <v>23.0</v>
      </c>
      <c r="F301" s="51">
        <v>8.0</v>
      </c>
      <c r="G301" s="51">
        <v>272.0</v>
      </c>
      <c r="H301" s="51">
        <v>3.0</v>
      </c>
      <c r="I301" s="51">
        <v>99.0</v>
      </c>
      <c r="J301" s="237"/>
      <c r="K301" s="124"/>
    </row>
    <row r="302">
      <c r="A302" s="18"/>
      <c r="B302" s="231"/>
      <c r="C302" s="232" t="str">
        <f t="array" ref="C302">XLOOKUP(B302, Chr!$B$5:$B$19, Chr!$E$5:$E$19, "")</f>
        <v/>
      </c>
      <c r="D302" s="51"/>
      <c r="E302" s="51">
        <v>24.0</v>
      </c>
      <c r="F302" s="51">
        <v>8.0</v>
      </c>
      <c r="G302" s="51">
        <v>280.0</v>
      </c>
      <c r="H302" s="51">
        <v>3.0</v>
      </c>
      <c r="I302" s="51">
        <v>102.0</v>
      </c>
      <c r="J302" s="234"/>
      <c r="K302" s="124"/>
    </row>
    <row r="303">
      <c r="A303" s="18"/>
      <c r="B303" s="231"/>
      <c r="C303" s="232" t="str">
        <f t="array" ref="C303">XLOOKUP(B303, Chr!$B$5:$B$19, Chr!$E$5:$E$19, "")</f>
        <v/>
      </c>
      <c r="D303" s="51"/>
      <c r="E303" s="51">
        <v>25.0</v>
      </c>
      <c r="F303" s="51">
        <v>8.0</v>
      </c>
      <c r="G303" s="51">
        <v>288.0</v>
      </c>
      <c r="H303" s="51">
        <v>3.0</v>
      </c>
      <c r="I303" s="51">
        <v>105.0</v>
      </c>
      <c r="J303" s="247" t="s">
        <v>422</v>
      </c>
      <c r="K303" s="124"/>
    </row>
    <row r="304">
      <c r="A304" s="18"/>
      <c r="B304" s="231"/>
      <c r="C304" s="232" t="str">
        <f t="array" ref="C304">XLOOKUP(B304, Chr!$B$5:$B$19, Chr!$E$5:$E$19, "")</f>
        <v/>
      </c>
      <c r="D304" s="51"/>
      <c r="E304" s="51">
        <v>26.0</v>
      </c>
      <c r="F304" s="51">
        <v>8.0</v>
      </c>
      <c r="G304" s="51">
        <v>296.0</v>
      </c>
      <c r="H304" s="51">
        <v>3.0</v>
      </c>
      <c r="I304" s="51">
        <v>108.0</v>
      </c>
      <c r="J304" s="235"/>
      <c r="K304" s="124"/>
    </row>
    <row r="305">
      <c r="A305" s="18"/>
      <c r="B305" s="231"/>
      <c r="C305" s="232" t="str">
        <f t="array" ref="C305">XLOOKUP(B305, Chr!$B$5:$B$19, Chr!$E$5:$E$19, "")</f>
        <v/>
      </c>
      <c r="D305" s="51"/>
      <c r="E305" s="51">
        <v>27.0</v>
      </c>
      <c r="F305" s="51">
        <v>8.0</v>
      </c>
      <c r="G305" s="51">
        <v>304.0</v>
      </c>
      <c r="H305" s="51">
        <v>3.0</v>
      </c>
      <c r="I305" s="51">
        <v>111.0</v>
      </c>
      <c r="J305" s="230"/>
      <c r="K305" s="124"/>
    </row>
    <row r="306">
      <c r="A306" s="18"/>
      <c r="B306" s="231"/>
      <c r="C306" s="232" t="str">
        <f t="array" ref="C306">XLOOKUP(B306, Chr!$B$5:$B$19, Chr!$E$5:$E$19, "")</f>
        <v/>
      </c>
      <c r="D306" s="51"/>
      <c r="E306" s="51">
        <v>28.0</v>
      </c>
      <c r="F306" s="51">
        <v>8.0</v>
      </c>
      <c r="G306" s="51">
        <v>312.0</v>
      </c>
      <c r="H306" s="51">
        <v>3.0</v>
      </c>
      <c r="I306" s="51">
        <v>114.0</v>
      </c>
      <c r="J306" s="230"/>
      <c r="K306" s="124"/>
    </row>
    <row r="307">
      <c r="A307" s="18"/>
      <c r="B307" s="231"/>
      <c r="C307" s="232" t="str">
        <f t="array" ref="C307">XLOOKUP(B307, Chr!$B$5:$B$19, Chr!$E$5:$E$19, "")</f>
        <v/>
      </c>
      <c r="D307" s="51"/>
      <c r="E307" s="51">
        <v>29.0</v>
      </c>
      <c r="F307" s="51">
        <v>8.0</v>
      </c>
      <c r="G307" s="51">
        <v>320.0</v>
      </c>
      <c r="H307" s="51">
        <v>3.0</v>
      </c>
      <c r="I307" s="51">
        <v>117.0</v>
      </c>
      <c r="J307" s="230"/>
      <c r="K307" s="124"/>
    </row>
    <row r="308">
      <c r="A308" s="18"/>
      <c r="B308" s="231"/>
      <c r="C308" s="232" t="str">
        <f t="array" ref="C308">XLOOKUP(B308, Chr!$B$5:$B$19, Chr!$E$5:$E$19, "")</f>
        <v/>
      </c>
      <c r="D308" s="51"/>
      <c r="E308" s="51">
        <v>30.0</v>
      </c>
      <c r="F308" s="51">
        <v>8.0</v>
      </c>
      <c r="G308" s="51">
        <v>328.0</v>
      </c>
      <c r="H308" s="51">
        <v>3.0</v>
      </c>
      <c r="I308" s="51">
        <v>120.0</v>
      </c>
      <c r="J308" s="234"/>
      <c r="K308" s="124"/>
    </row>
    <row r="309">
      <c r="A309" s="18"/>
      <c r="B309" s="231"/>
      <c r="C309" s="232" t="str">
        <f t="array" ref="C309">XLOOKUP(B309, Chr!$B$5:$B$19, Chr!$E$5:$E$19, "")</f>
        <v/>
      </c>
      <c r="D309" s="51">
        <v>3.0</v>
      </c>
      <c r="E309" s="51" t="s">
        <v>349</v>
      </c>
      <c r="F309" s="51">
        <v>57.0</v>
      </c>
      <c r="G309" s="51">
        <v>336.0</v>
      </c>
      <c r="H309" s="51">
        <v>12.0</v>
      </c>
      <c r="I309" s="51">
        <v>123.0</v>
      </c>
      <c r="J309" s="211" t="s">
        <v>423</v>
      </c>
      <c r="K309" s="124"/>
    </row>
    <row r="310">
      <c r="A310" s="18"/>
      <c r="B310" s="231"/>
      <c r="C310" s="232" t="str">
        <f t="array" ref="C310">XLOOKUP(B310, Chr!$B$5:$B$19, Chr!$E$5:$E$19, "")</f>
        <v/>
      </c>
      <c r="D310" s="51"/>
      <c r="E310" s="51">
        <v>31.0</v>
      </c>
      <c r="F310" s="51">
        <v>8.0</v>
      </c>
      <c r="G310" s="51">
        <v>344.0</v>
      </c>
      <c r="H310" s="51">
        <v>3.0</v>
      </c>
      <c r="I310" s="51">
        <v>126.0</v>
      </c>
      <c r="J310" s="235"/>
      <c r="K310" s="124"/>
    </row>
    <row r="311">
      <c r="A311" s="18"/>
      <c r="B311" s="231"/>
      <c r="C311" s="232" t="str">
        <f t="array" ref="C311">XLOOKUP(B311, Chr!$B$5:$B$19, Chr!$E$5:$E$19, "")</f>
        <v/>
      </c>
      <c r="D311" s="51"/>
      <c r="E311" s="51">
        <v>32.0</v>
      </c>
      <c r="F311" s="51">
        <v>8.0</v>
      </c>
      <c r="G311" s="51">
        <v>352.0</v>
      </c>
      <c r="H311" s="51">
        <v>3.0</v>
      </c>
      <c r="I311" s="51">
        <v>129.0</v>
      </c>
      <c r="J311" s="230"/>
      <c r="K311" s="124"/>
    </row>
    <row r="312">
      <c r="A312" s="18"/>
      <c r="B312" s="231"/>
      <c r="C312" s="232" t="str">
        <f t="array" ref="C312">XLOOKUP(B312, Chr!$B$5:$B$19, Chr!$E$5:$E$19, "")</f>
        <v/>
      </c>
      <c r="D312" s="51"/>
      <c r="E312" s="51">
        <v>33.0</v>
      </c>
      <c r="F312" s="51">
        <v>8.0</v>
      </c>
      <c r="G312" s="51">
        <v>360.0</v>
      </c>
      <c r="H312" s="51">
        <v>3.0</v>
      </c>
      <c r="I312" s="51">
        <v>132.0</v>
      </c>
      <c r="J312" s="230"/>
      <c r="K312" s="124"/>
    </row>
    <row r="313">
      <c r="A313" s="18"/>
      <c r="B313" s="231"/>
      <c r="C313" s="232" t="str">
        <f t="array" ref="C313">XLOOKUP(B313, Chr!$B$5:$B$19, Chr!$E$5:$E$19, "")</f>
        <v/>
      </c>
      <c r="D313" s="51"/>
      <c r="E313" s="51">
        <v>34.0</v>
      </c>
      <c r="F313" s="51">
        <v>8.0</v>
      </c>
      <c r="G313" s="51">
        <v>368.0</v>
      </c>
      <c r="H313" s="51">
        <v>3.0</v>
      </c>
      <c r="I313" s="51">
        <v>135.0</v>
      </c>
      <c r="J313" s="234"/>
      <c r="K313" s="124"/>
    </row>
    <row r="314">
      <c r="A314" s="18"/>
      <c r="B314" s="231"/>
      <c r="C314" s="232" t="str">
        <f t="array" ref="C314">XLOOKUP(B314, Chr!$B$5:$B$19, Chr!$E$5:$E$19, "")</f>
        <v/>
      </c>
      <c r="D314" s="51"/>
      <c r="E314" s="51">
        <v>35.0</v>
      </c>
      <c r="F314" s="51">
        <v>8.0</v>
      </c>
      <c r="G314" s="51">
        <v>376.0</v>
      </c>
      <c r="H314" s="51">
        <v>3.0</v>
      </c>
      <c r="I314" s="51">
        <v>138.0</v>
      </c>
      <c r="J314" s="211" t="s">
        <v>424</v>
      </c>
      <c r="K314" s="124"/>
    </row>
    <row r="315">
      <c r="A315" s="18"/>
      <c r="B315" s="231"/>
      <c r="C315" s="232" t="str">
        <f t="array" ref="C315">XLOOKUP(B315, Chr!$B$5:$B$19, Chr!$E$5:$E$19, "")</f>
        <v/>
      </c>
      <c r="D315" s="51"/>
      <c r="E315" s="51">
        <v>36.0</v>
      </c>
      <c r="F315" s="51">
        <v>8.0</v>
      </c>
      <c r="G315" s="51">
        <v>384.0</v>
      </c>
      <c r="H315" s="51">
        <v>3.0</v>
      </c>
      <c r="I315" s="51">
        <v>141.0</v>
      </c>
      <c r="J315" s="235"/>
      <c r="K315" s="124"/>
    </row>
    <row r="316">
      <c r="A316" s="18"/>
      <c r="B316" s="231"/>
      <c r="C316" s="232" t="str">
        <f t="array" ref="C316">XLOOKUP(B316, Chr!$B$5:$B$19, Chr!$E$5:$E$19, "")</f>
        <v/>
      </c>
      <c r="D316" s="51"/>
      <c r="E316" s="51">
        <v>37.0</v>
      </c>
      <c r="F316" s="51">
        <v>8.0</v>
      </c>
      <c r="G316" s="51">
        <v>392.0</v>
      </c>
      <c r="H316" s="51">
        <v>3.0</v>
      </c>
      <c r="I316" s="51">
        <v>144.0</v>
      </c>
      <c r="J316" s="230"/>
      <c r="K316" s="124"/>
    </row>
    <row r="317">
      <c r="A317" s="18"/>
      <c r="B317" s="231"/>
      <c r="C317" s="232" t="str">
        <f t="array" ref="C317">XLOOKUP(B317, Chr!$B$5:$B$19, Chr!$E$5:$E$19, "")</f>
        <v/>
      </c>
      <c r="D317" s="51"/>
      <c r="E317" s="51">
        <v>38.0</v>
      </c>
      <c r="F317" s="51">
        <v>8.0</v>
      </c>
      <c r="G317" s="51">
        <v>400.0</v>
      </c>
      <c r="H317" s="51">
        <v>3.0</v>
      </c>
      <c r="I317" s="51">
        <v>147.0</v>
      </c>
      <c r="J317" s="230"/>
      <c r="K317" s="124"/>
    </row>
    <row r="318">
      <c r="A318" s="18"/>
      <c r="B318" s="231"/>
      <c r="C318" s="232" t="str">
        <f t="array" ref="C318">XLOOKUP(B318, Chr!$B$5:$B$19, Chr!$E$5:$E$19, "")</f>
        <v/>
      </c>
      <c r="D318" s="51"/>
      <c r="E318" s="51">
        <v>39.0</v>
      </c>
      <c r="F318" s="51">
        <v>8.0</v>
      </c>
      <c r="G318" s="51">
        <v>408.0</v>
      </c>
      <c r="H318" s="51">
        <v>3.0</v>
      </c>
      <c r="I318" s="51">
        <v>150.0</v>
      </c>
      <c r="J318" s="230"/>
      <c r="K318" s="124"/>
    </row>
    <row r="319">
      <c r="A319" s="18"/>
      <c r="B319" s="231"/>
      <c r="C319" s="232" t="str">
        <f t="array" ref="C319">XLOOKUP(B319, Chr!$B$5:$B$19, Chr!$E$5:$E$19, "")</f>
        <v/>
      </c>
      <c r="D319" s="51"/>
      <c r="E319" s="51">
        <v>40.0</v>
      </c>
      <c r="F319" s="51">
        <v>8.0</v>
      </c>
      <c r="G319" s="51">
        <v>416.0</v>
      </c>
      <c r="H319" s="51">
        <v>3.0</v>
      </c>
      <c r="I319" s="51">
        <v>153.0</v>
      </c>
      <c r="J319" s="234"/>
      <c r="K319" s="124"/>
    </row>
    <row r="320">
      <c r="A320" s="18"/>
      <c r="B320" s="239"/>
      <c r="C320" s="240" t="str">
        <f t="array" ref="C320">XLOOKUP(B320, Chr!$B$5:$B$19, Chr!$E$5:$E$19, "")</f>
        <v/>
      </c>
      <c r="D320" s="214">
        <v>4.0</v>
      </c>
      <c r="E320" s="214" t="s">
        <v>349</v>
      </c>
      <c r="F320" s="214">
        <v>57.0</v>
      </c>
      <c r="G320" s="214">
        <v>424.0</v>
      </c>
      <c r="H320" s="214">
        <v>12.0</v>
      </c>
      <c r="I320" s="214">
        <v>156.0</v>
      </c>
      <c r="J320" s="215" t="s">
        <v>425</v>
      </c>
      <c r="K320" s="124"/>
    </row>
    <row r="321">
      <c r="A321" s="41"/>
      <c r="B321" s="242"/>
      <c r="C321" s="131"/>
      <c r="D321" s="131"/>
      <c r="E321" s="131"/>
      <c r="F321" s="131"/>
      <c r="G321" s="131"/>
      <c r="H321" s="131"/>
      <c r="I321" s="131"/>
      <c r="J321" s="131"/>
      <c r="K321" s="41"/>
    </row>
    <row r="322">
      <c r="A322" s="18"/>
      <c r="B322" s="254">
        <v>1010.0</v>
      </c>
      <c r="C322" s="255" t="str">
        <f t="array" ref="C322">XLOOKUP(B322, Chr!$B$5:$B$19, Chr!$E$5:$E$19, "")</f>
        <v>중장기병</v>
      </c>
      <c r="D322" s="226">
        <v>0.0</v>
      </c>
      <c r="E322" s="226">
        <v>1.0</v>
      </c>
      <c r="F322" s="249">
        <v>8.0</v>
      </c>
      <c r="G322" s="249">
        <v>85.0</v>
      </c>
      <c r="H322" s="249">
        <v>2.0</v>
      </c>
      <c r="I322" s="249">
        <v>20.0</v>
      </c>
      <c r="J322" s="256"/>
      <c r="K322" s="124"/>
    </row>
    <row r="323">
      <c r="A323" s="18"/>
      <c r="B323" s="257"/>
      <c r="C323" s="258"/>
      <c r="D323" s="51"/>
      <c r="E323" s="51">
        <v>2.0</v>
      </c>
      <c r="F323" s="250">
        <v>8.0</v>
      </c>
      <c r="G323" s="244">
        <f t="shared" ref="G323:G365" si="14">G322+F322</f>
        <v>93</v>
      </c>
      <c r="H323" s="250">
        <v>2.0</v>
      </c>
      <c r="I323" s="244">
        <f>I322+H322</f>
        <v>22</v>
      </c>
      <c r="J323" s="259"/>
      <c r="K323" s="124"/>
    </row>
    <row r="324">
      <c r="A324" s="18"/>
      <c r="B324" s="260"/>
      <c r="C324" s="261" t="str">
        <f t="array" ref="C324">XLOOKUP(B324, Chr!$B$5:$B$19, Chr!$E$5:$E$19, "")</f>
        <v/>
      </c>
      <c r="D324" s="51"/>
      <c r="E324" s="51">
        <v>3.0</v>
      </c>
      <c r="F324" s="250">
        <v>8.0</v>
      </c>
      <c r="G324" s="244">
        <f t="shared" si="14"/>
        <v>101</v>
      </c>
      <c r="H324" s="250">
        <v>2.0</v>
      </c>
      <c r="I324" s="250">
        <v>21.0</v>
      </c>
      <c r="J324" s="259"/>
      <c r="K324" s="124"/>
    </row>
    <row r="325">
      <c r="A325" s="18"/>
      <c r="B325" s="260"/>
      <c r="C325" s="261" t="str">
        <f t="array" ref="C325">XLOOKUP(B325, Chr!$B$5:$B$19, Chr!$E$5:$E$19, "")</f>
        <v/>
      </c>
      <c r="D325" s="51"/>
      <c r="E325" s="51">
        <v>4.0</v>
      </c>
      <c r="F325" s="250">
        <v>8.0</v>
      </c>
      <c r="G325" s="244">
        <f t="shared" si="14"/>
        <v>109</v>
      </c>
      <c r="H325" s="250">
        <v>2.0</v>
      </c>
      <c r="I325" s="244">
        <f>I324+H324</f>
        <v>23</v>
      </c>
      <c r="J325" s="262"/>
      <c r="K325" s="124"/>
    </row>
    <row r="326">
      <c r="A326" s="18"/>
      <c r="B326" s="260"/>
      <c r="C326" s="261" t="str">
        <f t="array" ref="C326">XLOOKUP(B326, Chr!$B$5:$B$19, Chr!$E$5:$E$19, "")</f>
        <v/>
      </c>
      <c r="D326" s="51"/>
      <c r="E326" s="51">
        <v>5.0</v>
      </c>
      <c r="F326" s="250">
        <v>8.0</v>
      </c>
      <c r="G326" s="244">
        <f t="shared" si="14"/>
        <v>117</v>
      </c>
      <c r="H326" s="250">
        <v>2.0</v>
      </c>
      <c r="I326" s="250">
        <v>22.0</v>
      </c>
      <c r="J326" s="263" t="s">
        <v>426</v>
      </c>
      <c r="K326" s="124"/>
    </row>
    <row r="327">
      <c r="A327" s="18"/>
      <c r="B327" s="260"/>
      <c r="C327" s="261" t="str">
        <f t="array" ref="C327">XLOOKUP(B327, Chr!$B$5:$B$19, Chr!$E$5:$E$19, "")</f>
        <v/>
      </c>
      <c r="D327" s="51"/>
      <c r="E327" s="51">
        <v>6.0</v>
      </c>
      <c r="F327" s="250">
        <v>8.0</v>
      </c>
      <c r="G327" s="244">
        <f t="shared" si="14"/>
        <v>125</v>
      </c>
      <c r="H327" s="250">
        <v>2.0</v>
      </c>
      <c r="I327" s="244">
        <f>I326+H326</f>
        <v>24</v>
      </c>
      <c r="J327" s="264"/>
      <c r="K327" s="124"/>
    </row>
    <row r="328">
      <c r="A328" s="18"/>
      <c r="B328" s="260"/>
      <c r="C328" s="261" t="str">
        <f t="array" ref="C328">XLOOKUP(B328, Chr!$B$5:$B$19, Chr!$E$5:$E$19, "")</f>
        <v/>
      </c>
      <c r="D328" s="51"/>
      <c r="E328" s="51">
        <v>7.0</v>
      </c>
      <c r="F328" s="250">
        <v>8.0</v>
      </c>
      <c r="G328" s="244">
        <f t="shared" si="14"/>
        <v>133</v>
      </c>
      <c r="H328" s="250">
        <v>2.0</v>
      </c>
      <c r="I328" s="250">
        <v>23.0</v>
      </c>
      <c r="J328" s="259"/>
      <c r="K328" s="124"/>
    </row>
    <row r="329">
      <c r="A329" s="18"/>
      <c r="B329" s="260"/>
      <c r="C329" s="261" t="str">
        <f t="array" ref="C329">XLOOKUP(B329, Chr!$B$5:$B$19, Chr!$E$5:$E$19, "")</f>
        <v/>
      </c>
      <c r="D329" s="51"/>
      <c r="E329" s="51">
        <v>8.0</v>
      </c>
      <c r="F329" s="250">
        <v>8.0</v>
      </c>
      <c r="G329" s="244">
        <f t="shared" si="14"/>
        <v>141</v>
      </c>
      <c r="H329" s="250">
        <v>2.0</v>
      </c>
      <c r="I329" s="244">
        <f>I328+H328</f>
        <v>25</v>
      </c>
      <c r="J329" s="259"/>
      <c r="K329" s="124"/>
    </row>
    <row r="330">
      <c r="A330" s="18"/>
      <c r="B330" s="260"/>
      <c r="C330" s="261" t="str">
        <f t="array" ref="C330">XLOOKUP(B330, Chr!$B$5:$B$19, Chr!$E$5:$E$19, "")</f>
        <v/>
      </c>
      <c r="D330" s="51"/>
      <c r="E330" s="51">
        <v>9.0</v>
      </c>
      <c r="F330" s="250">
        <v>8.0</v>
      </c>
      <c r="G330" s="244">
        <f t="shared" si="14"/>
        <v>149</v>
      </c>
      <c r="H330" s="250">
        <v>2.0</v>
      </c>
      <c r="I330" s="250">
        <v>24.0</v>
      </c>
      <c r="J330" s="259"/>
      <c r="K330" s="124"/>
    </row>
    <row r="331">
      <c r="A331" s="18"/>
      <c r="B331" s="260"/>
      <c r="C331" s="261" t="str">
        <f t="array" ref="C331">XLOOKUP(B331, Chr!$B$5:$B$19, Chr!$E$5:$E$19, "")</f>
        <v/>
      </c>
      <c r="D331" s="51"/>
      <c r="E331" s="51">
        <v>10.0</v>
      </c>
      <c r="F331" s="250">
        <v>8.0</v>
      </c>
      <c r="G331" s="244">
        <f t="shared" si="14"/>
        <v>157</v>
      </c>
      <c r="H331" s="250">
        <v>2.0</v>
      </c>
      <c r="I331" s="244">
        <f>I330+H330</f>
        <v>26</v>
      </c>
      <c r="J331" s="262"/>
      <c r="K331" s="124"/>
    </row>
    <row r="332">
      <c r="A332" s="18"/>
      <c r="B332" s="260"/>
      <c r="C332" s="261" t="str">
        <f t="array" ref="C332">XLOOKUP(B332, Chr!$B$5:$B$19, Chr!$E$5:$E$19, "")</f>
        <v/>
      </c>
      <c r="D332" s="51">
        <v>1.0</v>
      </c>
      <c r="E332" s="51" t="s">
        <v>349</v>
      </c>
      <c r="F332" s="250">
        <v>8.0</v>
      </c>
      <c r="G332" s="244">
        <f t="shared" si="14"/>
        <v>165</v>
      </c>
      <c r="H332" s="250">
        <v>2.0</v>
      </c>
      <c r="I332" s="250">
        <v>25.0</v>
      </c>
      <c r="J332" s="263" t="s">
        <v>427</v>
      </c>
      <c r="K332" s="124"/>
    </row>
    <row r="333">
      <c r="A333" s="18"/>
      <c r="B333" s="260"/>
      <c r="C333" s="261" t="str">
        <f t="array" ref="C333">XLOOKUP(B333, Chr!$B$5:$B$19, Chr!$E$5:$E$19, "")</f>
        <v/>
      </c>
      <c r="D333" s="51"/>
      <c r="E333" s="51">
        <v>11.0</v>
      </c>
      <c r="F333" s="250">
        <v>8.0</v>
      </c>
      <c r="G333" s="244">
        <f t="shared" si="14"/>
        <v>173</v>
      </c>
      <c r="H333" s="250">
        <v>2.0</v>
      </c>
      <c r="I333" s="244">
        <f>I332+H332</f>
        <v>27</v>
      </c>
      <c r="J333" s="264"/>
      <c r="K333" s="124"/>
    </row>
    <row r="334">
      <c r="A334" s="18"/>
      <c r="B334" s="260"/>
      <c r="C334" s="261" t="str">
        <f t="array" ref="C334">XLOOKUP(B334, Chr!$B$5:$B$19, Chr!$E$5:$E$19, "")</f>
        <v/>
      </c>
      <c r="D334" s="51"/>
      <c r="E334" s="51">
        <v>12.0</v>
      </c>
      <c r="F334" s="250">
        <v>8.0</v>
      </c>
      <c r="G334" s="244">
        <f t="shared" si="14"/>
        <v>181</v>
      </c>
      <c r="H334" s="250">
        <v>2.0</v>
      </c>
      <c r="I334" s="250">
        <v>26.0</v>
      </c>
      <c r="J334" s="259"/>
      <c r="K334" s="124"/>
    </row>
    <row r="335">
      <c r="A335" s="18"/>
      <c r="B335" s="260"/>
      <c r="C335" s="261" t="str">
        <f t="array" ref="C335">XLOOKUP(B335, Chr!$B$5:$B$19, Chr!$E$5:$E$19, "")</f>
        <v/>
      </c>
      <c r="D335" s="51"/>
      <c r="E335" s="51">
        <v>13.0</v>
      </c>
      <c r="F335" s="250">
        <v>8.0</v>
      </c>
      <c r="G335" s="244">
        <f t="shared" si="14"/>
        <v>189</v>
      </c>
      <c r="H335" s="250">
        <v>2.0</v>
      </c>
      <c r="I335" s="244">
        <f>I334+H334</f>
        <v>28</v>
      </c>
      <c r="J335" s="259"/>
      <c r="K335" s="124"/>
    </row>
    <row r="336">
      <c r="A336" s="18"/>
      <c r="B336" s="260"/>
      <c r="C336" s="261" t="str">
        <f t="array" ref="C336">XLOOKUP(B336, Chr!$B$5:$B$19, Chr!$E$5:$E$19, "")</f>
        <v/>
      </c>
      <c r="D336" s="51"/>
      <c r="E336" s="51">
        <v>14.0</v>
      </c>
      <c r="F336" s="250">
        <v>8.0</v>
      </c>
      <c r="G336" s="244">
        <f t="shared" si="14"/>
        <v>197</v>
      </c>
      <c r="H336" s="250">
        <v>2.0</v>
      </c>
      <c r="I336" s="250">
        <v>27.0</v>
      </c>
      <c r="J336" s="262"/>
      <c r="K336" s="124"/>
    </row>
    <row r="337">
      <c r="A337" s="18"/>
      <c r="B337" s="260"/>
      <c r="C337" s="261" t="str">
        <f t="array" ref="C337">XLOOKUP(B337, Chr!$B$5:$B$19, Chr!$E$5:$E$19, "")</f>
        <v/>
      </c>
      <c r="D337" s="51"/>
      <c r="E337" s="51">
        <v>15.0</v>
      </c>
      <c r="F337" s="250">
        <v>8.0</v>
      </c>
      <c r="G337" s="244">
        <f t="shared" si="14"/>
        <v>205</v>
      </c>
      <c r="H337" s="250">
        <v>2.0</v>
      </c>
      <c r="I337" s="244">
        <f>I336+H336</f>
        <v>29</v>
      </c>
      <c r="J337" s="263" t="s">
        <v>428</v>
      </c>
      <c r="K337" s="124"/>
    </row>
    <row r="338">
      <c r="A338" s="18"/>
      <c r="B338" s="260"/>
      <c r="C338" s="261" t="str">
        <f t="array" ref="C338">XLOOKUP(B338, Chr!$B$5:$B$19, Chr!$E$5:$E$19, "")</f>
        <v/>
      </c>
      <c r="D338" s="51"/>
      <c r="E338" s="51">
        <v>16.0</v>
      </c>
      <c r="F338" s="250">
        <v>8.0</v>
      </c>
      <c r="G338" s="244">
        <f t="shared" si="14"/>
        <v>213</v>
      </c>
      <c r="H338" s="250">
        <v>2.0</v>
      </c>
      <c r="I338" s="250">
        <v>28.0</v>
      </c>
      <c r="J338" s="264"/>
      <c r="K338" s="124"/>
    </row>
    <row r="339">
      <c r="A339" s="18"/>
      <c r="B339" s="260"/>
      <c r="C339" s="261" t="str">
        <f t="array" ref="C339">XLOOKUP(B339, Chr!$B$5:$B$19, Chr!$E$5:$E$19, "")</f>
        <v/>
      </c>
      <c r="D339" s="51"/>
      <c r="E339" s="51">
        <v>17.0</v>
      </c>
      <c r="F339" s="250">
        <v>8.0</v>
      </c>
      <c r="G339" s="244">
        <f t="shared" si="14"/>
        <v>221</v>
      </c>
      <c r="H339" s="250">
        <v>2.0</v>
      </c>
      <c r="I339" s="244">
        <f>I338+H338</f>
        <v>30</v>
      </c>
      <c r="J339" s="259"/>
      <c r="K339" s="124"/>
    </row>
    <row r="340">
      <c r="A340" s="18"/>
      <c r="B340" s="260"/>
      <c r="C340" s="261" t="str">
        <f t="array" ref="C340">XLOOKUP(B340, Chr!$B$5:$B$19, Chr!$E$5:$E$19, "")</f>
        <v/>
      </c>
      <c r="D340" s="51"/>
      <c r="E340" s="51">
        <v>18.0</v>
      </c>
      <c r="F340" s="250">
        <v>8.0</v>
      </c>
      <c r="G340" s="244">
        <f t="shared" si="14"/>
        <v>229</v>
      </c>
      <c r="H340" s="250">
        <v>2.0</v>
      </c>
      <c r="I340" s="250">
        <v>29.0</v>
      </c>
      <c r="J340" s="259"/>
      <c r="K340" s="124"/>
    </row>
    <row r="341">
      <c r="A341" s="18"/>
      <c r="B341" s="260"/>
      <c r="C341" s="261" t="str">
        <f t="array" ref="C341">XLOOKUP(B341, Chr!$B$5:$B$19, Chr!$E$5:$E$19, "")</f>
        <v/>
      </c>
      <c r="D341" s="51"/>
      <c r="E341" s="51">
        <v>19.0</v>
      </c>
      <c r="F341" s="250">
        <v>8.0</v>
      </c>
      <c r="G341" s="244">
        <f t="shared" si="14"/>
        <v>237</v>
      </c>
      <c r="H341" s="250">
        <v>2.0</v>
      </c>
      <c r="I341" s="244">
        <f>I340+H340</f>
        <v>31</v>
      </c>
      <c r="J341" s="259"/>
      <c r="K341" s="124"/>
    </row>
    <row r="342">
      <c r="A342" s="18"/>
      <c r="B342" s="260"/>
      <c r="C342" s="261" t="str">
        <f t="array" ref="C342">XLOOKUP(B342, Chr!$B$5:$B$19, Chr!$E$5:$E$19, "")</f>
        <v/>
      </c>
      <c r="D342" s="51"/>
      <c r="E342" s="51">
        <v>20.0</v>
      </c>
      <c r="F342" s="250">
        <v>8.0</v>
      </c>
      <c r="G342" s="244">
        <f t="shared" si="14"/>
        <v>245</v>
      </c>
      <c r="H342" s="250">
        <v>2.0</v>
      </c>
      <c r="I342" s="250">
        <v>30.0</v>
      </c>
      <c r="J342" s="262"/>
      <c r="K342" s="124"/>
    </row>
    <row r="343">
      <c r="A343" s="18"/>
      <c r="B343" s="260"/>
      <c r="C343" s="261" t="str">
        <f t="array" ref="C343">XLOOKUP(B343, Chr!$B$5:$B$19, Chr!$E$5:$E$19, "")</f>
        <v/>
      </c>
      <c r="D343" s="51">
        <v>2.0</v>
      </c>
      <c r="E343" s="51" t="s">
        <v>349</v>
      </c>
      <c r="F343" s="250">
        <v>8.0</v>
      </c>
      <c r="G343" s="244">
        <f t="shared" si="14"/>
        <v>253</v>
      </c>
      <c r="H343" s="250">
        <v>2.0</v>
      </c>
      <c r="I343" s="244">
        <f>I342+H342</f>
        <v>32</v>
      </c>
      <c r="J343" s="263" t="s">
        <v>429</v>
      </c>
      <c r="K343" s="124"/>
    </row>
    <row r="344">
      <c r="A344" s="18"/>
      <c r="B344" s="260"/>
      <c r="C344" s="261" t="str">
        <f t="array" ref="C344">XLOOKUP(B344, Chr!$B$5:$B$19, Chr!$E$5:$E$19, "")</f>
        <v/>
      </c>
      <c r="D344" s="51"/>
      <c r="E344" s="51">
        <v>21.0</v>
      </c>
      <c r="F344" s="250">
        <v>8.0</v>
      </c>
      <c r="G344" s="244">
        <f t="shared" si="14"/>
        <v>261</v>
      </c>
      <c r="H344" s="250">
        <v>2.0</v>
      </c>
      <c r="I344" s="250">
        <v>31.0</v>
      </c>
      <c r="J344" s="264"/>
      <c r="K344" s="124"/>
    </row>
    <row r="345">
      <c r="A345" s="18"/>
      <c r="B345" s="260"/>
      <c r="C345" s="261" t="str">
        <f t="array" ref="C345">XLOOKUP(B345, Chr!$B$5:$B$19, Chr!$E$5:$E$19, "")</f>
        <v/>
      </c>
      <c r="D345" s="51"/>
      <c r="E345" s="51">
        <v>22.0</v>
      </c>
      <c r="F345" s="250">
        <v>8.0</v>
      </c>
      <c r="G345" s="244">
        <f t="shared" si="14"/>
        <v>269</v>
      </c>
      <c r="H345" s="250">
        <v>2.0</v>
      </c>
      <c r="I345" s="244">
        <f>I344+H344</f>
        <v>33</v>
      </c>
      <c r="J345" s="259"/>
      <c r="K345" s="124"/>
    </row>
    <row r="346">
      <c r="A346" s="18"/>
      <c r="B346" s="260"/>
      <c r="C346" s="261" t="str">
        <f t="array" ref="C346">XLOOKUP(B346, Chr!$B$5:$B$19, Chr!$E$5:$E$19, "")</f>
        <v/>
      </c>
      <c r="D346" s="51"/>
      <c r="E346" s="51">
        <v>23.0</v>
      </c>
      <c r="F346" s="250">
        <v>8.0</v>
      </c>
      <c r="G346" s="244">
        <f t="shared" si="14"/>
        <v>277</v>
      </c>
      <c r="H346" s="250">
        <v>2.0</v>
      </c>
      <c r="I346" s="250">
        <v>32.0</v>
      </c>
      <c r="J346" s="259"/>
      <c r="K346" s="124"/>
    </row>
    <row r="347">
      <c r="A347" s="18"/>
      <c r="B347" s="260"/>
      <c r="C347" s="261" t="str">
        <f t="array" ref="C347">XLOOKUP(B347, Chr!$B$5:$B$19, Chr!$E$5:$E$19, "")</f>
        <v/>
      </c>
      <c r="D347" s="51"/>
      <c r="E347" s="51">
        <v>24.0</v>
      </c>
      <c r="F347" s="250">
        <v>8.0</v>
      </c>
      <c r="G347" s="244">
        <f t="shared" si="14"/>
        <v>285</v>
      </c>
      <c r="H347" s="250">
        <v>2.0</v>
      </c>
      <c r="I347" s="244">
        <f>I346+H346</f>
        <v>34</v>
      </c>
      <c r="J347" s="262"/>
      <c r="K347" s="124"/>
    </row>
    <row r="348">
      <c r="A348" s="18"/>
      <c r="B348" s="260"/>
      <c r="C348" s="261" t="str">
        <f t="array" ref="C348">XLOOKUP(B348, Chr!$B$5:$B$19, Chr!$E$5:$E$19, "")</f>
        <v/>
      </c>
      <c r="D348" s="51"/>
      <c r="E348" s="51">
        <v>25.0</v>
      </c>
      <c r="F348" s="250">
        <v>8.0</v>
      </c>
      <c r="G348" s="244">
        <f t="shared" si="14"/>
        <v>293</v>
      </c>
      <c r="H348" s="250">
        <v>2.0</v>
      </c>
      <c r="I348" s="250">
        <v>33.0</v>
      </c>
      <c r="J348" s="263" t="s">
        <v>430</v>
      </c>
      <c r="K348" s="124"/>
    </row>
    <row r="349">
      <c r="A349" s="18"/>
      <c r="B349" s="260"/>
      <c r="C349" s="261" t="str">
        <f t="array" ref="C349">XLOOKUP(B349, Chr!$B$5:$B$19, Chr!$E$5:$E$19, "")</f>
        <v/>
      </c>
      <c r="D349" s="51"/>
      <c r="E349" s="51">
        <v>26.0</v>
      </c>
      <c r="F349" s="250">
        <v>8.0</v>
      </c>
      <c r="G349" s="244">
        <f t="shared" si="14"/>
        <v>301</v>
      </c>
      <c r="H349" s="250">
        <v>2.0</v>
      </c>
      <c r="I349" s="244">
        <f>I348+H348</f>
        <v>35</v>
      </c>
      <c r="J349" s="264"/>
      <c r="K349" s="124"/>
    </row>
    <row r="350">
      <c r="A350" s="18"/>
      <c r="B350" s="260"/>
      <c r="C350" s="261" t="str">
        <f t="array" ref="C350">XLOOKUP(B350, Chr!$B$5:$B$19, Chr!$E$5:$E$19, "")</f>
        <v/>
      </c>
      <c r="D350" s="51"/>
      <c r="E350" s="51">
        <v>27.0</v>
      </c>
      <c r="F350" s="250">
        <v>8.0</v>
      </c>
      <c r="G350" s="244">
        <f t="shared" si="14"/>
        <v>309</v>
      </c>
      <c r="H350" s="250">
        <v>2.0</v>
      </c>
      <c r="I350" s="250">
        <v>34.0</v>
      </c>
      <c r="J350" s="259"/>
      <c r="K350" s="124"/>
    </row>
    <row r="351">
      <c r="A351" s="18"/>
      <c r="B351" s="260"/>
      <c r="C351" s="261" t="str">
        <f t="array" ref="C351">XLOOKUP(B351, Chr!$B$5:$B$19, Chr!$E$5:$E$19, "")</f>
        <v/>
      </c>
      <c r="D351" s="51"/>
      <c r="E351" s="51">
        <v>28.0</v>
      </c>
      <c r="F351" s="250">
        <v>8.0</v>
      </c>
      <c r="G351" s="244">
        <f t="shared" si="14"/>
        <v>317</v>
      </c>
      <c r="H351" s="250">
        <v>2.0</v>
      </c>
      <c r="I351" s="244">
        <f>I350+H350</f>
        <v>36</v>
      </c>
      <c r="J351" s="259"/>
      <c r="K351" s="124"/>
    </row>
    <row r="352">
      <c r="A352" s="18"/>
      <c r="B352" s="260"/>
      <c r="C352" s="261" t="str">
        <f t="array" ref="C352">XLOOKUP(B352, Chr!$B$5:$B$19, Chr!$E$5:$E$19, "")</f>
        <v/>
      </c>
      <c r="D352" s="51"/>
      <c r="E352" s="51">
        <v>29.0</v>
      </c>
      <c r="F352" s="250">
        <v>8.0</v>
      </c>
      <c r="G352" s="244">
        <f t="shared" si="14"/>
        <v>325</v>
      </c>
      <c r="H352" s="250">
        <v>2.0</v>
      </c>
      <c r="I352" s="250">
        <v>35.0</v>
      </c>
      <c r="J352" s="259"/>
      <c r="K352" s="124"/>
    </row>
    <row r="353">
      <c r="A353" s="18"/>
      <c r="B353" s="260"/>
      <c r="C353" s="261" t="str">
        <f t="array" ref="C353">XLOOKUP(B353, Chr!$B$5:$B$19, Chr!$E$5:$E$19, "")</f>
        <v/>
      </c>
      <c r="D353" s="51"/>
      <c r="E353" s="51">
        <v>30.0</v>
      </c>
      <c r="F353" s="250">
        <v>8.0</v>
      </c>
      <c r="G353" s="244">
        <f t="shared" si="14"/>
        <v>333</v>
      </c>
      <c r="H353" s="250">
        <v>2.0</v>
      </c>
      <c r="I353" s="244">
        <f>I352+H352</f>
        <v>37</v>
      </c>
      <c r="J353" s="262"/>
      <c r="K353" s="124"/>
    </row>
    <row r="354">
      <c r="A354" s="18"/>
      <c r="B354" s="260"/>
      <c r="C354" s="261" t="str">
        <f t="array" ref="C354">XLOOKUP(B354, Chr!$B$5:$B$19, Chr!$E$5:$E$19, "")</f>
        <v/>
      </c>
      <c r="D354" s="51">
        <v>3.0</v>
      </c>
      <c r="E354" s="51" t="s">
        <v>349</v>
      </c>
      <c r="F354" s="250">
        <v>8.0</v>
      </c>
      <c r="G354" s="244">
        <f t="shared" si="14"/>
        <v>341</v>
      </c>
      <c r="H354" s="250">
        <v>2.0</v>
      </c>
      <c r="I354" s="250">
        <v>36.0</v>
      </c>
      <c r="J354" s="263" t="s">
        <v>431</v>
      </c>
      <c r="K354" s="124"/>
    </row>
    <row r="355">
      <c r="A355" s="18"/>
      <c r="B355" s="260"/>
      <c r="C355" s="261" t="str">
        <f t="array" ref="C355">XLOOKUP(B355, Chr!$B$5:$B$19, Chr!$E$5:$E$19, "")</f>
        <v/>
      </c>
      <c r="D355" s="51"/>
      <c r="E355" s="51">
        <v>31.0</v>
      </c>
      <c r="F355" s="250">
        <v>8.0</v>
      </c>
      <c r="G355" s="244">
        <f t="shared" si="14"/>
        <v>349</v>
      </c>
      <c r="H355" s="250">
        <v>2.0</v>
      </c>
      <c r="I355" s="244">
        <f>I354+H354</f>
        <v>38</v>
      </c>
      <c r="J355" s="264"/>
      <c r="K355" s="124"/>
    </row>
    <row r="356">
      <c r="A356" s="18"/>
      <c r="B356" s="260"/>
      <c r="C356" s="261" t="str">
        <f t="array" ref="C356">XLOOKUP(B356, Chr!$B$5:$B$19, Chr!$E$5:$E$19, "")</f>
        <v/>
      </c>
      <c r="D356" s="51"/>
      <c r="E356" s="51">
        <v>32.0</v>
      </c>
      <c r="F356" s="250">
        <v>8.0</v>
      </c>
      <c r="G356" s="244">
        <f t="shared" si="14"/>
        <v>357</v>
      </c>
      <c r="H356" s="250">
        <v>2.0</v>
      </c>
      <c r="I356" s="250">
        <v>37.0</v>
      </c>
      <c r="J356" s="259"/>
      <c r="K356" s="124"/>
    </row>
    <row r="357">
      <c r="A357" s="18"/>
      <c r="B357" s="260"/>
      <c r="C357" s="261" t="str">
        <f t="array" ref="C357">XLOOKUP(B357, Chr!$B$5:$B$19, Chr!$E$5:$E$19, "")</f>
        <v/>
      </c>
      <c r="D357" s="51"/>
      <c r="E357" s="51">
        <v>33.0</v>
      </c>
      <c r="F357" s="250">
        <v>8.0</v>
      </c>
      <c r="G357" s="244">
        <f t="shared" si="14"/>
        <v>365</v>
      </c>
      <c r="H357" s="250">
        <v>2.0</v>
      </c>
      <c r="I357" s="244">
        <f>I356+H356</f>
        <v>39</v>
      </c>
      <c r="J357" s="259"/>
      <c r="K357" s="124"/>
    </row>
    <row r="358">
      <c r="A358" s="18"/>
      <c r="B358" s="260"/>
      <c r="C358" s="261" t="str">
        <f t="array" ref="C358">XLOOKUP(B358, Chr!$B$5:$B$19, Chr!$E$5:$E$19, "")</f>
        <v/>
      </c>
      <c r="D358" s="51"/>
      <c r="E358" s="51">
        <v>34.0</v>
      </c>
      <c r="F358" s="250">
        <v>8.0</v>
      </c>
      <c r="G358" s="244">
        <f t="shared" si="14"/>
        <v>373</v>
      </c>
      <c r="H358" s="250">
        <v>2.0</v>
      </c>
      <c r="I358" s="250">
        <v>38.0</v>
      </c>
      <c r="J358" s="262"/>
      <c r="K358" s="124"/>
    </row>
    <row r="359">
      <c r="A359" s="18"/>
      <c r="B359" s="260"/>
      <c r="C359" s="261" t="str">
        <f t="array" ref="C359">XLOOKUP(B359, Chr!$B$5:$B$19, Chr!$E$5:$E$19, "")</f>
        <v/>
      </c>
      <c r="D359" s="51"/>
      <c r="E359" s="51">
        <v>35.0</v>
      </c>
      <c r="F359" s="250">
        <v>8.0</v>
      </c>
      <c r="G359" s="244">
        <f t="shared" si="14"/>
        <v>381</v>
      </c>
      <c r="H359" s="250">
        <v>2.0</v>
      </c>
      <c r="I359" s="244">
        <f>I358+H358</f>
        <v>40</v>
      </c>
      <c r="J359" s="263" t="s">
        <v>432</v>
      </c>
      <c r="K359" s="124"/>
    </row>
    <row r="360">
      <c r="A360" s="18"/>
      <c r="B360" s="260"/>
      <c r="C360" s="261" t="str">
        <f t="array" ref="C360">XLOOKUP(B360, Chr!$B$5:$B$19, Chr!$E$5:$E$19, "")</f>
        <v/>
      </c>
      <c r="D360" s="51"/>
      <c r="E360" s="51">
        <v>36.0</v>
      </c>
      <c r="F360" s="250">
        <v>8.0</v>
      </c>
      <c r="G360" s="244">
        <f t="shared" si="14"/>
        <v>389</v>
      </c>
      <c r="H360" s="250">
        <v>2.0</v>
      </c>
      <c r="I360" s="250">
        <v>39.0</v>
      </c>
      <c r="J360" s="264"/>
      <c r="K360" s="124"/>
    </row>
    <row r="361">
      <c r="A361" s="18"/>
      <c r="B361" s="260"/>
      <c r="C361" s="261" t="str">
        <f t="array" ref="C361">XLOOKUP(B361, Chr!$B$5:$B$19, Chr!$E$5:$E$19, "")</f>
        <v/>
      </c>
      <c r="D361" s="51"/>
      <c r="E361" s="51">
        <v>37.0</v>
      </c>
      <c r="F361" s="250">
        <v>8.0</v>
      </c>
      <c r="G361" s="244">
        <f t="shared" si="14"/>
        <v>397</v>
      </c>
      <c r="H361" s="250">
        <v>2.0</v>
      </c>
      <c r="I361" s="244">
        <f>I360+H360</f>
        <v>41</v>
      </c>
      <c r="J361" s="259"/>
      <c r="K361" s="124"/>
    </row>
    <row r="362">
      <c r="A362" s="18"/>
      <c r="B362" s="260"/>
      <c r="C362" s="261" t="str">
        <f t="array" ref="C362">XLOOKUP(B362, Chr!$B$5:$B$19, Chr!$E$5:$E$19, "")</f>
        <v/>
      </c>
      <c r="D362" s="51"/>
      <c r="E362" s="51">
        <v>38.0</v>
      </c>
      <c r="F362" s="250">
        <v>8.0</v>
      </c>
      <c r="G362" s="244">
        <f t="shared" si="14"/>
        <v>405</v>
      </c>
      <c r="H362" s="250">
        <v>2.0</v>
      </c>
      <c r="I362" s="250">
        <v>40.0</v>
      </c>
      <c r="J362" s="259"/>
      <c r="K362" s="124"/>
    </row>
    <row r="363">
      <c r="A363" s="18"/>
      <c r="B363" s="260"/>
      <c r="C363" s="261" t="str">
        <f t="array" ref="C363">XLOOKUP(B363, Chr!$B$5:$B$19, Chr!$E$5:$E$19, "")</f>
        <v/>
      </c>
      <c r="D363" s="51"/>
      <c r="E363" s="51">
        <v>39.0</v>
      </c>
      <c r="F363" s="250">
        <v>8.0</v>
      </c>
      <c r="G363" s="244">
        <f t="shared" si="14"/>
        <v>413</v>
      </c>
      <c r="H363" s="250">
        <v>2.0</v>
      </c>
      <c r="I363" s="244">
        <f>I362+H362</f>
        <v>42</v>
      </c>
      <c r="J363" s="259"/>
      <c r="K363" s="124"/>
    </row>
    <row r="364">
      <c r="A364" s="18"/>
      <c r="B364" s="260"/>
      <c r="C364" s="261" t="str">
        <f t="array" ref="C364">XLOOKUP(B364, Chr!$B$5:$B$19, Chr!$E$5:$E$19, "")</f>
        <v/>
      </c>
      <c r="D364" s="51"/>
      <c r="E364" s="51">
        <v>40.0</v>
      </c>
      <c r="F364" s="250">
        <v>8.0</v>
      </c>
      <c r="G364" s="244">
        <f t="shared" si="14"/>
        <v>421</v>
      </c>
      <c r="H364" s="250">
        <v>2.0</v>
      </c>
      <c r="I364" s="250">
        <v>41.0</v>
      </c>
      <c r="J364" s="262"/>
      <c r="K364" s="124"/>
    </row>
    <row r="365">
      <c r="A365" s="18"/>
      <c r="B365" s="265"/>
      <c r="C365" s="266" t="str">
        <f t="array" ref="C365">XLOOKUP(B365, Chr!$B$5:$B$19, Chr!$E$5:$E$19, "")</f>
        <v/>
      </c>
      <c r="D365" s="214">
        <v>4.0</v>
      </c>
      <c r="E365" s="214" t="s">
        <v>349</v>
      </c>
      <c r="F365" s="251">
        <v>8.0</v>
      </c>
      <c r="G365" s="246">
        <f t="shared" si="14"/>
        <v>429</v>
      </c>
      <c r="H365" s="251">
        <v>2.0</v>
      </c>
      <c r="I365" s="246">
        <f>I364+H364</f>
        <v>43</v>
      </c>
      <c r="J365" s="267" t="s">
        <v>433</v>
      </c>
      <c r="K365" s="124"/>
    </row>
    <row r="366">
      <c r="A366" s="41"/>
      <c r="B366" s="242"/>
      <c r="C366" s="131"/>
      <c r="D366" s="131"/>
      <c r="E366" s="131"/>
      <c r="F366" s="131"/>
      <c r="G366" s="131"/>
      <c r="H366" s="131"/>
      <c r="I366" s="131"/>
      <c r="J366" s="131"/>
      <c r="K366" s="41"/>
    </row>
    <row r="367">
      <c r="A367" s="18"/>
      <c r="B367" s="224">
        <v>1011.0</v>
      </c>
      <c r="C367" s="225" t="s">
        <v>225</v>
      </c>
      <c r="D367" s="226">
        <v>0.0</v>
      </c>
      <c r="E367" s="226">
        <v>1.0</v>
      </c>
      <c r="F367" s="226">
        <v>20.0</v>
      </c>
      <c r="G367" s="226">
        <v>200.0</v>
      </c>
      <c r="H367" s="226">
        <v>4.0</v>
      </c>
      <c r="I367" s="226">
        <v>38.0</v>
      </c>
      <c r="J367" s="227"/>
      <c r="K367" s="124"/>
    </row>
    <row r="368">
      <c r="A368" s="18"/>
      <c r="B368" s="228"/>
      <c r="C368" s="229"/>
      <c r="D368" s="51"/>
      <c r="E368" s="51">
        <v>2.0</v>
      </c>
      <c r="F368" s="51">
        <v>20.0</v>
      </c>
      <c r="G368" s="51">
        <v>220.0</v>
      </c>
      <c r="H368" s="51">
        <v>4.0</v>
      </c>
      <c r="I368" s="51">
        <v>42.0</v>
      </c>
      <c r="J368" s="230"/>
      <c r="K368" s="124"/>
    </row>
    <row r="369">
      <c r="A369" s="18"/>
      <c r="B369" s="231"/>
      <c r="C369" s="232" t="str">
        <f t="array" ref="C369">XLOOKUP(B369, Chr!$B$5:$B$19, Chr!$E$5:$E$19, "")</f>
        <v/>
      </c>
      <c r="D369" s="51"/>
      <c r="E369" s="51">
        <v>3.0</v>
      </c>
      <c r="F369" s="51">
        <v>20.0</v>
      </c>
      <c r="G369" s="51">
        <v>240.0</v>
      </c>
      <c r="H369" s="51">
        <v>4.0</v>
      </c>
      <c r="I369" s="51">
        <v>46.0</v>
      </c>
      <c r="J369" s="230"/>
      <c r="K369" s="124"/>
    </row>
    <row r="370">
      <c r="A370" s="18"/>
      <c r="B370" s="231"/>
      <c r="C370" s="232" t="str">
        <f t="array" ref="C370">XLOOKUP(B370, Chr!$B$5:$B$19, Chr!$E$5:$E$19, "")</f>
        <v/>
      </c>
      <c r="D370" s="51"/>
      <c r="E370" s="51">
        <v>4.0</v>
      </c>
      <c r="F370" s="51">
        <v>20.0</v>
      </c>
      <c r="G370" s="51">
        <v>260.0</v>
      </c>
      <c r="H370" s="51">
        <v>4.0</v>
      </c>
      <c r="I370" s="51">
        <v>50.0</v>
      </c>
      <c r="J370" s="234"/>
      <c r="K370" s="124"/>
    </row>
    <row r="371">
      <c r="A371" s="18"/>
      <c r="B371" s="231"/>
      <c r="C371" s="232" t="str">
        <f t="array" ref="C371">XLOOKUP(B371, Chr!$B$5:$B$19, Chr!$E$5:$E$19, "")</f>
        <v/>
      </c>
      <c r="D371" s="51"/>
      <c r="E371" s="51">
        <v>5.0</v>
      </c>
      <c r="F371" s="51">
        <v>20.0</v>
      </c>
      <c r="G371" s="51">
        <v>280.0</v>
      </c>
      <c r="H371" s="51">
        <v>4.0</v>
      </c>
      <c r="I371" s="51">
        <v>54.0</v>
      </c>
      <c r="J371" s="211" t="s">
        <v>434</v>
      </c>
      <c r="K371" s="124"/>
    </row>
    <row r="372">
      <c r="A372" s="18"/>
      <c r="B372" s="231"/>
      <c r="C372" s="232" t="str">
        <f t="array" ref="C372">XLOOKUP(B372, Chr!$B$5:$B$19, Chr!$E$5:$E$19, "")</f>
        <v/>
      </c>
      <c r="D372" s="51"/>
      <c r="E372" s="51">
        <v>6.0</v>
      </c>
      <c r="F372" s="51">
        <v>20.0</v>
      </c>
      <c r="G372" s="51">
        <v>300.0</v>
      </c>
      <c r="H372" s="51">
        <v>4.0</v>
      </c>
      <c r="I372" s="51">
        <v>58.0</v>
      </c>
      <c r="J372" s="235"/>
      <c r="K372" s="124"/>
    </row>
    <row r="373">
      <c r="A373" s="18"/>
      <c r="B373" s="231"/>
      <c r="C373" s="232" t="str">
        <f t="array" ref="C373">XLOOKUP(B373, Chr!$B$5:$B$19, Chr!$E$5:$E$19, "")</f>
        <v/>
      </c>
      <c r="D373" s="51"/>
      <c r="E373" s="51">
        <v>7.0</v>
      </c>
      <c r="F373" s="51">
        <v>20.0</v>
      </c>
      <c r="G373" s="51">
        <v>320.0</v>
      </c>
      <c r="H373" s="51">
        <v>4.0</v>
      </c>
      <c r="I373" s="51">
        <v>62.0</v>
      </c>
      <c r="J373" s="230"/>
      <c r="K373" s="124"/>
    </row>
    <row r="374">
      <c r="A374" s="18"/>
      <c r="B374" s="231"/>
      <c r="C374" s="232" t="str">
        <f t="array" ref="C374">XLOOKUP(B374, Chr!$B$5:$B$19, Chr!$E$5:$E$19, "")</f>
        <v/>
      </c>
      <c r="D374" s="51"/>
      <c r="E374" s="51">
        <v>8.0</v>
      </c>
      <c r="F374" s="51">
        <v>20.0</v>
      </c>
      <c r="G374" s="51">
        <v>340.0</v>
      </c>
      <c r="H374" s="51">
        <v>4.0</v>
      </c>
      <c r="I374" s="51">
        <v>66.0</v>
      </c>
      <c r="J374" s="230"/>
      <c r="K374" s="124"/>
    </row>
    <row r="375">
      <c r="A375" s="18"/>
      <c r="B375" s="231"/>
      <c r="C375" s="232" t="str">
        <f t="array" ref="C375">XLOOKUP(B375, Chr!$B$5:$B$19, Chr!$E$5:$E$19, "")</f>
        <v/>
      </c>
      <c r="D375" s="51"/>
      <c r="E375" s="51">
        <v>9.0</v>
      </c>
      <c r="F375" s="51">
        <v>20.0</v>
      </c>
      <c r="G375" s="51">
        <v>360.0</v>
      </c>
      <c r="H375" s="51">
        <v>4.0</v>
      </c>
      <c r="I375" s="51">
        <v>70.0</v>
      </c>
      <c r="J375" s="230"/>
      <c r="K375" s="124"/>
    </row>
    <row r="376">
      <c r="A376" s="18"/>
      <c r="B376" s="231"/>
      <c r="C376" s="232" t="str">
        <f t="array" ref="C376">XLOOKUP(B376, Chr!$B$5:$B$19, Chr!$E$5:$E$19, "")</f>
        <v/>
      </c>
      <c r="D376" s="51"/>
      <c r="E376" s="51">
        <v>10.0</v>
      </c>
      <c r="F376" s="51">
        <v>20.0</v>
      </c>
      <c r="G376" s="51">
        <v>380.0</v>
      </c>
      <c r="H376" s="51">
        <v>4.0</v>
      </c>
      <c r="I376" s="51">
        <v>74.0</v>
      </c>
      <c r="J376" s="234"/>
      <c r="K376" s="124"/>
    </row>
    <row r="377">
      <c r="A377" s="18"/>
      <c r="B377" s="231"/>
      <c r="C377" s="232" t="str">
        <f t="array" ref="C377">XLOOKUP(B377, Chr!$B$5:$B$19, Chr!$E$5:$E$19, "")</f>
        <v/>
      </c>
      <c r="D377" s="51">
        <v>1.0</v>
      </c>
      <c r="E377" s="51" t="s">
        <v>349</v>
      </c>
      <c r="F377" s="51">
        <v>20.0</v>
      </c>
      <c r="G377" s="51">
        <v>400.0</v>
      </c>
      <c r="H377" s="51">
        <v>4.0</v>
      </c>
      <c r="I377" s="51">
        <v>78.0</v>
      </c>
      <c r="J377" s="211" t="s">
        <v>435</v>
      </c>
      <c r="K377" s="124"/>
    </row>
    <row r="378">
      <c r="A378" s="18"/>
      <c r="B378" s="231"/>
      <c r="C378" s="232" t="str">
        <f t="array" ref="C378">XLOOKUP(B378, Chr!$B$5:$B$19, Chr!$E$5:$E$19, "")</f>
        <v/>
      </c>
      <c r="D378" s="51"/>
      <c r="E378" s="51">
        <v>11.0</v>
      </c>
      <c r="F378" s="51">
        <v>20.0</v>
      </c>
      <c r="G378" s="51">
        <v>420.0</v>
      </c>
      <c r="H378" s="51">
        <v>4.0</v>
      </c>
      <c r="I378" s="51">
        <v>82.0</v>
      </c>
      <c r="J378" s="235"/>
      <c r="K378" s="124"/>
    </row>
    <row r="379">
      <c r="A379" s="18"/>
      <c r="B379" s="231"/>
      <c r="C379" s="232" t="str">
        <f t="array" ref="C379">XLOOKUP(B379, Chr!$B$5:$B$19, Chr!$E$5:$E$19, "")</f>
        <v/>
      </c>
      <c r="D379" s="51"/>
      <c r="E379" s="51">
        <v>12.0</v>
      </c>
      <c r="F379" s="51">
        <v>20.0</v>
      </c>
      <c r="G379" s="51">
        <v>440.0</v>
      </c>
      <c r="H379" s="51">
        <v>4.0</v>
      </c>
      <c r="I379" s="51">
        <v>86.0</v>
      </c>
      <c r="J379" s="230"/>
      <c r="K379" s="124"/>
    </row>
    <row r="380">
      <c r="A380" s="18"/>
      <c r="B380" s="231"/>
      <c r="C380" s="232" t="str">
        <f t="array" ref="C380">XLOOKUP(B380, Chr!$B$5:$B$19, Chr!$E$5:$E$19, "")</f>
        <v/>
      </c>
      <c r="D380" s="51"/>
      <c r="E380" s="51">
        <v>13.0</v>
      </c>
      <c r="F380" s="51">
        <v>20.0</v>
      </c>
      <c r="G380" s="51">
        <v>460.0</v>
      </c>
      <c r="H380" s="51">
        <v>4.0</v>
      </c>
      <c r="I380" s="51">
        <v>90.0</v>
      </c>
      <c r="J380" s="230"/>
      <c r="K380" s="124"/>
    </row>
    <row r="381">
      <c r="A381" s="18"/>
      <c r="B381" s="231"/>
      <c r="C381" s="232" t="str">
        <f t="array" ref="C381">XLOOKUP(B381, Chr!$B$5:$B$19, Chr!$E$5:$E$19, "")</f>
        <v/>
      </c>
      <c r="D381" s="51"/>
      <c r="E381" s="51">
        <v>14.0</v>
      </c>
      <c r="F381" s="51">
        <v>20.0</v>
      </c>
      <c r="G381" s="51">
        <v>480.0</v>
      </c>
      <c r="H381" s="51">
        <v>4.0</v>
      </c>
      <c r="I381" s="51">
        <v>94.0</v>
      </c>
      <c r="J381" s="238"/>
      <c r="K381" s="124"/>
    </row>
    <row r="382">
      <c r="A382" s="18"/>
      <c r="B382" s="231"/>
      <c r="C382" s="232" t="str">
        <f t="array" ref="C382">XLOOKUP(B382, Chr!$B$5:$B$19, Chr!$E$5:$E$19, "")</f>
        <v/>
      </c>
      <c r="D382" s="51"/>
      <c r="E382" s="51">
        <v>15.0</v>
      </c>
      <c r="F382" s="51">
        <v>20.0</v>
      </c>
      <c r="G382" s="51">
        <v>500.0</v>
      </c>
      <c r="H382" s="51">
        <v>4.0</v>
      </c>
      <c r="I382" s="51">
        <v>98.0</v>
      </c>
      <c r="J382" s="247" t="s">
        <v>436</v>
      </c>
      <c r="K382" s="124"/>
    </row>
    <row r="383">
      <c r="A383" s="18"/>
      <c r="B383" s="231"/>
      <c r="C383" s="232" t="str">
        <f t="array" ref="C383">XLOOKUP(B383, Chr!$B$5:$B$19, Chr!$E$5:$E$19, "")</f>
        <v/>
      </c>
      <c r="D383" s="51"/>
      <c r="E383" s="51">
        <v>16.0</v>
      </c>
      <c r="F383" s="51">
        <v>20.0</v>
      </c>
      <c r="G383" s="51">
        <v>520.0</v>
      </c>
      <c r="H383" s="51">
        <v>4.0</v>
      </c>
      <c r="I383" s="51">
        <v>102.0</v>
      </c>
      <c r="J383" s="235"/>
      <c r="K383" s="124"/>
    </row>
    <row r="384">
      <c r="A384" s="18"/>
      <c r="B384" s="231"/>
      <c r="C384" s="232" t="str">
        <f t="array" ref="C384">XLOOKUP(B384, Chr!$B$5:$B$19, Chr!$E$5:$E$19, "")</f>
        <v/>
      </c>
      <c r="D384" s="51"/>
      <c r="E384" s="51">
        <v>17.0</v>
      </c>
      <c r="F384" s="51">
        <v>20.0</v>
      </c>
      <c r="G384" s="51">
        <v>540.0</v>
      </c>
      <c r="H384" s="51">
        <v>4.0</v>
      </c>
      <c r="I384" s="51">
        <v>106.0</v>
      </c>
      <c r="J384" s="230"/>
      <c r="K384" s="124"/>
    </row>
    <row r="385">
      <c r="A385" s="18"/>
      <c r="B385" s="231"/>
      <c r="C385" s="232" t="str">
        <f t="array" ref="C385">XLOOKUP(B385, Chr!$B$5:$B$19, Chr!$E$5:$E$19, "")</f>
        <v/>
      </c>
      <c r="D385" s="51"/>
      <c r="E385" s="51">
        <v>18.0</v>
      </c>
      <c r="F385" s="51">
        <v>20.0</v>
      </c>
      <c r="G385" s="51">
        <v>560.0</v>
      </c>
      <c r="H385" s="51">
        <v>4.0</v>
      </c>
      <c r="I385" s="51">
        <v>110.0</v>
      </c>
      <c r="J385" s="230"/>
      <c r="K385" s="124"/>
    </row>
    <row r="386">
      <c r="A386" s="18"/>
      <c r="B386" s="231"/>
      <c r="C386" s="232" t="str">
        <f t="array" ref="C386">XLOOKUP(B386, Chr!$B$5:$B$19, Chr!$E$5:$E$19, "")</f>
        <v/>
      </c>
      <c r="D386" s="51"/>
      <c r="E386" s="51">
        <v>19.0</v>
      </c>
      <c r="F386" s="51">
        <v>20.0</v>
      </c>
      <c r="G386" s="51">
        <v>580.0</v>
      </c>
      <c r="H386" s="51">
        <v>4.0</v>
      </c>
      <c r="I386" s="51">
        <v>114.0</v>
      </c>
      <c r="J386" s="230"/>
      <c r="K386" s="124"/>
    </row>
    <row r="387">
      <c r="A387" s="18"/>
      <c r="B387" s="231"/>
      <c r="C387" s="232" t="str">
        <f t="array" ref="C387">XLOOKUP(B387, Chr!$B$5:$B$19, Chr!$E$5:$E$19, "")</f>
        <v/>
      </c>
      <c r="D387" s="51"/>
      <c r="E387" s="51">
        <v>20.0</v>
      </c>
      <c r="F387" s="51">
        <v>20.0</v>
      </c>
      <c r="G387" s="51">
        <v>600.0</v>
      </c>
      <c r="H387" s="51">
        <v>4.0</v>
      </c>
      <c r="I387" s="51">
        <v>118.0</v>
      </c>
      <c r="J387" s="234"/>
      <c r="K387" s="124"/>
    </row>
    <row r="388">
      <c r="A388" s="18"/>
      <c r="B388" s="231"/>
      <c r="C388" s="232" t="str">
        <f t="array" ref="C388">XLOOKUP(B388, Chr!$B$5:$B$19, Chr!$E$5:$E$19, "")</f>
        <v/>
      </c>
      <c r="D388" s="51">
        <v>2.0</v>
      </c>
      <c r="E388" s="51" t="s">
        <v>349</v>
      </c>
      <c r="F388" s="51">
        <v>20.0</v>
      </c>
      <c r="G388" s="51">
        <v>620.0</v>
      </c>
      <c r="H388" s="51">
        <v>4.0</v>
      </c>
      <c r="I388" s="51">
        <v>122.0</v>
      </c>
      <c r="J388" s="211" t="s">
        <v>437</v>
      </c>
      <c r="K388" s="124"/>
    </row>
    <row r="389">
      <c r="A389" s="18"/>
      <c r="B389" s="231"/>
      <c r="C389" s="232" t="str">
        <f t="array" ref="C389">XLOOKUP(B389, Chr!$B$5:$B$19, Chr!$E$5:$E$19, "")</f>
        <v/>
      </c>
      <c r="D389" s="51"/>
      <c r="E389" s="51">
        <v>21.0</v>
      </c>
      <c r="F389" s="51">
        <v>20.0</v>
      </c>
      <c r="G389" s="51">
        <v>640.0</v>
      </c>
      <c r="H389" s="51">
        <v>4.0</v>
      </c>
      <c r="I389" s="51">
        <v>126.0</v>
      </c>
      <c r="J389" s="235"/>
      <c r="K389" s="124"/>
    </row>
    <row r="390">
      <c r="A390" s="18"/>
      <c r="B390" s="231"/>
      <c r="C390" s="232" t="str">
        <f t="array" ref="C390">XLOOKUP(B390, Chr!$B$5:$B$19, Chr!$E$5:$E$19, "")</f>
        <v/>
      </c>
      <c r="D390" s="51"/>
      <c r="E390" s="51">
        <v>22.0</v>
      </c>
      <c r="F390" s="51">
        <v>20.0</v>
      </c>
      <c r="G390" s="51">
        <v>660.0</v>
      </c>
      <c r="H390" s="51">
        <v>4.0</v>
      </c>
      <c r="I390" s="51">
        <v>130.0</v>
      </c>
      <c r="J390" s="230"/>
      <c r="K390" s="124"/>
    </row>
    <row r="391">
      <c r="A391" s="18"/>
      <c r="B391" s="231"/>
      <c r="C391" s="232" t="str">
        <f t="array" ref="C391">XLOOKUP(B391, Chr!$B$5:$B$19, Chr!$E$5:$E$19, "")</f>
        <v/>
      </c>
      <c r="D391" s="51"/>
      <c r="E391" s="51">
        <v>23.0</v>
      </c>
      <c r="F391" s="51">
        <v>20.0</v>
      </c>
      <c r="G391" s="51">
        <v>680.0</v>
      </c>
      <c r="H391" s="51">
        <v>4.0</v>
      </c>
      <c r="I391" s="51">
        <v>134.0</v>
      </c>
      <c r="J391" s="237"/>
      <c r="K391" s="124"/>
    </row>
    <row r="392">
      <c r="A392" s="18"/>
      <c r="B392" s="231"/>
      <c r="C392" s="232" t="str">
        <f t="array" ref="C392">XLOOKUP(B392, Chr!$B$5:$B$19, Chr!$E$5:$E$19, "")</f>
        <v/>
      </c>
      <c r="D392" s="51"/>
      <c r="E392" s="51">
        <v>24.0</v>
      </c>
      <c r="F392" s="51">
        <v>20.0</v>
      </c>
      <c r="G392" s="51">
        <v>700.0</v>
      </c>
      <c r="H392" s="51">
        <v>4.0</v>
      </c>
      <c r="I392" s="51">
        <v>138.0</v>
      </c>
      <c r="J392" s="234"/>
      <c r="K392" s="124"/>
    </row>
    <row r="393">
      <c r="A393" s="18"/>
      <c r="B393" s="231"/>
      <c r="C393" s="232" t="str">
        <f t="array" ref="C393">XLOOKUP(B393, Chr!$B$5:$B$19, Chr!$E$5:$E$19, "")</f>
        <v/>
      </c>
      <c r="D393" s="51"/>
      <c r="E393" s="51">
        <v>25.0</v>
      </c>
      <c r="F393" s="51">
        <v>20.0</v>
      </c>
      <c r="G393" s="51">
        <v>720.0</v>
      </c>
      <c r="H393" s="51">
        <v>4.0</v>
      </c>
      <c r="I393" s="51">
        <v>142.0</v>
      </c>
      <c r="J393" s="247" t="s">
        <v>438</v>
      </c>
      <c r="K393" s="124"/>
    </row>
    <row r="394">
      <c r="A394" s="18"/>
      <c r="B394" s="231"/>
      <c r="C394" s="232" t="str">
        <f t="array" ref="C394">XLOOKUP(B394, Chr!$B$5:$B$19, Chr!$E$5:$E$19, "")</f>
        <v/>
      </c>
      <c r="D394" s="51"/>
      <c r="E394" s="51">
        <v>26.0</v>
      </c>
      <c r="F394" s="51">
        <v>20.0</v>
      </c>
      <c r="G394" s="51">
        <v>740.0</v>
      </c>
      <c r="H394" s="51">
        <v>4.0</v>
      </c>
      <c r="I394" s="51">
        <v>146.0</v>
      </c>
      <c r="J394" s="235"/>
      <c r="K394" s="124"/>
    </row>
    <row r="395">
      <c r="A395" s="18"/>
      <c r="B395" s="231"/>
      <c r="C395" s="232" t="str">
        <f t="array" ref="C395">XLOOKUP(B395, Chr!$B$5:$B$19, Chr!$E$5:$E$19, "")</f>
        <v/>
      </c>
      <c r="D395" s="51"/>
      <c r="E395" s="51">
        <v>27.0</v>
      </c>
      <c r="F395" s="51">
        <v>20.0</v>
      </c>
      <c r="G395" s="51">
        <v>760.0</v>
      </c>
      <c r="H395" s="51">
        <v>4.0</v>
      </c>
      <c r="I395" s="51">
        <v>150.0</v>
      </c>
      <c r="J395" s="230"/>
      <c r="K395" s="124"/>
    </row>
    <row r="396">
      <c r="A396" s="18"/>
      <c r="B396" s="231"/>
      <c r="C396" s="232" t="str">
        <f t="array" ref="C396">XLOOKUP(B396, Chr!$B$5:$B$19, Chr!$E$5:$E$19, "")</f>
        <v/>
      </c>
      <c r="D396" s="51"/>
      <c r="E396" s="51">
        <v>28.0</v>
      </c>
      <c r="F396" s="51">
        <v>20.0</v>
      </c>
      <c r="G396" s="51">
        <v>780.0</v>
      </c>
      <c r="H396" s="51">
        <v>4.0</v>
      </c>
      <c r="I396" s="51">
        <v>154.0</v>
      </c>
      <c r="J396" s="230"/>
      <c r="K396" s="124"/>
    </row>
    <row r="397">
      <c r="A397" s="18"/>
      <c r="B397" s="231"/>
      <c r="C397" s="232" t="str">
        <f t="array" ref="C397">XLOOKUP(B397, Chr!$B$5:$B$19, Chr!$E$5:$E$19, "")</f>
        <v/>
      </c>
      <c r="D397" s="51"/>
      <c r="E397" s="51">
        <v>29.0</v>
      </c>
      <c r="F397" s="51">
        <v>20.0</v>
      </c>
      <c r="G397" s="51">
        <v>800.0</v>
      </c>
      <c r="H397" s="51">
        <v>4.0</v>
      </c>
      <c r="I397" s="51">
        <v>158.0</v>
      </c>
      <c r="J397" s="230"/>
      <c r="K397" s="124"/>
    </row>
    <row r="398">
      <c r="A398" s="18"/>
      <c r="B398" s="231"/>
      <c r="C398" s="232" t="str">
        <f t="array" ref="C398">XLOOKUP(B398, Chr!$B$5:$B$19, Chr!$E$5:$E$19, "")</f>
        <v/>
      </c>
      <c r="D398" s="51"/>
      <c r="E398" s="51">
        <v>30.0</v>
      </c>
      <c r="F398" s="51">
        <v>20.0</v>
      </c>
      <c r="G398" s="51">
        <v>820.0</v>
      </c>
      <c r="H398" s="51">
        <v>4.0</v>
      </c>
      <c r="I398" s="51">
        <v>162.0</v>
      </c>
      <c r="J398" s="234"/>
      <c r="K398" s="124"/>
    </row>
    <row r="399">
      <c r="A399" s="18"/>
      <c r="B399" s="231"/>
      <c r="C399" s="232" t="str">
        <f t="array" ref="C399">XLOOKUP(B399, Chr!$B$5:$B$19, Chr!$E$5:$E$19, "")</f>
        <v/>
      </c>
      <c r="D399" s="51">
        <v>3.0</v>
      </c>
      <c r="E399" s="51" t="s">
        <v>349</v>
      </c>
      <c r="F399" s="51">
        <v>20.0</v>
      </c>
      <c r="G399" s="51">
        <v>840.0</v>
      </c>
      <c r="H399" s="51">
        <v>4.0</v>
      </c>
      <c r="I399" s="51">
        <v>166.0</v>
      </c>
      <c r="J399" s="211" t="s">
        <v>439</v>
      </c>
      <c r="K399" s="124"/>
    </row>
    <row r="400">
      <c r="A400" s="18"/>
      <c r="B400" s="231"/>
      <c r="C400" s="232" t="str">
        <f t="array" ref="C400">XLOOKUP(B400, Chr!$B$5:$B$19, Chr!$E$5:$E$19, "")</f>
        <v/>
      </c>
      <c r="D400" s="51"/>
      <c r="E400" s="51">
        <v>31.0</v>
      </c>
      <c r="F400" s="51">
        <v>20.0</v>
      </c>
      <c r="G400" s="51">
        <v>860.0</v>
      </c>
      <c r="H400" s="51">
        <v>4.0</v>
      </c>
      <c r="I400" s="51">
        <v>170.0</v>
      </c>
      <c r="J400" s="235"/>
      <c r="K400" s="124"/>
    </row>
    <row r="401">
      <c r="A401" s="18"/>
      <c r="B401" s="231"/>
      <c r="C401" s="232" t="str">
        <f t="array" ref="C401">XLOOKUP(B401, Chr!$B$5:$B$19, Chr!$E$5:$E$19, "")</f>
        <v/>
      </c>
      <c r="D401" s="51"/>
      <c r="E401" s="51">
        <v>32.0</v>
      </c>
      <c r="F401" s="51">
        <v>20.0</v>
      </c>
      <c r="G401" s="51">
        <v>880.0</v>
      </c>
      <c r="H401" s="51">
        <v>4.0</v>
      </c>
      <c r="I401" s="51">
        <v>174.0</v>
      </c>
      <c r="J401" s="230"/>
      <c r="K401" s="124"/>
    </row>
    <row r="402">
      <c r="A402" s="18"/>
      <c r="B402" s="231"/>
      <c r="C402" s="232" t="str">
        <f t="array" ref="C402">XLOOKUP(B402, Chr!$B$5:$B$19, Chr!$E$5:$E$19, "")</f>
        <v/>
      </c>
      <c r="D402" s="51"/>
      <c r="E402" s="51">
        <v>33.0</v>
      </c>
      <c r="F402" s="51">
        <v>20.0</v>
      </c>
      <c r="G402" s="51">
        <v>900.0</v>
      </c>
      <c r="H402" s="51">
        <v>4.0</v>
      </c>
      <c r="I402" s="51">
        <v>178.0</v>
      </c>
      <c r="J402" s="230"/>
      <c r="K402" s="124"/>
    </row>
    <row r="403">
      <c r="A403" s="18"/>
      <c r="B403" s="231"/>
      <c r="C403" s="232" t="str">
        <f t="array" ref="C403">XLOOKUP(B403, Chr!$B$5:$B$19, Chr!$E$5:$E$19, "")</f>
        <v/>
      </c>
      <c r="D403" s="51"/>
      <c r="E403" s="51">
        <v>34.0</v>
      </c>
      <c r="F403" s="51">
        <v>20.0</v>
      </c>
      <c r="G403" s="51">
        <v>920.0</v>
      </c>
      <c r="H403" s="51">
        <v>4.0</v>
      </c>
      <c r="I403" s="51">
        <v>182.0</v>
      </c>
      <c r="J403" s="234"/>
      <c r="K403" s="124"/>
    </row>
    <row r="404">
      <c r="A404" s="18"/>
      <c r="B404" s="231"/>
      <c r="C404" s="232" t="str">
        <f t="array" ref="C404">XLOOKUP(B404, Chr!$B$5:$B$19, Chr!$E$5:$E$19, "")</f>
        <v/>
      </c>
      <c r="D404" s="51"/>
      <c r="E404" s="51">
        <v>35.0</v>
      </c>
      <c r="F404" s="51">
        <v>20.0</v>
      </c>
      <c r="G404" s="51">
        <v>940.0</v>
      </c>
      <c r="H404" s="51">
        <v>4.0</v>
      </c>
      <c r="I404" s="51">
        <v>186.0</v>
      </c>
      <c r="J404" s="211" t="s">
        <v>440</v>
      </c>
      <c r="K404" s="124"/>
    </row>
    <row r="405">
      <c r="A405" s="18"/>
      <c r="B405" s="231"/>
      <c r="C405" s="232" t="str">
        <f t="array" ref="C405">XLOOKUP(B405, Chr!$B$5:$B$19, Chr!$E$5:$E$19, "")</f>
        <v/>
      </c>
      <c r="D405" s="51"/>
      <c r="E405" s="51">
        <v>36.0</v>
      </c>
      <c r="F405" s="51">
        <v>20.0</v>
      </c>
      <c r="G405" s="51">
        <v>960.0</v>
      </c>
      <c r="H405" s="51">
        <v>4.0</v>
      </c>
      <c r="I405" s="51">
        <v>190.0</v>
      </c>
      <c r="J405" s="235"/>
      <c r="K405" s="124"/>
    </row>
    <row r="406">
      <c r="A406" s="18"/>
      <c r="B406" s="231"/>
      <c r="C406" s="232" t="str">
        <f t="array" ref="C406">XLOOKUP(B406, Chr!$B$5:$B$19, Chr!$E$5:$E$19, "")</f>
        <v/>
      </c>
      <c r="D406" s="51"/>
      <c r="E406" s="51">
        <v>37.0</v>
      </c>
      <c r="F406" s="51">
        <v>20.0</v>
      </c>
      <c r="G406" s="51">
        <v>980.0</v>
      </c>
      <c r="H406" s="51">
        <v>4.0</v>
      </c>
      <c r="I406" s="51">
        <v>194.0</v>
      </c>
      <c r="J406" s="230"/>
      <c r="K406" s="124"/>
    </row>
    <row r="407">
      <c r="A407" s="18"/>
      <c r="B407" s="231"/>
      <c r="C407" s="232" t="str">
        <f t="array" ref="C407">XLOOKUP(B407, Chr!$B$5:$B$19, Chr!$E$5:$E$19, "")</f>
        <v/>
      </c>
      <c r="D407" s="51"/>
      <c r="E407" s="51">
        <v>38.0</v>
      </c>
      <c r="F407" s="51">
        <v>20.0</v>
      </c>
      <c r="G407" s="51">
        <v>1000.0</v>
      </c>
      <c r="H407" s="51">
        <v>4.0</v>
      </c>
      <c r="I407" s="51">
        <v>198.0</v>
      </c>
      <c r="J407" s="230"/>
      <c r="K407" s="124"/>
    </row>
    <row r="408">
      <c r="A408" s="18"/>
      <c r="B408" s="231"/>
      <c r="C408" s="232" t="str">
        <f t="array" ref="C408">XLOOKUP(B408, Chr!$B$5:$B$19, Chr!$E$5:$E$19, "")</f>
        <v/>
      </c>
      <c r="D408" s="51"/>
      <c r="E408" s="51">
        <v>39.0</v>
      </c>
      <c r="F408" s="51">
        <v>20.0</v>
      </c>
      <c r="G408" s="51">
        <v>1020.0</v>
      </c>
      <c r="H408" s="51">
        <v>4.0</v>
      </c>
      <c r="I408" s="51">
        <v>202.0</v>
      </c>
      <c r="J408" s="230"/>
      <c r="K408" s="124"/>
    </row>
    <row r="409">
      <c r="A409" s="18"/>
      <c r="B409" s="231"/>
      <c r="C409" s="232" t="str">
        <f t="array" ref="C409">XLOOKUP(B409, Chr!$B$5:$B$19, Chr!$E$5:$E$19, "")</f>
        <v/>
      </c>
      <c r="D409" s="51"/>
      <c r="E409" s="51">
        <v>40.0</v>
      </c>
      <c r="F409" s="51">
        <v>20.0</v>
      </c>
      <c r="G409" s="51">
        <v>1040.0</v>
      </c>
      <c r="H409" s="51">
        <v>4.0</v>
      </c>
      <c r="I409" s="51">
        <v>206.0</v>
      </c>
      <c r="J409" s="234"/>
      <c r="K409" s="124"/>
    </row>
    <row r="410">
      <c r="A410" s="18"/>
      <c r="B410" s="239"/>
      <c r="C410" s="240" t="str">
        <f t="array" ref="C410">XLOOKUP(B410, Chr!$B$5:$B$19, Chr!$E$5:$E$19, "")</f>
        <v/>
      </c>
      <c r="D410" s="214">
        <v>4.0</v>
      </c>
      <c r="E410" s="214" t="s">
        <v>349</v>
      </c>
      <c r="F410" s="214">
        <v>20.0</v>
      </c>
      <c r="G410" s="214">
        <v>1060.0</v>
      </c>
      <c r="H410" s="214">
        <v>4.0</v>
      </c>
      <c r="I410" s="214">
        <v>210.0</v>
      </c>
      <c r="J410" s="215" t="s">
        <v>441</v>
      </c>
      <c r="K410" s="124"/>
    </row>
    <row r="411">
      <c r="A411" s="41"/>
      <c r="B411" s="242"/>
      <c r="C411" s="131"/>
      <c r="D411" s="131"/>
      <c r="E411" s="131"/>
      <c r="F411" s="131"/>
      <c r="G411" s="131"/>
      <c r="H411" s="131"/>
      <c r="I411" s="131"/>
      <c r="J411" s="131"/>
      <c r="K411" s="41"/>
    </row>
    <row r="412">
      <c r="A412" s="18"/>
      <c r="B412" s="224">
        <v>1009.0</v>
      </c>
      <c r="C412" s="225" t="s">
        <v>223</v>
      </c>
      <c r="D412" s="226">
        <v>0.0</v>
      </c>
      <c r="E412" s="226">
        <v>1.0</v>
      </c>
      <c r="F412" s="226">
        <v>4.0</v>
      </c>
      <c r="G412" s="226">
        <v>35.0</v>
      </c>
      <c r="H412" s="226">
        <v>2.0</v>
      </c>
      <c r="I412" s="226">
        <v>15.0</v>
      </c>
      <c r="J412" s="227"/>
      <c r="K412" s="124"/>
    </row>
    <row r="413">
      <c r="A413" s="18"/>
      <c r="B413" s="228"/>
      <c r="C413" s="229"/>
      <c r="D413" s="51"/>
      <c r="E413" s="51">
        <v>2.0</v>
      </c>
      <c r="F413" s="51">
        <v>4.0</v>
      </c>
      <c r="G413" s="51">
        <f>G412+F413</f>
        <v>39</v>
      </c>
      <c r="H413" s="51">
        <v>2.0</v>
      </c>
      <c r="I413" s="51">
        <f t="shared" ref="I413:I414" si="15">I412+H413</f>
        <v>17</v>
      </c>
      <c r="J413" s="230"/>
      <c r="K413" s="124"/>
    </row>
    <row r="414">
      <c r="A414" s="18"/>
      <c r="B414" s="231"/>
      <c r="C414" s="232" t="str">
        <f t="array" ref="C414">XLOOKUP(B414, Chr!$B$5:$B$19, Chr!$E$5:$E$19, "")</f>
        <v/>
      </c>
      <c r="D414" s="51"/>
      <c r="E414" s="51">
        <v>3.0</v>
      </c>
      <c r="F414" s="51">
        <v>4.0</v>
      </c>
      <c r="G414" s="51">
        <v>36.0</v>
      </c>
      <c r="H414" s="51">
        <v>2.0</v>
      </c>
      <c r="I414" s="51">
        <f t="shared" si="15"/>
        <v>19</v>
      </c>
      <c r="J414" s="230"/>
      <c r="K414" s="124"/>
    </row>
    <row r="415">
      <c r="A415" s="18"/>
      <c r="B415" s="231"/>
      <c r="C415" s="232" t="str">
        <f t="array" ref="C415">XLOOKUP(B415, Chr!$B$5:$B$19, Chr!$E$5:$E$19, "")</f>
        <v/>
      </c>
      <c r="D415" s="51"/>
      <c r="E415" s="51">
        <v>4.0</v>
      </c>
      <c r="F415" s="51">
        <v>4.0</v>
      </c>
      <c r="G415" s="51">
        <f>G414+F415</f>
        <v>40</v>
      </c>
      <c r="H415" s="51">
        <v>2.0</v>
      </c>
      <c r="I415" s="208">
        <v>16.0</v>
      </c>
      <c r="J415" s="234"/>
      <c r="K415" s="124"/>
    </row>
    <row r="416">
      <c r="A416" s="18"/>
      <c r="B416" s="231"/>
      <c r="C416" s="232" t="str">
        <f t="array" ref="C416">XLOOKUP(B416, Chr!$B$5:$B$19, Chr!$E$5:$E$19, "")</f>
        <v/>
      </c>
      <c r="D416" s="51"/>
      <c r="E416" s="51">
        <v>5.0</v>
      </c>
      <c r="F416" s="51">
        <v>4.0</v>
      </c>
      <c r="G416" s="51">
        <v>37.0</v>
      </c>
      <c r="H416" s="51">
        <v>2.0</v>
      </c>
      <c r="I416" s="51">
        <f t="shared" ref="I416:I417" si="16">I415+H416</f>
        <v>18</v>
      </c>
      <c r="J416" s="211" t="s">
        <v>442</v>
      </c>
      <c r="K416" s="124"/>
    </row>
    <row r="417">
      <c r="A417" s="18"/>
      <c r="B417" s="231"/>
      <c r="C417" s="232" t="str">
        <f t="array" ref="C417">XLOOKUP(B417, Chr!$B$5:$B$19, Chr!$E$5:$E$19, "")</f>
        <v/>
      </c>
      <c r="D417" s="51"/>
      <c r="E417" s="51">
        <v>6.0</v>
      </c>
      <c r="F417" s="51">
        <v>4.0</v>
      </c>
      <c r="G417" s="51">
        <f>G416+F417</f>
        <v>41</v>
      </c>
      <c r="H417" s="51">
        <v>2.0</v>
      </c>
      <c r="I417" s="51">
        <f t="shared" si="16"/>
        <v>20</v>
      </c>
      <c r="J417" s="235"/>
      <c r="K417" s="124"/>
    </row>
    <row r="418">
      <c r="A418" s="18"/>
      <c r="B418" s="231"/>
      <c r="C418" s="232" t="str">
        <f t="array" ref="C418">XLOOKUP(B418, Chr!$B$5:$B$19, Chr!$E$5:$E$19, "")</f>
        <v/>
      </c>
      <c r="D418" s="51"/>
      <c r="E418" s="51">
        <v>7.0</v>
      </c>
      <c r="F418" s="51">
        <v>4.0</v>
      </c>
      <c r="G418" s="51">
        <v>38.0</v>
      </c>
      <c r="H418" s="51">
        <v>2.0</v>
      </c>
      <c r="I418" s="208">
        <v>17.0</v>
      </c>
      <c r="J418" s="230"/>
      <c r="K418" s="124"/>
    </row>
    <row r="419">
      <c r="A419" s="18"/>
      <c r="B419" s="231"/>
      <c r="C419" s="232" t="str">
        <f t="array" ref="C419">XLOOKUP(B419, Chr!$B$5:$B$19, Chr!$E$5:$E$19, "")</f>
        <v/>
      </c>
      <c r="D419" s="51"/>
      <c r="E419" s="51">
        <v>8.0</v>
      </c>
      <c r="F419" s="51">
        <v>4.0</v>
      </c>
      <c r="G419" s="51">
        <f>G418+F419</f>
        <v>42</v>
      </c>
      <c r="H419" s="51">
        <v>2.0</v>
      </c>
      <c r="I419" s="51">
        <f t="shared" ref="I419:I420" si="17">I418+H419</f>
        <v>19</v>
      </c>
      <c r="J419" s="230"/>
      <c r="K419" s="124"/>
    </row>
    <row r="420">
      <c r="A420" s="18"/>
      <c r="B420" s="231"/>
      <c r="C420" s="232" t="str">
        <f t="array" ref="C420">XLOOKUP(B420, Chr!$B$5:$B$19, Chr!$E$5:$E$19, "")</f>
        <v/>
      </c>
      <c r="D420" s="51"/>
      <c r="E420" s="51">
        <v>9.0</v>
      </c>
      <c r="F420" s="51">
        <v>4.0</v>
      </c>
      <c r="G420" s="51">
        <v>39.0</v>
      </c>
      <c r="H420" s="51">
        <v>2.0</v>
      </c>
      <c r="I420" s="51">
        <f t="shared" si="17"/>
        <v>21</v>
      </c>
      <c r="J420" s="230"/>
      <c r="K420" s="124"/>
    </row>
    <row r="421">
      <c r="A421" s="18"/>
      <c r="B421" s="231"/>
      <c r="C421" s="232" t="str">
        <f t="array" ref="C421">XLOOKUP(B421, Chr!$B$5:$B$19, Chr!$E$5:$E$19, "")</f>
        <v/>
      </c>
      <c r="D421" s="51"/>
      <c r="E421" s="51">
        <v>10.0</v>
      </c>
      <c r="F421" s="51">
        <v>4.0</v>
      </c>
      <c r="G421" s="51">
        <f>G420+F421</f>
        <v>43</v>
      </c>
      <c r="H421" s="51">
        <v>2.0</v>
      </c>
      <c r="I421" s="208">
        <v>18.0</v>
      </c>
      <c r="J421" s="234"/>
      <c r="K421" s="124"/>
    </row>
    <row r="422">
      <c r="A422" s="18"/>
      <c r="B422" s="231"/>
      <c r="C422" s="232" t="str">
        <f t="array" ref="C422">XLOOKUP(B422, Chr!$B$5:$B$19, Chr!$E$5:$E$19, "")</f>
        <v/>
      </c>
      <c r="D422" s="51">
        <v>1.0</v>
      </c>
      <c r="E422" s="51" t="s">
        <v>349</v>
      </c>
      <c r="F422" s="51">
        <v>4.0</v>
      </c>
      <c r="G422" s="51">
        <v>40.0</v>
      </c>
      <c r="H422" s="51">
        <v>2.0</v>
      </c>
      <c r="I422" s="51">
        <f t="shared" ref="I422:I423" si="18">I421+H422</f>
        <v>20</v>
      </c>
      <c r="J422" s="211" t="s">
        <v>443</v>
      </c>
      <c r="K422" s="124"/>
    </row>
    <row r="423">
      <c r="A423" s="18"/>
      <c r="B423" s="231"/>
      <c r="C423" s="232" t="str">
        <f t="array" ref="C423">XLOOKUP(B423, Chr!$B$5:$B$19, Chr!$E$5:$E$19, "")</f>
        <v/>
      </c>
      <c r="D423" s="51"/>
      <c r="E423" s="51">
        <v>11.0</v>
      </c>
      <c r="F423" s="51">
        <v>4.0</v>
      </c>
      <c r="G423" s="51">
        <f>G422+F423</f>
        <v>44</v>
      </c>
      <c r="H423" s="51">
        <v>2.0</v>
      </c>
      <c r="I423" s="51">
        <f t="shared" si="18"/>
        <v>22</v>
      </c>
      <c r="J423" s="235"/>
      <c r="K423" s="124"/>
    </row>
    <row r="424">
      <c r="A424" s="18"/>
      <c r="B424" s="231"/>
      <c r="C424" s="232" t="str">
        <f t="array" ref="C424">XLOOKUP(B424, Chr!$B$5:$B$19, Chr!$E$5:$E$19, "")</f>
        <v/>
      </c>
      <c r="D424" s="51"/>
      <c r="E424" s="51">
        <v>12.0</v>
      </c>
      <c r="F424" s="51">
        <v>4.0</v>
      </c>
      <c r="G424" s="51">
        <v>41.0</v>
      </c>
      <c r="H424" s="51">
        <v>2.0</v>
      </c>
      <c r="I424" s="208">
        <v>19.0</v>
      </c>
      <c r="J424" s="230"/>
      <c r="K424" s="124"/>
    </row>
    <row r="425">
      <c r="A425" s="18"/>
      <c r="B425" s="231"/>
      <c r="C425" s="232" t="str">
        <f t="array" ref="C425">XLOOKUP(B425, Chr!$B$5:$B$19, Chr!$E$5:$E$19, "")</f>
        <v/>
      </c>
      <c r="D425" s="51"/>
      <c r="E425" s="51">
        <v>13.0</v>
      </c>
      <c r="F425" s="51">
        <v>4.0</v>
      </c>
      <c r="G425" s="51">
        <f>G424+F425</f>
        <v>45</v>
      </c>
      <c r="H425" s="51">
        <v>2.0</v>
      </c>
      <c r="I425" s="51">
        <f t="shared" ref="I425:I426" si="19">I424+H425</f>
        <v>21</v>
      </c>
      <c r="J425" s="230"/>
      <c r="K425" s="124"/>
    </row>
    <row r="426">
      <c r="A426" s="18"/>
      <c r="B426" s="231"/>
      <c r="C426" s="232" t="str">
        <f t="array" ref="C426">XLOOKUP(B426, Chr!$B$5:$B$19, Chr!$E$5:$E$19, "")</f>
        <v/>
      </c>
      <c r="D426" s="51"/>
      <c r="E426" s="51">
        <v>14.0</v>
      </c>
      <c r="F426" s="51">
        <v>4.0</v>
      </c>
      <c r="G426" s="51">
        <v>42.0</v>
      </c>
      <c r="H426" s="51">
        <v>2.0</v>
      </c>
      <c r="I426" s="51">
        <f t="shared" si="19"/>
        <v>23</v>
      </c>
      <c r="J426" s="238"/>
      <c r="K426" s="124"/>
    </row>
    <row r="427">
      <c r="A427" s="18"/>
      <c r="B427" s="231"/>
      <c r="C427" s="232" t="str">
        <f t="array" ref="C427">XLOOKUP(B427, Chr!$B$5:$B$19, Chr!$E$5:$E$19, "")</f>
        <v/>
      </c>
      <c r="D427" s="51"/>
      <c r="E427" s="51">
        <v>15.0</v>
      </c>
      <c r="F427" s="51">
        <v>4.0</v>
      </c>
      <c r="G427" s="51">
        <f>G426+F427</f>
        <v>46</v>
      </c>
      <c r="H427" s="51">
        <v>2.0</v>
      </c>
      <c r="I427" s="208">
        <v>20.0</v>
      </c>
      <c r="J427" s="247" t="s">
        <v>444</v>
      </c>
      <c r="K427" s="124"/>
    </row>
    <row r="428">
      <c r="A428" s="18"/>
      <c r="B428" s="231"/>
      <c r="C428" s="232" t="str">
        <f t="array" ref="C428">XLOOKUP(B428, Chr!$B$5:$B$19, Chr!$E$5:$E$19, "")</f>
        <v/>
      </c>
      <c r="D428" s="51"/>
      <c r="E428" s="51">
        <v>16.0</v>
      </c>
      <c r="F428" s="51">
        <v>4.0</v>
      </c>
      <c r="G428" s="51">
        <v>43.0</v>
      </c>
      <c r="H428" s="51">
        <v>2.0</v>
      </c>
      <c r="I428" s="51">
        <f t="shared" ref="I428:I429" si="20">I427+H428</f>
        <v>22</v>
      </c>
      <c r="J428" s="235"/>
      <c r="K428" s="124"/>
    </row>
    <row r="429">
      <c r="A429" s="18"/>
      <c r="B429" s="231"/>
      <c r="C429" s="232" t="str">
        <f t="array" ref="C429">XLOOKUP(B429, Chr!$B$5:$B$19, Chr!$E$5:$E$19, "")</f>
        <v/>
      </c>
      <c r="D429" s="51"/>
      <c r="E429" s="51">
        <v>17.0</v>
      </c>
      <c r="F429" s="51">
        <v>4.0</v>
      </c>
      <c r="G429" s="51">
        <f>G428+F429</f>
        <v>47</v>
      </c>
      <c r="H429" s="51">
        <v>2.0</v>
      </c>
      <c r="I429" s="51">
        <f t="shared" si="20"/>
        <v>24</v>
      </c>
      <c r="J429" s="230"/>
      <c r="K429" s="124"/>
    </row>
    <row r="430">
      <c r="A430" s="18"/>
      <c r="B430" s="231"/>
      <c r="C430" s="232" t="str">
        <f t="array" ref="C430">XLOOKUP(B430, Chr!$B$5:$B$19, Chr!$E$5:$E$19, "")</f>
        <v/>
      </c>
      <c r="D430" s="51"/>
      <c r="E430" s="51">
        <v>18.0</v>
      </c>
      <c r="F430" s="51">
        <v>4.0</v>
      </c>
      <c r="G430" s="51">
        <v>44.0</v>
      </c>
      <c r="H430" s="51">
        <v>2.0</v>
      </c>
      <c r="I430" s="208">
        <v>21.0</v>
      </c>
      <c r="J430" s="230"/>
      <c r="K430" s="124"/>
    </row>
    <row r="431">
      <c r="A431" s="18"/>
      <c r="B431" s="231"/>
      <c r="C431" s="232" t="str">
        <f t="array" ref="C431">XLOOKUP(B431, Chr!$B$5:$B$19, Chr!$E$5:$E$19, "")</f>
        <v/>
      </c>
      <c r="D431" s="51"/>
      <c r="E431" s="51">
        <v>19.0</v>
      </c>
      <c r="F431" s="51">
        <v>4.0</v>
      </c>
      <c r="G431" s="51">
        <f>G430+F431</f>
        <v>48</v>
      </c>
      <c r="H431" s="51">
        <v>2.0</v>
      </c>
      <c r="I431" s="51">
        <f t="shared" ref="I431:I432" si="21">I430+H431</f>
        <v>23</v>
      </c>
      <c r="J431" s="230"/>
      <c r="K431" s="124"/>
    </row>
    <row r="432">
      <c r="A432" s="18"/>
      <c r="B432" s="231"/>
      <c r="C432" s="232" t="str">
        <f t="array" ref="C432">XLOOKUP(B432, Chr!$B$5:$B$19, Chr!$E$5:$E$19, "")</f>
        <v/>
      </c>
      <c r="D432" s="51"/>
      <c r="E432" s="51">
        <v>20.0</v>
      </c>
      <c r="F432" s="51">
        <v>4.0</v>
      </c>
      <c r="G432" s="51">
        <v>45.0</v>
      </c>
      <c r="H432" s="51">
        <v>2.0</v>
      </c>
      <c r="I432" s="51">
        <f t="shared" si="21"/>
        <v>25</v>
      </c>
      <c r="J432" s="234"/>
      <c r="K432" s="124"/>
    </row>
    <row r="433">
      <c r="A433" s="18"/>
      <c r="B433" s="231"/>
      <c r="C433" s="232" t="str">
        <f t="array" ref="C433">XLOOKUP(B433, Chr!$B$5:$B$19, Chr!$E$5:$E$19, "")</f>
        <v/>
      </c>
      <c r="D433" s="51">
        <v>2.0</v>
      </c>
      <c r="E433" s="51" t="s">
        <v>349</v>
      </c>
      <c r="F433" s="51">
        <v>4.0</v>
      </c>
      <c r="G433" s="51">
        <f>G432+F433</f>
        <v>49</v>
      </c>
      <c r="H433" s="51">
        <v>2.0</v>
      </c>
      <c r="I433" s="208">
        <v>22.0</v>
      </c>
      <c r="J433" s="211" t="s">
        <v>445</v>
      </c>
      <c r="K433" s="124"/>
    </row>
    <row r="434">
      <c r="A434" s="18"/>
      <c r="B434" s="231"/>
      <c r="C434" s="232" t="str">
        <f t="array" ref="C434">XLOOKUP(B434, Chr!$B$5:$B$19, Chr!$E$5:$E$19, "")</f>
        <v/>
      </c>
      <c r="D434" s="51"/>
      <c r="E434" s="51">
        <v>21.0</v>
      </c>
      <c r="F434" s="51">
        <v>4.0</v>
      </c>
      <c r="G434" s="51">
        <v>46.0</v>
      </c>
      <c r="H434" s="51">
        <v>2.0</v>
      </c>
      <c r="I434" s="51">
        <f t="shared" ref="I434:I435" si="22">I433+H434</f>
        <v>24</v>
      </c>
      <c r="J434" s="235"/>
      <c r="K434" s="124"/>
    </row>
    <row r="435">
      <c r="A435" s="18"/>
      <c r="B435" s="231"/>
      <c r="C435" s="232" t="str">
        <f t="array" ref="C435">XLOOKUP(B435, Chr!$B$5:$B$19, Chr!$E$5:$E$19, "")</f>
        <v/>
      </c>
      <c r="D435" s="51"/>
      <c r="E435" s="51">
        <v>22.0</v>
      </c>
      <c r="F435" s="51">
        <v>4.0</v>
      </c>
      <c r="G435" s="51">
        <f>G434+F435</f>
        <v>50</v>
      </c>
      <c r="H435" s="51">
        <v>2.0</v>
      </c>
      <c r="I435" s="51">
        <f t="shared" si="22"/>
        <v>26</v>
      </c>
      <c r="J435" s="230"/>
      <c r="K435" s="124"/>
    </row>
    <row r="436">
      <c r="A436" s="18"/>
      <c r="B436" s="231"/>
      <c r="C436" s="232" t="str">
        <f t="array" ref="C436">XLOOKUP(B436, Chr!$B$5:$B$19, Chr!$E$5:$E$19, "")</f>
        <v/>
      </c>
      <c r="D436" s="51"/>
      <c r="E436" s="51">
        <v>23.0</v>
      </c>
      <c r="F436" s="51">
        <v>4.0</v>
      </c>
      <c r="G436" s="51">
        <v>47.0</v>
      </c>
      <c r="H436" s="51">
        <v>2.0</v>
      </c>
      <c r="I436" s="208">
        <v>23.0</v>
      </c>
      <c r="J436" s="237"/>
      <c r="K436" s="124"/>
    </row>
    <row r="437">
      <c r="A437" s="18"/>
      <c r="B437" s="231"/>
      <c r="C437" s="232" t="str">
        <f t="array" ref="C437">XLOOKUP(B437, Chr!$B$5:$B$19, Chr!$E$5:$E$19, "")</f>
        <v/>
      </c>
      <c r="D437" s="51"/>
      <c r="E437" s="51">
        <v>24.0</v>
      </c>
      <c r="F437" s="51">
        <v>4.0</v>
      </c>
      <c r="G437" s="51">
        <f>G436+F437</f>
        <v>51</v>
      </c>
      <c r="H437" s="51">
        <v>2.0</v>
      </c>
      <c r="I437" s="51">
        <f t="shared" ref="I437:I438" si="23">I436+H437</f>
        <v>25</v>
      </c>
      <c r="J437" s="234"/>
      <c r="K437" s="124"/>
    </row>
    <row r="438">
      <c r="A438" s="18"/>
      <c r="B438" s="231"/>
      <c r="C438" s="232" t="str">
        <f t="array" ref="C438">XLOOKUP(B438, Chr!$B$5:$B$19, Chr!$E$5:$E$19, "")</f>
        <v/>
      </c>
      <c r="D438" s="51"/>
      <c r="E438" s="51">
        <v>25.0</v>
      </c>
      <c r="F438" s="51">
        <v>4.0</v>
      </c>
      <c r="G438" s="51">
        <v>48.0</v>
      </c>
      <c r="H438" s="51">
        <v>2.0</v>
      </c>
      <c r="I438" s="51">
        <f t="shared" si="23"/>
        <v>27</v>
      </c>
      <c r="J438" s="247" t="s">
        <v>446</v>
      </c>
      <c r="K438" s="124"/>
    </row>
    <row r="439">
      <c r="A439" s="18"/>
      <c r="B439" s="231"/>
      <c r="C439" s="232" t="str">
        <f t="array" ref="C439">XLOOKUP(B439, Chr!$B$5:$B$19, Chr!$E$5:$E$19, "")</f>
        <v/>
      </c>
      <c r="D439" s="51"/>
      <c r="E439" s="51">
        <v>26.0</v>
      </c>
      <c r="F439" s="51">
        <v>4.0</v>
      </c>
      <c r="G439" s="51">
        <f>G438+F439</f>
        <v>52</v>
      </c>
      <c r="H439" s="51">
        <v>2.0</v>
      </c>
      <c r="I439" s="208">
        <v>24.0</v>
      </c>
      <c r="J439" s="235"/>
      <c r="K439" s="124"/>
    </row>
    <row r="440">
      <c r="A440" s="18"/>
      <c r="B440" s="231"/>
      <c r="C440" s="232" t="str">
        <f t="array" ref="C440">XLOOKUP(B440, Chr!$B$5:$B$19, Chr!$E$5:$E$19, "")</f>
        <v/>
      </c>
      <c r="D440" s="51"/>
      <c r="E440" s="51">
        <v>27.0</v>
      </c>
      <c r="F440" s="51">
        <v>4.0</v>
      </c>
      <c r="G440" s="51">
        <v>49.0</v>
      </c>
      <c r="H440" s="51">
        <v>2.0</v>
      </c>
      <c r="I440" s="51">
        <f t="shared" ref="I440:I441" si="24">I439+H440</f>
        <v>26</v>
      </c>
      <c r="J440" s="230"/>
      <c r="K440" s="124"/>
    </row>
    <row r="441">
      <c r="A441" s="18"/>
      <c r="B441" s="231"/>
      <c r="C441" s="232" t="str">
        <f t="array" ref="C441">XLOOKUP(B441, Chr!$B$5:$B$19, Chr!$E$5:$E$19, "")</f>
        <v/>
      </c>
      <c r="D441" s="51"/>
      <c r="E441" s="51">
        <v>28.0</v>
      </c>
      <c r="F441" s="51">
        <v>4.0</v>
      </c>
      <c r="G441" s="51">
        <f>G440+F441</f>
        <v>53</v>
      </c>
      <c r="H441" s="51">
        <v>2.0</v>
      </c>
      <c r="I441" s="51">
        <f t="shared" si="24"/>
        <v>28</v>
      </c>
      <c r="J441" s="230"/>
      <c r="K441" s="124"/>
    </row>
    <row r="442">
      <c r="A442" s="18"/>
      <c r="B442" s="231"/>
      <c r="C442" s="232" t="str">
        <f t="array" ref="C442">XLOOKUP(B442, Chr!$B$5:$B$19, Chr!$E$5:$E$19, "")</f>
        <v/>
      </c>
      <c r="D442" s="51"/>
      <c r="E442" s="51">
        <v>29.0</v>
      </c>
      <c r="F442" s="51">
        <v>4.0</v>
      </c>
      <c r="G442" s="51">
        <v>50.0</v>
      </c>
      <c r="H442" s="51">
        <v>2.0</v>
      </c>
      <c r="I442" s="208">
        <v>25.0</v>
      </c>
      <c r="J442" s="230"/>
      <c r="K442" s="124"/>
    </row>
    <row r="443">
      <c r="A443" s="18"/>
      <c r="B443" s="231"/>
      <c r="C443" s="232" t="str">
        <f t="array" ref="C443">XLOOKUP(B443, Chr!$B$5:$B$19, Chr!$E$5:$E$19, "")</f>
        <v/>
      </c>
      <c r="D443" s="51"/>
      <c r="E443" s="51">
        <v>30.0</v>
      </c>
      <c r="F443" s="51">
        <v>4.0</v>
      </c>
      <c r="G443" s="51">
        <f>G442+F443</f>
        <v>54</v>
      </c>
      <c r="H443" s="51">
        <v>2.0</v>
      </c>
      <c r="I443" s="51">
        <f t="shared" ref="I443:I444" si="25">I442+H443</f>
        <v>27</v>
      </c>
      <c r="J443" s="234"/>
      <c r="K443" s="124"/>
    </row>
    <row r="444">
      <c r="A444" s="18"/>
      <c r="B444" s="231"/>
      <c r="C444" s="232" t="str">
        <f t="array" ref="C444">XLOOKUP(B444, Chr!$B$5:$B$19, Chr!$E$5:$E$19, "")</f>
        <v/>
      </c>
      <c r="D444" s="51">
        <v>3.0</v>
      </c>
      <c r="E444" s="51" t="s">
        <v>349</v>
      </c>
      <c r="F444" s="51">
        <v>4.0</v>
      </c>
      <c r="G444" s="51">
        <v>51.0</v>
      </c>
      <c r="H444" s="51">
        <v>2.0</v>
      </c>
      <c r="I444" s="51">
        <f t="shared" si="25"/>
        <v>29</v>
      </c>
      <c r="J444" s="211" t="s">
        <v>447</v>
      </c>
      <c r="K444" s="124"/>
    </row>
    <row r="445">
      <c r="A445" s="18"/>
      <c r="B445" s="231"/>
      <c r="C445" s="232" t="str">
        <f t="array" ref="C445">XLOOKUP(B445, Chr!$B$5:$B$19, Chr!$E$5:$E$19, "")</f>
        <v/>
      </c>
      <c r="D445" s="51"/>
      <c r="E445" s="51">
        <v>31.0</v>
      </c>
      <c r="F445" s="51">
        <v>4.0</v>
      </c>
      <c r="G445" s="51">
        <f>G444+F445</f>
        <v>55</v>
      </c>
      <c r="H445" s="51">
        <v>2.0</v>
      </c>
      <c r="I445" s="208">
        <v>26.0</v>
      </c>
      <c r="J445" s="235"/>
      <c r="K445" s="124"/>
    </row>
    <row r="446">
      <c r="A446" s="18"/>
      <c r="B446" s="231"/>
      <c r="C446" s="232" t="str">
        <f t="array" ref="C446">XLOOKUP(B446, Chr!$B$5:$B$19, Chr!$E$5:$E$19, "")</f>
        <v/>
      </c>
      <c r="D446" s="51"/>
      <c r="E446" s="51">
        <v>32.0</v>
      </c>
      <c r="F446" s="51">
        <v>4.0</v>
      </c>
      <c r="G446" s="51">
        <v>52.0</v>
      </c>
      <c r="H446" s="51">
        <v>2.0</v>
      </c>
      <c r="I446" s="51">
        <f t="shared" ref="I446:I447" si="26">I445+H446</f>
        <v>28</v>
      </c>
      <c r="J446" s="230"/>
      <c r="K446" s="124"/>
    </row>
    <row r="447">
      <c r="A447" s="18"/>
      <c r="B447" s="231"/>
      <c r="C447" s="232" t="str">
        <f t="array" ref="C447">XLOOKUP(B447, Chr!$B$5:$B$19, Chr!$E$5:$E$19, "")</f>
        <v/>
      </c>
      <c r="D447" s="51"/>
      <c r="E447" s="51">
        <v>33.0</v>
      </c>
      <c r="F447" s="51">
        <v>4.0</v>
      </c>
      <c r="G447" s="51">
        <f>G446+F447</f>
        <v>56</v>
      </c>
      <c r="H447" s="51">
        <v>2.0</v>
      </c>
      <c r="I447" s="51">
        <f t="shared" si="26"/>
        <v>30</v>
      </c>
      <c r="J447" s="230"/>
      <c r="K447" s="124"/>
    </row>
    <row r="448">
      <c r="A448" s="18"/>
      <c r="B448" s="231"/>
      <c r="C448" s="232" t="str">
        <f t="array" ref="C448">XLOOKUP(B448, Chr!$B$5:$B$19, Chr!$E$5:$E$19, "")</f>
        <v/>
      </c>
      <c r="D448" s="51"/>
      <c r="E448" s="51">
        <v>34.0</v>
      </c>
      <c r="F448" s="51">
        <v>4.0</v>
      </c>
      <c r="G448" s="51">
        <v>53.0</v>
      </c>
      <c r="H448" s="51">
        <v>2.0</v>
      </c>
      <c r="I448" s="208">
        <v>27.0</v>
      </c>
      <c r="J448" s="234"/>
      <c r="K448" s="124"/>
    </row>
    <row r="449">
      <c r="A449" s="18"/>
      <c r="B449" s="231"/>
      <c r="C449" s="232" t="str">
        <f t="array" ref="C449">XLOOKUP(B449, Chr!$B$5:$B$19, Chr!$E$5:$E$19, "")</f>
        <v/>
      </c>
      <c r="D449" s="51"/>
      <c r="E449" s="51">
        <v>35.0</v>
      </c>
      <c r="F449" s="51">
        <v>4.0</v>
      </c>
      <c r="G449" s="51">
        <f>G448+F449</f>
        <v>57</v>
      </c>
      <c r="H449" s="51">
        <v>2.0</v>
      </c>
      <c r="I449" s="51">
        <f t="shared" ref="I449:I450" si="27">I448+H449</f>
        <v>29</v>
      </c>
      <c r="J449" s="211" t="s">
        <v>448</v>
      </c>
      <c r="K449" s="124"/>
    </row>
    <row r="450">
      <c r="A450" s="18"/>
      <c r="B450" s="231"/>
      <c r="C450" s="232" t="str">
        <f t="array" ref="C450">XLOOKUP(B450, Chr!$B$5:$B$19, Chr!$E$5:$E$19, "")</f>
        <v/>
      </c>
      <c r="D450" s="51"/>
      <c r="E450" s="51">
        <v>36.0</v>
      </c>
      <c r="F450" s="51">
        <v>4.0</v>
      </c>
      <c r="G450" s="51">
        <v>54.0</v>
      </c>
      <c r="H450" s="51">
        <v>2.0</v>
      </c>
      <c r="I450" s="51">
        <f t="shared" si="27"/>
        <v>31</v>
      </c>
      <c r="J450" s="235"/>
      <c r="K450" s="124"/>
    </row>
    <row r="451">
      <c r="A451" s="18"/>
      <c r="B451" s="231"/>
      <c r="C451" s="232" t="str">
        <f t="array" ref="C451">XLOOKUP(B451, Chr!$B$5:$B$19, Chr!$E$5:$E$19, "")</f>
        <v/>
      </c>
      <c r="D451" s="51"/>
      <c r="E451" s="51">
        <v>37.0</v>
      </c>
      <c r="F451" s="51">
        <v>4.0</v>
      </c>
      <c r="G451" s="51">
        <f>G450+F451</f>
        <v>58</v>
      </c>
      <c r="H451" s="51">
        <v>2.0</v>
      </c>
      <c r="I451" s="208">
        <v>28.0</v>
      </c>
      <c r="J451" s="230"/>
      <c r="K451" s="124"/>
    </row>
    <row r="452">
      <c r="A452" s="18"/>
      <c r="B452" s="231"/>
      <c r="C452" s="232" t="str">
        <f t="array" ref="C452">XLOOKUP(B452, Chr!$B$5:$B$19, Chr!$E$5:$E$19, "")</f>
        <v/>
      </c>
      <c r="D452" s="51"/>
      <c r="E452" s="51">
        <v>38.0</v>
      </c>
      <c r="F452" s="51">
        <v>4.0</v>
      </c>
      <c r="G452" s="51">
        <v>55.0</v>
      </c>
      <c r="H452" s="51">
        <v>2.0</v>
      </c>
      <c r="I452" s="51">
        <f t="shared" ref="I452:I453" si="28">I451+H452</f>
        <v>30</v>
      </c>
      <c r="J452" s="230"/>
      <c r="K452" s="124"/>
    </row>
    <row r="453">
      <c r="A453" s="18"/>
      <c r="B453" s="231"/>
      <c r="C453" s="232" t="str">
        <f t="array" ref="C453">XLOOKUP(B453, Chr!$B$5:$B$19, Chr!$E$5:$E$19, "")</f>
        <v/>
      </c>
      <c r="D453" s="51"/>
      <c r="E453" s="51">
        <v>39.0</v>
      </c>
      <c r="F453" s="51">
        <v>4.0</v>
      </c>
      <c r="G453" s="51">
        <f>G452+F453</f>
        <v>59</v>
      </c>
      <c r="H453" s="51">
        <v>2.0</v>
      </c>
      <c r="I453" s="51">
        <f t="shared" si="28"/>
        <v>32</v>
      </c>
      <c r="J453" s="230"/>
      <c r="K453" s="124"/>
    </row>
    <row r="454">
      <c r="A454" s="18"/>
      <c r="B454" s="231"/>
      <c r="C454" s="232" t="str">
        <f t="array" ref="C454">XLOOKUP(B454, Chr!$B$5:$B$19, Chr!$E$5:$E$19, "")</f>
        <v/>
      </c>
      <c r="D454" s="51"/>
      <c r="E454" s="51">
        <v>40.0</v>
      </c>
      <c r="F454" s="51">
        <v>4.0</v>
      </c>
      <c r="G454" s="51">
        <v>56.0</v>
      </c>
      <c r="H454" s="51">
        <v>2.0</v>
      </c>
      <c r="I454" s="208">
        <v>29.0</v>
      </c>
      <c r="J454" s="234"/>
      <c r="K454" s="124"/>
    </row>
    <row r="455">
      <c r="A455" s="18"/>
      <c r="B455" s="239"/>
      <c r="C455" s="240" t="str">
        <f t="array" ref="C455">XLOOKUP(B455, Chr!$B$5:$B$19, Chr!$E$5:$E$19, "")</f>
        <v/>
      </c>
      <c r="D455" s="214">
        <v>4.0</v>
      </c>
      <c r="E455" s="214" t="s">
        <v>349</v>
      </c>
      <c r="F455" s="214">
        <v>4.0</v>
      </c>
      <c r="G455" s="214">
        <f>G454+F455</f>
        <v>60</v>
      </c>
      <c r="H455" s="214">
        <v>2.0</v>
      </c>
      <c r="I455" s="214">
        <f>I454+H455</f>
        <v>31</v>
      </c>
      <c r="J455" s="215" t="s">
        <v>425</v>
      </c>
      <c r="K455" s="124"/>
    </row>
    <row r="456">
      <c r="A456" s="41"/>
      <c r="B456" s="242"/>
      <c r="C456" s="131"/>
      <c r="D456" s="131"/>
      <c r="E456" s="131"/>
      <c r="F456" s="131"/>
      <c r="G456" s="131"/>
      <c r="H456" s="131"/>
      <c r="I456" s="131"/>
      <c r="J456" s="131"/>
      <c r="K456" s="41"/>
    </row>
    <row r="457">
      <c r="A457" s="18"/>
      <c r="B457" s="224">
        <v>1008.0</v>
      </c>
      <c r="C457" s="225" t="s">
        <v>222</v>
      </c>
      <c r="D457" s="226">
        <v>0.0</v>
      </c>
      <c r="E457" s="226">
        <v>1.0</v>
      </c>
      <c r="F457" s="226">
        <v>4.0</v>
      </c>
      <c r="G457" s="226">
        <v>44.0</v>
      </c>
      <c r="H457" s="226">
        <v>3.0</v>
      </c>
      <c r="I457" s="226">
        <v>33.0</v>
      </c>
      <c r="J457" s="227"/>
      <c r="K457" s="124"/>
    </row>
    <row r="458">
      <c r="A458" s="18"/>
      <c r="B458" s="228"/>
      <c r="C458" s="229"/>
      <c r="D458" s="51"/>
      <c r="E458" s="51">
        <v>2.0</v>
      </c>
      <c r="F458" s="51">
        <v>4.0</v>
      </c>
      <c r="G458" s="51">
        <f t="shared" ref="G458:G500" si="29">G457+F458</f>
        <v>48</v>
      </c>
      <c r="H458" s="51">
        <v>3.0</v>
      </c>
      <c r="I458" s="51">
        <f t="shared" ref="I458:I500" si="30">I457+H458</f>
        <v>36</v>
      </c>
      <c r="J458" s="230"/>
      <c r="K458" s="124"/>
    </row>
    <row r="459">
      <c r="A459" s="18"/>
      <c r="B459" s="231"/>
      <c r="C459" s="232" t="str">
        <f t="array" ref="C459">XLOOKUP(B459, Chr!$B$5:$B$19, Chr!$E$5:$E$19, "")</f>
        <v/>
      </c>
      <c r="D459" s="51"/>
      <c r="E459" s="51">
        <v>3.0</v>
      </c>
      <c r="F459" s="51">
        <v>4.0</v>
      </c>
      <c r="G459" s="51">
        <f t="shared" si="29"/>
        <v>52</v>
      </c>
      <c r="H459" s="51">
        <v>3.0</v>
      </c>
      <c r="I459" s="51">
        <f t="shared" si="30"/>
        <v>39</v>
      </c>
      <c r="J459" s="230"/>
      <c r="K459" s="124"/>
    </row>
    <row r="460">
      <c r="A460" s="18"/>
      <c r="B460" s="231"/>
      <c r="C460" s="232" t="str">
        <f t="array" ref="C460">XLOOKUP(B460, Chr!$B$5:$B$19, Chr!$E$5:$E$19, "")</f>
        <v/>
      </c>
      <c r="D460" s="51"/>
      <c r="E460" s="51">
        <v>4.0</v>
      </c>
      <c r="F460" s="51">
        <v>4.0</v>
      </c>
      <c r="G460" s="51">
        <f t="shared" si="29"/>
        <v>56</v>
      </c>
      <c r="H460" s="51">
        <v>3.0</v>
      </c>
      <c r="I460" s="51">
        <f t="shared" si="30"/>
        <v>42</v>
      </c>
      <c r="J460" s="234"/>
      <c r="K460" s="124"/>
    </row>
    <row r="461">
      <c r="A461" s="18"/>
      <c r="B461" s="231"/>
      <c r="C461" s="232" t="str">
        <f t="array" ref="C461">XLOOKUP(B461, Chr!$B$5:$B$19, Chr!$E$5:$E$19, "")</f>
        <v/>
      </c>
      <c r="D461" s="51"/>
      <c r="E461" s="51">
        <v>5.0</v>
      </c>
      <c r="F461" s="51">
        <v>4.0</v>
      </c>
      <c r="G461" s="51">
        <f t="shared" si="29"/>
        <v>60</v>
      </c>
      <c r="H461" s="51">
        <v>3.0</v>
      </c>
      <c r="I461" s="51">
        <f t="shared" si="30"/>
        <v>45</v>
      </c>
      <c r="J461" s="211" t="s">
        <v>449</v>
      </c>
      <c r="K461" s="124"/>
    </row>
    <row r="462">
      <c r="A462" s="18"/>
      <c r="B462" s="231"/>
      <c r="C462" s="232" t="str">
        <f t="array" ref="C462">XLOOKUP(B462, Chr!$B$5:$B$19, Chr!$E$5:$E$19, "")</f>
        <v/>
      </c>
      <c r="D462" s="51"/>
      <c r="E462" s="51">
        <v>6.0</v>
      </c>
      <c r="F462" s="51">
        <v>4.0</v>
      </c>
      <c r="G462" s="51">
        <f t="shared" si="29"/>
        <v>64</v>
      </c>
      <c r="H462" s="51">
        <v>3.0</v>
      </c>
      <c r="I462" s="51">
        <f t="shared" si="30"/>
        <v>48</v>
      </c>
      <c r="J462" s="235"/>
      <c r="K462" s="124"/>
    </row>
    <row r="463">
      <c r="A463" s="18"/>
      <c r="B463" s="231"/>
      <c r="C463" s="232" t="str">
        <f t="array" ref="C463">XLOOKUP(B463, Chr!$B$5:$B$19, Chr!$E$5:$E$19, "")</f>
        <v/>
      </c>
      <c r="D463" s="51"/>
      <c r="E463" s="51">
        <v>7.0</v>
      </c>
      <c r="F463" s="51">
        <v>4.0</v>
      </c>
      <c r="G463" s="51">
        <f t="shared" si="29"/>
        <v>68</v>
      </c>
      <c r="H463" s="51">
        <v>3.0</v>
      </c>
      <c r="I463" s="51">
        <f t="shared" si="30"/>
        <v>51</v>
      </c>
      <c r="J463" s="230"/>
      <c r="K463" s="124"/>
    </row>
    <row r="464">
      <c r="A464" s="18"/>
      <c r="B464" s="231"/>
      <c r="C464" s="232" t="str">
        <f t="array" ref="C464">XLOOKUP(B464, Chr!$B$5:$B$19, Chr!$E$5:$E$19, "")</f>
        <v/>
      </c>
      <c r="D464" s="51"/>
      <c r="E464" s="51">
        <v>8.0</v>
      </c>
      <c r="F464" s="51">
        <v>4.0</v>
      </c>
      <c r="G464" s="51">
        <f t="shared" si="29"/>
        <v>72</v>
      </c>
      <c r="H464" s="51">
        <v>3.0</v>
      </c>
      <c r="I464" s="51">
        <f t="shared" si="30"/>
        <v>54</v>
      </c>
      <c r="J464" s="230"/>
      <c r="K464" s="124"/>
    </row>
    <row r="465">
      <c r="A465" s="18"/>
      <c r="B465" s="231"/>
      <c r="C465" s="232" t="str">
        <f t="array" ref="C465">XLOOKUP(B465, Chr!$B$5:$B$19, Chr!$E$5:$E$19, "")</f>
        <v/>
      </c>
      <c r="D465" s="51"/>
      <c r="E465" s="51">
        <v>9.0</v>
      </c>
      <c r="F465" s="51">
        <v>4.0</v>
      </c>
      <c r="G465" s="51">
        <f t="shared" si="29"/>
        <v>76</v>
      </c>
      <c r="H465" s="51">
        <v>3.0</v>
      </c>
      <c r="I465" s="51">
        <f t="shared" si="30"/>
        <v>57</v>
      </c>
      <c r="J465" s="230"/>
      <c r="K465" s="124"/>
    </row>
    <row r="466">
      <c r="A466" s="18"/>
      <c r="B466" s="231"/>
      <c r="C466" s="232" t="str">
        <f t="array" ref="C466">XLOOKUP(B466, Chr!$B$5:$B$19, Chr!$E$5:$E$19, "")</f>
        <v/>
      </c>
      <c r="D466" s="51"/>
      <c r="E466" s="51">
        <v>10.0</v>
      </c>
      <c r="F466" s="51">
        <v>4.0</v>
      </c>
      <c r="G466" s="51">
        <f t="shared" si="29"/>
        <v>80</v>
      </c>
      <c r="H466" s="51">
        <v>3.0</v>
      </c>
      <c r="I466" s="51">
        <f t="shared" si="30"/>
        <v>60</v>
      </c>
      <c r="J466" s="234"/>
      <c r="K466" s="124"/>
    </row>
    <row r="467">
      <c r="A467" s="18"/>
      <c r="B467" s="231"/>
      <c r="C467" s="232" t="str">
        <f t="array" ref="C467">XLOOKUP(B467, Chr!$B$5:$B$19, Chr!$E$5:$E$19, "")</f>
        <v/>
      </c>
      <c r="D467" s="51">
        <v>1.0</v>
      </c>
      <c r="E467" s="51" t="s">
        <v>349</v>
      </c>
      <c r="F467" s="51">
        <v>4.0</v>
      </c>
      <c r="G467" s="51">
        <f t="shared" si="29"/>
        <v>84</v>
      </c>
      <c r="H467" s="51">
        <v>3.0</v>
      </c>
      <c r="I467" s="51">
        <f t="shared" si="30"/>
        <v>63</v>
      </c>
      <c r="J467" s="211" t="s">
        <v>450</v>
      </c>
      <c r="K467" s="124"/>
    </row>
    <row r="468">
      <c r="A468" s="18"/>
      <c r="B468" s="231"/>
      <c r="C468" s="232" t="str">
        <f t="array" ref="C468">XLOOKUP(B468, Chr!$B$5:$B$19, Chr!$E$5:$E$19, "")</f>
        <v/>
      </c>
      <c r="D468" s="51"/>
      <c r="E468" s="51">
        <v>11.0</v>
      </c>
      <c r="F468" s="51">
        <v>4.0</v>
      </c>
      <c r="G468" s="51">
        <f t="shared" si="29"/>
        <v>88</v>
      </c>
      <c r="H468" s="51">
        <v>3.0</v>
      </c>
      <c r="I468" s="51">
        <f t="shared" si="30"/>
        <v>66</v>
      </c>
      <c r="J468" s="235"/>
      <c r="K468" s="124"/>
    </row>
    <row r="469">
      <c r="A469" s="18"/>
      <c r="B469" s="231"/>
      <c r="C469" s="232" t="str">
        <f t="array" ref="C469">XLOOKUP(B469, Chr!$B$5:$B$19, Chr!$E$5:$E$19, "")</f>
        <v/>
      </c>
      <c r="D469" s="51"/>
      <c r="E469" s="51">
        <v>12.0</v>
      </c>
      <c r="F469" s="51">
        <v>4.0</v>
      </c>
      <c r="G469" s="51">
        <f t="shared" si="29"/>
        <v>92</v>
      </c>
      <c r="H469" s="51">
        <v>3.0</v>
      </c>
      <c r="I469" s="51">
        <f t="shared" si="30"/>
        <v>69</v>
      </c>
      <c r="J469" s="230"/>
      <c r="K469" s="124"/>
    </row>
    <row r="470">
      <c r="A470" s="18"/>
      <c r="B470" s="231"/>
      <c r="C470" s="232" t="str">
        <f t="array" ref="C470">XLOOKUP(B470, Chr!$B$5:$B$19, Chr!$E$5:$E$19, "")</f>
        <v/>
      </c>
      <c r="D470" s="51"/>
      <c r="E470" s="51">
        <v>13.0</v>
      </c>
      <c r="F470" s="51">
        <v>4.0</v>
      </c>
      <c r="G470" s="51">
        <f t="shared" si="29"/>
        <v>96</v>
      </c>
      <c r="H470" s="51">
        <v>3.0</v>
      </c>
      <c r="I470" s="51">
        <f t="shared" si="30"/>
        <v>72</v>
      </c>
      <c r="J470" s="230"/>
      <c r="K470" s="124"/>
    </row>
    <row r="471">
      <c r="A471" s="18"/>
      <c r="B471" s="231"/>
      <c r="C471" s="232" t="str">
        <f t="array" ref="C471">XLOOKUP(B471, Chr!$B$5:$B$19, Chr!$E$5:$E$19, "")</f>
        <v/>
      </c>
      <c r="D471" s="51"/>
      <c r="E471" s="51">
        <v>14.0</v>
      </c>
      <c r="F471" s="51">
        <v>4.0</v>
      </c>
      <c r="G471" s="51">
        <f t="shared" si="29"/>
        <v>100</v>
      </c>
      <c r="H471" s="51">
        <v>3.0</v>
      </c>
      <c r="I471" s="51">
        <f t="shared" si="30"/>
        <v>75</v>
      </c>
      <c r="J471" s="238"/>
      <c r="K471" s="124"/>
    </row>
    <row r="472">
      <c r="A472" s="18"/>
      <c r="B472" s="231"/>
      <c r="C472" s="232" t="str">
        <f t="array" ref="C472">XLOOKUP(B472, Chr!$B$5:$B$19, Chr!$E$5:$E$19, "")</f>
        <v/>
      </c>
      <c r="D472" s="51"/>
      <c r="E472" s="51">
        <v>15.0</v>
      </c>
      <c r="F472" s="51">
        <v>4.0</v>
      </c>
      <c r="G472" s="51">
        <f t="shared" si="29"/>
        <v>104</v>
      </c>
      <c r="H472" s="51">
        <v>3.0</v>
      </c>
      <c r="I472" s="51">
        <f t="shared" si="30"/>
        <v>78</v>
      </c>
      <c r="J472" s="211" t="s">
        <v>451</v>
      </c>
      <c r="K472" s="124"/>
    </row>
    <row r="473">
      <c r="A473" s="18"/>
      <c r="B473" s="231"/>
      <c r="C473" s="232" t="str">
        <f t="array" ref="C473">XLOOKUP(B473, Chr!$B$5:$B$19, Chr!$E$5:$E$19, "")</f>
        <v/>
      </c>
      <c r="D473" s="51"/>
      <c r="E473" s="51">
        <v>16.0</v>
      </c>
      <c r="F473" s="51">
        <v>4.0</v>
      </c>
      <c r="G473" s="51">
        <f t="shared" si="29"/>
        <v>108</v>
      </c>
      <c r="H473" s="51">
        <v>3.0</v>
      </c>
      <c r="I473" s="51">
        <f t="shared" si="30"/>
        <v>81</v>
      </c>
      <c r="J473" s="235"/>
      <c r="K473" s="124"/>
    </row>
    <row r="474">
      <c r="A474" s="18"/>
      <c r="B474" s="231"/>
      <c r="C474" s="232" t="str">
        <f t="array" ref="C474">XLOOKUP(B474, Chr!$B$5:$B$19, Chr!$E$5:$E$19, "")</f>
        <v/>
      </c>
      <c r="D474" s="51"/>
      <c r="E474" s="51">
        <v>17.0</v>
      </c>
      <c r="F474" s="51">
        <v>4.0</v>
      </c>
      <c r="G474" s="51">
        <f t="shared" si="29"/>
        <v>112</v>
      </c>
      <c r="H474" s="51">
        <v>3.0</v>
      </c>
      <c r="I474" s="51">
        <f t="shared" si="30"/>
        <v>84</v>
      </c>
      <c r="J474" s="230"/>
      <c r="K474" s="124"/>
    </row>
    <row r="475">
      <c r="A475" s="18"/>
      <c r="B475" s="231"/>
      <c r="C475" s="232" t="str">
        <f t="array" ref="C475">XLOOKUP(B475, Chr!$B$5:$B$19, Chr!$E$5:$E$19, "")</f>
        <v/>
      </c>
      <c r="D475" s="51"/>
      <c r="E475" s="51">
        <v>18.0</v>
      </c>
      <c r="F475" s="51">
        <v>4.0</v>
      </c>
      <c r="G475" s="51">
        <f t="shared" si="29"/>
        <v>116</v>
      </c>
      <c r="H475" s="51">
        <v>3.0</v>
      </c>
      <c r="I475" s="51">
        <f t="shared" si="30"/>
        <v>87</v>
      </c>
      <c r="J475" s="230"/>
      <c r="K475" s="124"/>
    </row>
    <row r="476">
      <c r="A476" s="18"/>
      <c r="B476" s="231"/>
      <c r="C476" s="232" t="str">
        <f t="array" ref="C476">XLOOKUP(B476, Chr!$B$5:$B$19, Chr!$E$5:$E$19, "")</f>
        <v/>
      </c>
      <c r="D476" s="51"/>
      <c r="E476" s="51">
        <v>19.0</v>
      </c>
      <c r="F476" s="51">
        <v>4.0</v>
      </c>
      <c r="G476" s="51">
        <f t="shared" si="29"/>
        <v>120</v>
      </c>
      <c r="H476" s="51">
        <v>3.0</v>
      </c>
      <c r="I476" s="51">
        <f t="shared" si="30"/>
        <v>90</v>
      </c>
      <c r="J476" s="230"/>
      <c r="K476" s="124"/>
    </row>
    <row r="477">
      <c r="A477" s="18"/>
      <c r="B477" s="231"/>
      <c r="C477" s="232" t="str">
        <f t="array" ref="C477">XLOOKUP(B477, Chr!$B$5:$B$19, Chr!$E$5:$E$19, "")</f>
        <v/>
      </c>
      <c r="D477" s="51"/>
      <c r="E477" s="51">
        <v>20.0</v>
      </c>
      <c r="F477" s="51">
        <v>4.0</v>
      </c>
      <c r="G477" s="51">
        <f t="shared" si="29"/>
        <v>124</v>
      </c>
      <c r="H477" s="51">
        <v>3.0</v>
      </c>
      <c r="I477" s="51">
        <f t="shared" si="30"/>
        <v>93</v>
      </c>
      <c r="J477" s="234"/>
      <c r="K477" s="124"/>
    </row>
    <row r="478">
      <c r="A478" s="18"/>
      <c r="B478" s="231"/>
      <c r="C478" s="232" t="str">
        <f t="array" ref="C478">XLOOKUP(B478, Chr!$B$5:$B$19, Chr!$E$5:$E$19, "")</f>
        <v/>
      </c>
      <c r="D478" s="51">
        <v>2.0</v>
      </c>
      <c r="E478" s="51" t="s">
        <v>349</v>
      </c>
      <c r="F478" s="51">
        <v>4.0</v>
      </c>
      <c r="G478" s="51">
        <f t="shared" si="29"/>
        <v>128</v>
      </c>
      <c r="H478" s="51">
        <v>3.0</v>
      </c>
      <c r="I478" s="51">
        <f t="shared" si="30"/>
        <v>96</v>
      </c>
      <c r="J478" s="211" t="s">
        <v>452</v>
      </c>
      <c r="K478" s="124"/>
    </row>
    <row r="479">
      <c r="A479" s="18"/>
      <c r="B479" s="231"/>
      <c r="C479" s="232" t="str">
        <f t="array" ref="C479">XLOOKUP(B479, Chr!$B$5:$B$19, Chr!$E$5:$E$19, "")</f>
        <v/>
      </c>
      <c r="D479" s="51"/>
      <c r="E479" s="51">
        <v>21.0</v>
      </c>
      <c r="F479" s="51">
        <v>4.0</v>
      </c>
      <c r="G479" s="51">
        <f t="shared" si="29"/>
        <v>132</v>
      </c>
      <c r="H479" s="51">
        <v>3.0</v>
      </c>
      <c r="I479" s="51">
        <f t="shared" si="30"/>
        <v>99</v>
      </c>
      <c r="J479" s="235"/>
      <c r="K479" s="124"/>
    </row>
    <row r="480">
      <c r="A480" s="18"/>
      <c r="B480" s="231"/>
      <c r="C480" s="232" t="str">
        <f t="array" ref="C480">XLOOKUP(B480, Chr!$B$5:$B$19, Chr!$E$5:$E$19, "")</f>
        <v/>
      </c>
      <c r="D480" s="51"/>
      <c r="E480" s="51">
        <v>22.0</v>
      </c>
      <c r="F480" s="51">
        <v>4.0</v>
      </c>
      <c r="G480" s="51">
        <f t="shared" si="29"/>
        <v>136</v>
      </c>
      <c r="H480" s="51">
        <v>3.0</v>
      </c>
      <c r="I480" s="51">
        <f t="shared" si="30"/>
        <v>102</v>
      </c>
      <c r="J480" s="230"/>
      <c r="K480" s="124"/>
    </row>
    <row r="481">
      <c r="A481" s="18"/>
      <c r="B481" s="231"/>
      <c r="C481" s="232" t="str">
        <f t="array" ref="C481">XLOOKUP(B481, Chr!$B$5:$B$19, Chr!$E$5:$E$19, "")</f>
        <v/>
      </c>
      <c r="D481" s="51"/>
      <c r="E481" s="51">
        <v>23.0</v>
      </c>
      <c r="F481" s="51">
        <v>4.0</v>
      </c>
      <c r="G481" s="51">
        <f t="shared" si="29"/>
        <v>140</v>
      </c>
      <c r="H481" s="51">
        <v>3.0</v>
      </c>
      <c r="I481" s="51">
        <f t="shared" si="30"/>
        <v>105</v>
      </c>
      <c r="J481" s="237"/>
      <c r="K481" s="124"/>
    </row>
    <row r="482">
      <c r="A482" s="18"/>
      <c r="B482" s="231"/>
      <c r="C482" s="232" t="str">
        <f t="array" ref="C482">XLOOKUP(B482, Chr!$B$5:$B$19, Chr!$E$5:$E$19, "")</f>
        <v/>
      </c>
      <c r="D482" s="51"/>
      <c r="E482" s="51">
        <v>24.0</v>
      </c>
      <c r="F482" s="51">
        <v>4.0</v>
      </c>
      <c r="G482" s="51">
        <f t="shared" si="29"/>
        <v>144</v>
      </c>
      <c r="H482" s="51">
        <v>3.0</v>
      </c>
      <c r="I482" s="51">
        <f t="shared" si="30"/>
        <v>108</v>
      </c>
      <c r="J482" s="234"/>
      <c r="K482" s="124"/>
    </row>
    <row r="483">
      <c r="A483" s="18"/>
      <c r="B483" s="231"/>
      <c r="C483" s="232" t="str">
        <f t="array" ref="C483">XLOOKUP(B483, Chr!$B$5:$B$19, Chr!$E$5:$E$19, "")</f>
        <v/>
      </c>
      <c r="D483" s="51"/>
      <c r="E483" s="51">
        <v>25.0</v>
      </c>
      <c r="F483" s="51">
        <v>4.0</v>
      </c>
      <c r="G483" s="51">
        <f t="shared" si="29"/>
        <v>148</v>
      </c>
      <c r="H483" s="51">
        <v>3.0</v>
      </c>
      <c r="I483" s="51">
        <f t="shared" si="30"/>
        <v>111</v>
      </c>
      <c r="J483" s="211" t="s">
        <v>453</v>
      </c>
      <c r="K483" s="124"/>
    </row>
    <row r="484">
      <c r="A484" s="18"/>
      <c r="B484" s="231"/>
      <c r="C484" s="232" t="str">
        <f t="array" ref="C484">XLOOKUP(B484, Chr!$B$5:$B$19, Chr!$E$5:$E$19, "")</f>
        <v/>
      </c>
      <c r="D484" s="51"/>
      <c r="E484" s="51">
        <v>26.0</v>
      </c>
      <c r="F484" s="51">
        <v>4.0</v>
      </c>
      <c r="G484" s="51">
        <f t="shared" si="29"/>
        <v>152</v>
      </c>
      <c r="H484" s="51">
        <v>3.0</v>
      </c>
      <c r="I484" s="51">
        <f t="shared" si="30"/>
        <v>114</v>
      </c>
      <c r="J484" s="235"/>
      <c r="K484" s="124"/>
    </row>
    <row r="485">
      <c r="A485" s="18"/>
      <c r="B485" s="231"/>
      <c r="C485" s="232" t="str">
        <f t="array" ref="C485">XLOOKUP(B485, Chr!$B$5:$B$19, Chr!$E$5:$E$19, "")</f>
        <v/>
      </c>
      <c r="D485" s="51"/>
      <c r="E485" s="51">
        <v>27.0</v>
      </c>
      <c r="F485" s="51">
        <v>4.0</v>
      </c>
      <c r="G485" s="51">
        <f t="shared" si="29"/>
        <v>156</v>
      </c>
      <c r="H485" s="51">
        <v>3.0</v>
      </c>
      <c r="I485" s="51">
        <f t="shared" si="30"/>
        <v>117</v>
      </c>
      <c r="J485" s="230"/>
      <c r="K485" s="124"/>
    </row>
    <row r="486">
      <c r="A486" s="18"/>
      <c r="B486" s="231"/>
      <c r="C486" s="232" t="str">
        <f t="array" ref="C486">XLOOKUP(B486, Chr!$B$5:$B$19, Chr!$E$5:$E$19, "")</f>
        <v/>
      </c>
      <c r="D486" s="51"/>
      <c r="E486" s="51">
        <v>28.0</v>
      </c>
      <c r="F486" s="51">
        <v>4.0</v>
      </c>
      <c r="G486" s="51">
        <f t="shared" si="29"/>
        <v>160</v>
      </c>
      <c r="H486" s="51">
        <v>3.0</v>
      </c>
      <c r="I486" s="51">
        <f t="shared" si="30"/>
        <v>120</v>
      </c>
      <c r="J486" s="230"/>
      <c r="K486" s="124"/>
    </row>
    <row r="487">
      <c r="A487" s="18"/>
      <c r="B487" s="231"/>
      <c r="C487" s="232" t="str">
        <f t="array" ref="C487">XLOOKUP(B487, Chr!$B$5:$B$19, Chr!$E$5:$E$19, "")</f>
        <v/>
      </c>
      <c r="D487" s="51"/>
      <c r="E487" s="51">
        <v>29.0</v>
      </c>
      <c r="F487" s="51">
        <v>4.0</v>
      </c>
      <c r="G487" s="51">
        <f t="shared" si="29"/>
        <v>164</v>
      </c>
      <c r="H487" s="51">
        <v>3.0</v>
      </c>
      <c r="I487" s="51">
        <f t="shared" si="30"/>
        <v>123</v>
      </c>
      <c r="J487" s="230"/>
      <c r="K487" s="124"/>
    </row>
    <row r="488">
      <c r="A488" s="18"/>
      <c r="B488" s="231"/>
      <c r="C488" s="232" t="str">
        <f t="array" ref="C488">XLOOKUP(B488, Chr!$B$5:$B$19, Chr!$E$5:$E$19, "")</f>
        <v/>
      </c>
      <c r="D488" s="51"/>
      <c r="E488" s="51">
        <v>30.0</v>
      </c>
      <c r="F488" s="51">
        <v>4.0</v>
      </c>
      <c r="G488" s="51">
        <f t="shared" si="29"/>
        <v>168</v>
      </c>
      <c r="H488" s="51">
        <v>3.0</v>
      </c>
      <c r="I488" s="51">
        <f t="shared" si="30"/>
        <v>126</v>
      </c>
      <c r="J488" s="234"/>
      <c r="K488" s="124"/>
    </row>
    <row r="489">
      <c r="A489" s="18"/>
      <c r="B489" s="231"/>
      <c r="C489" s="232" t="str">
        <f t="array" ref="C489">XLOOKUP(B489, Chr!$B$5:$B$19, Chr!$E$5:$E$19, "")</f>
        <v/>
      </c>
      <c r="D489" s="51">
        <v>3.0</v>
      </c>
      <c r="E489" s="51" t="s">
        <v>349</v>
      </c>
      <c r="F489" s="51">
        <v>4.0</v>
      </c>
      <c r="G489" s="51">
        <f t="shared" si="29"/>
        <v>172</v>
      </c>
      <c r="H489" s="51">
        <v>3.0</v>
      </c>
      <c r="I489" s="51">
        <f t="shared" si="30"/>
        <v>129</v>
      </c>
      <c r="J489" s="211" t="s">
        <v>454</v>
      </c>
      <c r="K489" s="124"/>
    </row>
    <row r="490">
      <c r="A490" s="18"/>
      <c r="B490" s="231"/>
      <c r="C490" s="232" t="str">
        <f t="array" ref="C490">XLOOKUP(B490, Chr!$B$5:$B$19, Chr!$E$5:$E$19, "")</f>
        <v/>
      </c>
      <c r="D490" s="51"/>
      <c r="E490" s="51">
        <v>31.0</v>
      </c>
      <c r="F490" s="51">
        <v>4.0</v>
      </c>
      <c r="G490" s="51">
        <f t="shared" si="29"/>
        <v>176</v>
      </c>
      <c r="H490" s="51">
        <v>3.0</v>
      </c>
      <c r="I490" s="51">
        <f t="shared" si="30"/>
        <v>132</v>
      </c>
      <c r="J490" s="235"/>
      <c r="K490" s="124"/>
    </row>
    <row r="491">
      <c r="A491" s="18"/>
      <c r="B491" s="231"/>
      <c r="C491" s="232" t="str">
        <f t="array" ref="C491">XLOOKUP(B491, Chr!$B$5:$B$19, Chr!$E$5:$E$19, "")</f>
        <v/>
      </c>
      <c r="D491" s="51"/>
      <c r="E491" s="51">
        <v>32.0</v>
      </c>
      <c r="F491" s="51">
        <v>4.0</v>
      </c>
      <c r="G491" s="51">
        <f t="shared" si="29"/>
        <v>180</v>
      </c>
      <c r="H491" s="51">
        <v>3.0</v>
      </c>
      <c r="I491" s="51">
        <f t="shared" si="30"/>
        <v>135</v>
      </c>
      <c r="J491" s="230"/>
      <c r="K491" s="124"/>
    </row>
    <row r="492">
      <c r="A492" s="18"/>
      <c r="B492" s="231"/>
      <c r="C492" s="232" t="str">
        <f t="array" ref="C492">XLOOKUP(B492, Chr!$B$5:$B$19, Chr!$E$5:$E$19, "")</f>
        <v/>
      </c>
      <c r="D492" s="51"/>
      <c r="E492" s="51">
        <v>33.0</v>
      </c>
      <c r="F492" s="51">
        <v>4.0</v>
      </c>
      <c r="G492" s="51">
        <f t="shared" si="29"/>
        <v>184</v>
      </c>
      <c r="H492" s="51">
        <v>3.0</v>
      </c>
      <c r="I492" s="51">
        <f t="shared" si="30"/>
        <v>138</v>
      </c>
      <c r="J492" s="230"/>
      <c r="K492" s="124"/>
    </row>
    <row r="493">
      <c r="A493" s="18"/>
      <c r="B493" s="231"/>
      <c r="C493" s="232" t="str">
        <f t="array" ref="C493">XLOOKUP(B493, Chr!$B$5:$B$19, Chr!$E$5:$E$19, "")</f>
        <v/>
      </c>
      <c r="D493" s="51"/>
      <c r="E493" s="51">
        <v>34.0</v>
      </c>
      <c r="F493" s="51">
        <v>4.0</v>
      </c>
      <c r="G493" s="51">
        <f t="shared" si="29"/>
        <v>188</v>
      </c>
      <c r="H493" s="51">
        <v>3.0</v>
      </c>
      <c r="I493" s="51">
        <f t="shared" si="30"/>
        <v>141</v>
      </c>
      <c r="J493" s="234"/>
      <c r="K493" s="124"/>
    </row>
    <row r="494">
      <c r="A494" s="18"/>
      <c r="B494" s="231"/>
      <c r="C494" s="232" t="str">
        <f t="array" ref="C494">XLOOKUP(B494, Chr!$B$5:$B$19, Chr!$E$5:$E$19, "")</f>
        <v/>
      </c>
      <c r="D494" s="51"/>
      <c r="E494" s="51">
        <v>35.0</v>
      </c>
      <c r="F494" s="51">
        <v>4.0</v>
      </c>
      <c r="G494" s="51">
        <f t="shared" si="29"/>
        <v>192</v>
      </c>
      <c r="H494" s="51">
        <v>3.0</v>
      </c>
      <c r="I494" s="51">
        <f t="shared" si="30"/>
        <v>144</v>
      </c>
      <c r="J494" s="211" t="s">
        <v>424</v>
      </c>
      <c r="K494" s="124"/>
    </row>
    <row r="495">
      <c r="A495" s="18"/>
      <c r="B495" s="231"/>
      <c r="C495" s="232" t="str">
        <f t="array" ref="C495">XLOOKUP(B495, Chr!$B$5:$B$19, Chr!$E$5:$E$19, "")</f>
        <v/>
      </c>
      <c r="D495" s="51"/>
      <c r="E495" s="51">
        <v>36.0</v>
      </c>
      <c r="F495" s="51">
        <v>4.0</v>
      </c>
      <c r="G495" s="51">
        <f t="shared" si="29"/>
        <v>196</v>
      </c>
      <c r="H495" s="51">
        <v>3.0</v>
      </c>
      <c r="I495" s="51">
        <f t="shared" si="30"/>
        <v>147</v>
      </c>
      <c r="J495" s="235"/>
      <c r="K495" s="124"/>
    </row>
    <row r="496">
      <c r="A496" s="18"/>
      <c r="B496" s="231"/>
      <c r="C496" s="232" t="str">
        <f t="array" ref="C496">XLOOKUP(B496, Chr!$B$5:$B$19, Chr!$E$5:$E$19, "")</f>
        <v/>
      </c>
      <c r="D496" s="51"/>
      <c r="E496" s="51">
        <v>37.0</v>
      </c>
      <c r="F496" s="51">
        <v>4.0</v>
      </c>
      <c r="G496" s="51">
        <f t="shared" si="29"/>
        <v>200</v>
      </c>
      <c r="H496" s="51">
        <v>3.0</v>
      </c>
      <c r="I496" s="51">
        <f t="shared" si="30"/>
        <v>150</v>
      </c>
      <c r="J496" s="230"/>
      <c r="K496" s="124"/>
    </row>
    <row r="497">
      <c r="A497" s="18"/>
      <c r="B497" s="231"/>
      <c r="C497" s="232" t="str">
        <f t="array" ref="C497">XLOOKUP(B497, Chr!$B$5:$B$19, Chr!$E$5:$E$19, "")</f>
        <v/>
      </c>
      <c r="D497" s="51"/>
      <c r="E497" s="51">
        <v>38.0</v>
      </c>
      <c r="F497" s="51">
        <v>4.0</v>
      </c>
      <c r="G497" s="51">
        <f t="shared" si="29"/>
        <v>204</v>
      </c>
      <c r="H497" s="51">
        <v>3.0</v>
      </c>
      <c r="I497" s="51">
        <f t="shared" si="30"/>
        <v>153</v>
      </c>
      <c r="J497" s="230"/>
      <c r="K497" s="124"/>
    </row>
    <row r="498">
      <c r="A498" s="18"/>
      <c r="B498" s="231"/>
      <c r="C498" s="232" t="str">
        <f t="array" ref="C498">XLOOKUP(B498, Chr!$B$5:$B$19, Chr!$E$5:$E$19, "")</f>
        <v/>
      </c>
      <c r="D498" s="51"/>
      <c r="E498" s="51">
        <v>39.0</v>
      </c>
      <c r="F498" s="51">
        <v>4.0</v>
      </c>
      <c r="G498" s="51">
        <f t="shared" si="29"/>
        <v>208</v>
      </c>
      <c r="H498" s="51">
        <v>3.0</v>
      </c>
      <c r="I498" s="51">
        <f t="shared" si="30"/>
        <v>156</v>
      </c>
      <c r="J498" s="230"/>
      <c r="K498" s="124"/>
    </row>
    <row r="499">
      <c r="A499" s="18"/>
      <c r="B499" s="231"/>
      <c r="C499" s="232" t="str">
        <f t="array" ref="C499">XLOOKUP(B499, Chr!$B$5:$B$19, Chr!$E$5:$E$19, "")</f>
        <v/>
      </c>
      <c r="D499" s="51"/>
      <c r="E499" s="51">
        <v>40.0</v>
      </c>
      <c r="F499" s="51">
        <v>4.0</v>
      </c>
      <c r="G499" s="51">
        <f t="shared" si="29"/>
        <v>212</v>
      </c>
      <c r="H499" s="51">
        <v>3.0</v>
      </c>
      <c r="I499" s="51">
        <f t="shared" si="30"/>
        <v>159</v>
      </c>
      <c r="J499" s="234"/>
      <c r="K499" s="124"/>
    </row>
    <row r="500">
      <c r="A500" s="18"/>
      <c r="B500" s="239"/>
      <c r="C500" s="240" t="str">
        <f t="array" ref="C500">XLOOKUP(B500, Chr!$B$5:$B$19, Chr!$E$5:$E$19, "")</f>
        <v/>
      </c>
      <c r="D500" s="214">
        <v>4.0</v>
      </c>
      <c r="E500" s="214" t="s">
        <v>349</v>
      </c>
      <c r="F500" s="214">
        <v>4.0</v>
      </c>
      <c r="G500" s="214">
        <f t="shared" si="29"/>
        <v>216</v>
      </c>
      <c r="H500" s="214">
        <v>3.0</v>
      </c>
      <c r="I500" s="214">
        <f t="shared" si="30"/>
        <v>162</v>
      </c>
      <c r="J500" s="215" t="s">
        <v>425</v>
      </c>
      <c r="K500" s="124"/>
    </row>
    <row r="501">
      <c r="A501" s="41"/>
      <c r="B501" s="242"/>
      <c r="C501" s="131"/>
      <c r="D501" s="131"/>
      <c r="E501" s="131"/>
      <c r="F501" s="131"/>
      <c r="G501" s="131"/>
      <c r="H501" s="131"/>
      <c r="I501" s="131"/>
      <c r="J501" s="131"/>
      <c r="K501" s="41"/>
    </row>
    <row r="502">
      <c r="A502" s="18"/>
      <c r="B502" s="224">
        <v>1012.0</v>
      </c>
      <c r="C502" s="225" t="s">
        <v>216</v>
      </c>
      <c r="D502" s="226">
        <v>0.0</v>
      </c>
      <c r="E502" s="226">
        <v>1.0</v>
      </c>
      <c r="F502" s="226">
        <v>12.0</v>
      </c>
      <c r="G502" s="226">
        <v>120.0</v>
      </c>
      <c r="H502" s="226">
        <v>4.0</v>
      </c>
      <c r="I502" s="226">
        <v>43.0</v>
      </c>
      <c r="J502" s="227"/>
      <c r="K502" s="124"/>
    </row>
    <row r="503">
      <c r="A503" s="18"/>
      <c r="B503" s="228"/>
      <c r="C503" s="229"/>
      <c r="D503" s="51"/>
      <c r="E503" s="51">
        <v>2.0</v>
      </c>
      <c r="F503" s="51">
        <v>12.0</v>
      </c>
      <c r="G503" s="51">
        <f t="shared" ref="G503:G545" si="31">G502+F503</f>
        <v>132</v>
      </c>
      <c r="H503" s="51">
        <v>4.0</v>
      </c>
      <c r="I503" s="51">
        <f t="shared" ref="I503:I545" si="32">I502+H503</f>
        <v>47</v>
      </c>
      <c r="J503" s="230"/>
      <c r="K503" s="124"/>
    </row>
    <row r="504">
      <c r="A504" s="18"/>
      <c r="B504" s="231"/>
      <c r="C504" s="232" t="str">
        <f t="array" ref="C504">XLOOKUP(B504, Chr!$B$5:$B$19, Chr!$E$5:$E$19, "")</f>
        <v/>
      </c>
      <c r="D504" s="51"/>
      <c r="E504" s="51">
        <v>3.0</v>
      </c>
      <c r="F504" s="51">
        <v>12.0</v>
      </c>
      <c r="G504" s="51">
        <f t="shared" si="31"/>
        <v>144</v>
      </c>
      <c r="H504" s="51">
        <v>4.0</v>
      </c>
      <c r="I504" s="51">
        <f t="shared" si="32"/>
        <v>51</v>
      </c>
      <c r="J504" s="230"/>
      <c r="K504" s="124"/>
    </row>
    <row r="505">
      <c r="A505" s="18"/>
      <c r="B505" s="231"/>
      <c r="C505" s="232" t="str">
        <f t="array" ref="C505">XLOOKUP(B505, Chr!$B$5:$B$19, Chr!$E$5:$E$19, "")</f>
        <v/>
      </c>
      <c r="D505" s="51"/>
      <c r="E505" s="51">
        <v>4.0</v>
      </c>
      <c r="F505" s="51">
        <v>12.0</v>
      </c>
      <c r="G505" s="51">
        <f t="shared" si="31"/>
        <v>156</v>
      </c>
      <c r="H505" s="51">
        <v>4.0</v>
      </c>
      <c r="I505" s="51">
        <f t="shared" si="32"/>
        <v>55</v>
      </c>
      <c r="J505" s="234"/>
      <c r="K505" s="124"/>
    </row>
    <row r="506">
      <c r="A506" s="18"/>
      <c r="B506" s="231"/>
      <c r="C506" s="232" t="str">
        <f t="array" ref="C506">XLOOKUP(B506, Chr!$B$5:$B$19, Chr!$E$5:$E$19, "")</f>
        <v/>
      </c>
      <c r="D506" s="51"/>
      <c r="E506" s="51">
        <v>5.0</v>
      </c>
      <c r="F506" s="51">
        <v>12.0</v>
      </c>
      <c r="G506" s="51">
        <f t="shared" si="31"/>
        <v>168</v>
      </c>
      <c r="H506" s="51">
        <v>4.0</v>
      </c>
      <c r="I506" s="51">
        <f t="shared" si="32"/>
        <v>59</v>
      </c>
      <c r="J506" s="211" t="s">
        <v>455</v>
      </c>
      <c r="K506" s="124"/>
    </row>
    <row r="507">
      <c r="A507" s="18"/>
      <c r="B507" s="231"/>
      <c r="C507" s="232" t="str">
        <f t="array" ref="C507">XLOOKUP(B507, Chr!$B$5:$B$19, Chr!$E$5:$E$19, "")</f>
        <v/>
      </c>
      <c r="D507" s="51"/>
      <c r="E507" s="51">
        <v>6.0</v>
      </c>
      <c r="F507" s="51">
        <v>12.0</v>
      </c>
      <c r="G507" s="51">
        <f t="shared" si="31"/>
        <v>180</v>
      </c>
      <c r="H507" s="51">
        <v>4.0</v>
      </c>
      <c r="I507" s="51">
        <f t="shared" si="32"/>
        <v>63</v>
      </c>
      <c r="J507" s="235"/>
      <c r="K507" s="124"/>
    </row>
    <row r="508">
      <c r="A508" s="18"/>
      <c r="B508" s="231"/>
      <c r="C508" s="232" t="str">
        <f t="array" ref="C508">XLOOKUP(B508, Chr!$B$5:$B$19, Chr!$E$5:$E$19, "")</f>
        <v/>
      </c>
      <c r="D508" s="51"/>
      <c r="E508" s="51">
        <v>7.0</v>
      </c>
      <c r="F508" s="51">
        <v>12.0</v>
      </c>
      <c r="G508" s="51">
        <f t="shared" si="31"/>
        <v>192</v>
      </c>
      <c r="H508" s="51">
        <v>4.0</v>
      </c>
      <c r="I508" s="51">
        <f t="shared" si="32"/>
        <v>67</v>
      </c>
      <c r="J508" s="230"/>
      <c r="K508" s="124"/>
    </row>
    <row r="509">
      <c r="A509" s="18"/>
      <c r="B509" s="231"/>
      <c r="C509" s="232" t="str">
        <f t="array" ref="C509">XLOOKUP(B509, Chr!$B$5:$B$19, Chr!$E$5:$E$19, "")</f>
        <v/>
      </c>
      <c r="D509" s="51"/>
      <c r="E509" s="51">
        <v>8.0</v>
      </c>
      <c r="F509" s="51">
        <v>12.0</v>
      </c>
      <c r="G509" s="51">
        <f t="shared" si="31"/>
        <v>204</v>
      </c>
      <c r="H509" s="51">
        <v>4.0</v>
      </c>
      <c r="I509" s="51">
        <f t="shared" si="32"/>
        <v>71</v>
      </c>
      <c r="J509" s="230"/>
      <c r="K509" s="124"/>
    </row>
    <row r="510">
      <c r="A510" s="18"/>
      <c r="B510" s="231"/>
      <c r="C510" s="232" t="str">
        <f t="array" ref="C510">XLOOKUP(B510, Chr!$B$5:$B$19, Chr!$E$5:$E$19, "")</f>
        <v/>
      </c>
      <c r="D510" s="51"/>
      <c r="E510" s="51">
        <v>9.0</v>
      </c>
      <c r="F510" s="51">
        <v>12.0</v>
      </c>
      <c r="G510" s="51">
        <f t="shared" si="31"/>
        <v>216</v>
      </c>
      <c r="H510" s="51">
        <v>4.0</v>
      </c>
      <c r="I510" s="51">
        <f t="shared" si="32"/>
        <v>75</v>
      </c>
      <c r="J510" s="230"/>
      <c r="K510" s="124"/>
    </row>
    <row r="511">
      <c r="A511" s="18"/>
      <c r="B511" s="231"/>
      <c r="C511" s="232" t="str">
        <f t="array" ref="C511">XLOOKUP(B511, Chr!$B$5:$B$19, Chr!$E$5:$E$19, "")</f>
        <v/>
      </c>
      <c r="D511" s="51"/>
      <c r="E511" s="51">
        <v>10.0</v>
      </c>
      <c r="F511" s="51">
        <v>12.0</v>
      </c>
      <c r="G511" s="51">
        <f t="shared" si="31"/>
        <v>228</v>
      </c>
      <c r="H511" s="51">
        <v>4.0</v>
      </c>
      <c r="I511" s="51">
        <f t="shared" si="32"/>
        <v>79</v>
      </c>
      <c r="J511" s="234"/>
      <c r="K511" s="124"/>
    </row>
    <row r="512">
      <c r="A512" s="18"/>
      <c r="B512" s="231"/>
      <c r="C512" s="232" t="str">
        <f t="array" ref="C512">XLOOKUP(B512, Chr!$B$5:$B$19, Chr!$E$5:$E$19, "")</f>
        <v/>
      </c>
      <c r="D512" s="51">
        <v>1.0</v>
      </c>
      <c r="E512" s="51" t="s">
        <v>349</v>
      </c>
      <c r="F512" s="51">
        <v>46.0</v>
      </c>
      <c r="G512" s="51">
        <f t="shared" si="31"/>
        <v>274</v>
      </c>
      <c r="H512" s="51">
        <v>16.0</v>
      </c>
      <c r="I512" s="51">
        <f t="shared" si="32"/>
        <v>95</v>
      </c>
      <c r="J512" s="211" t="s">
        <v>456</v>
      </c>
      <c r="K512" s="124"/>
    </row>
    <row r="513">
      <c r="A513" s="18"/>
      <c r="B513" s="231"/>
      <c r="C513" s="232" t="str">
        <f t="array" ref="C513">XLOOKUP(B513, Chr!$B$5:$B$19, Chr!$E$5:$E$19, "")</f>
        <v/>
      </c>
      <c r="D513" s="51"/>
      <c r="E513" s="51">
        <v>11.0</v>
      </c>
      <c r="F513" s="51">
        <v>12.0</v>
      </c>
      <c r="G513" s="51">
        <f t="shared" si="31"/>
        <v>286</v>
      </c>
      <c r="H513" s="51">
        <v>4.0</v>
      </c>
      <c r="I513" s="51">
        <f t="shared" si="32"/>
        <v>99</v>
      </c>
      <c r="J513" s="235"/>
      <c r="K513" s="124"/>
    </row>
    <row r="514">
      <c r="A514" s="18"/>
      <c r="B514" s="231"/>
      <c r="C514" s="232" t="str">
        <f t="array" ref="C514">XLOOKUP(B514, Chr!$B$5:$B$19, Chr!$E$5:$E$19, "")</f>
        <v/>
      </c>
      <c r="D514" s="51"/>
      <c r="E514" s="51">
        <v>12.0</v>
      </c>
      <c r="F514" s="51">
        <v>12.0</v>
      </c>
      <c r="G514" s="51">
        <f t="shared" si="31"/>
        <v>298</v>
      </c>
      <c r="H514" s="51">
        <v>4.0</v>
      </c>
      <c r="I514" s="51">
        <f t="shared" si="32"/>
        <v>103</v>
      </c>
      <c r="J514" s="230"/>
      <c r="K514" s="124"/>
    </row>
    <row r="515">
      <c r="A515" s="18"/>
      <c r="B515" s="231"/>
      <c r="C515" s="232" t="str">
        <f t="array" ref="C515">XLOOKUP(B515, Chr!$B$5:$B$19, Chr!$E$5:$E$19, "")</f>
        <v/>
      </c>
      <c r="D515" s="51"/>
      <c r="E515" s="51">
        <v>13.0</v>
      </c>
      <c r="F515" s="51">
        <v>12.0</v>
      </c>
      <c r="G515" s="51">
        <f t="shared" si="31"/>
        <v>310</v>
      </c>
      <c r="H515" s="51">
        <v>4.0</v>
      </c>
      <c r="I515" s="51">
        <f t="shared" si="32"/>
        <v>107</v>
      </c>
      <c r="J515" s="230"/>
      <c r="K515" s="124"/>
    </row>
    <row r="516">
      <c r="A516" s="18"/>
      <c r="B516" s="231"/>
      <c r="C516" s="232" t="str">
        <f t="array" ref="C516">XLOOKUP(B516, Chr!$B$5:$B$19, Chr!$E$5:$E$19, "")</f>
        <v/>
      </c>
      <c r="D516" s="51"/>
      <c r="E516" s="51">
        <v>14.0</v>
      </c>
      <c r="F516" s="51">
        <v>12.0</v>
      </c>
      <c r="G516" s="51">
        <f t="shared" si="31"/>
        <v>322</v>
      </c>
      <c r="H516" s="51">
        <v>4.0</v>
      </c>
      <c r="I516" s="51">
        <f t="shared" si="32"/>
        <v>111</v>
      </c>
      <c r="J516" s="238"/>
      <c r="K516" s="124"/>
    </row>
    <row r="517">
      <c r="A517" s="18"/>
      <c r="B517" s="231"/>
      <c r="C517" s="232" t="str">
        <f t="array" ref="C517">XLOOKUP(B517, Chr!$B$5:$B$19, Chr!$E$5:$E$19, "")</f>
        <v/>
      </c>
      <c r="D517" s="51"/>
      <c r="E517" s="51">
        <v>15.0</v>
      </c>
      <c r="F517" s="51">
        <v>12.0</v>
      </c>
      <c r="G517" s="51">
        <f t="shared" si="31"/>
        <v>334</v>
      </c>
      <c r="H517" s="51">
        <v>4.0</v>
      </c>
      <c r="I517" s="51">
        <f t="shared" si="32"/>
        <v>115</v>
      </c>
      <c r="J517" s="247" t="s">
        <v>457</v>
      </c>
      <c r="K517" s="124"/>
    </row>
    <row r="518">
      <c r="A518" s="18"/>
      <c r="B518" s="231"/>
      <c r="C518" s="232" t="str">
        <f t="array" ref="C518">XLOOKUP(B518, Chr!$B$5:$B$19, Chr!$E$5:$E$19, "")</f>
        <v/>
      </c>
      <c r="D518" s="51"/>
      <c r="E518" s="51">
        <v>16.0</v>
      </c>
      <c r="F518" s="51">
        <v>12.0</v>
      </c>
      <c r="G518" s="51">
        <f t="shared" si="31"/>
        <v>346</v>
      </c>
      <c r="H518" s="51">
        <v>4.0</v>
      </c>
      <c r="I518" s="51">
        <f t="shared" si="32"/>
        <v>119</v>
      </c>
      <c r="J518" s="235"/>
      <c r="K518" s="124"/>
    </row>
    <row r="519">
      <c r="A519" s="18"/>
      <c r="B519" s="231"/>
      <c r="C519" s="232" t="str">
        <f t="array" ref="C519">XLOOKUP(B519, Chr!$B$5:$B$19, Chr!$E$5:$E$19, "")</f>
        <v/>
      </c>
      <c r="D519" s="51"/>
      <c r="E519" s="51">
        <v>17.0</v>
      </c>
      <c r="F519" s="51">
        <v>12.0</v>
      </c>
      <c r="G519" s="51">
        <f t="shared" si="31"/>
        <v>358</v>
      </c>
      <c r="H519" s="51">
        <v>4.0</v>
      </c>
      <c r="I519" s="51">
        <f t="shared" si="32"/>
        <v>123</v>
      </c>
      <c r="J519" s="230"/>
      <c r="K519" s="124"/>
    </row>
    <row r="520">
      <c r="A520" s="18"/>
      <c r="B520" s="231"/>
      <c r="C520" s="232" t="str">
        <f t="array" ref="C520">XLOOKUP(B520, Chr!$B$5:$B$19, Chr!$E$5:$E$19, "")</f>
        <v/>
      </c>
      <c r="D520" s="51"/>
      <c r="E520" s="51">
        <v>18.0</v>
      </c>
      <c r="F520" s="51">
        <v>12.0</v>
      </c>
      <c r="G520" s="51">
        <f t="shared" si="31"/>
        <v>370</v>
      </c>
      <c r="H520" s="51">
        <v>4.0</v>
      </c>
      <c r="I520" s="51">
        <f t="shared" si="32"/>
        <v>127</v>
      </c>
      <c r="J520" s="230"/>
      <c r="K520" s="124"/>
    </row>
    <row r="521">
      <c r="A521" s="18"/>
      <c r="B521" s="231"/>
      <c r="C521" s="232" t="str">
        <f t="array" ref="C521">XLOOKUP(B521, Chr!$B$5:$B$19, Chr!$E$5:$E$19, "")</f>
        <v/>
      </c>
      <c r="D521" s="51"/>
      <c r="E521" s="51">
        <v>19.0</v>
      </c>
      <c r="F521" s="51">
        <v>12.0</v>
      </c>
      <c r="G521" s="51">
        <f t="shared" si="31"/>
        <v>382</v>
      </c>
      <c r="H521" s="51">
        <v>4.0</v>
      </c>
      <c r="I521" s="51">
        <f t="shared" si="32"/>
        <v>131</v>
      </c>
      <c r="J521" s="230"/>
      <c r="K521" s="124"/>
    </row>
    <row r="522">
      <c r="A522" s="18"/>
      <c r="B522" s="231"/>
      <c r="C522" s="232" t="str">
        <f t="array" ref="C522">XLOOKUP(B522, Chr!$B$5:$B$19, Chr!$E$5:$E$19, "")</f>
        <v/>
      </c>
      <c r="D522" s="51"/>
      <c r="E522" s="51">
        <v>20.0</v>
      </c>
      <c r="F522" s="51">
        <v>12.0</v>
      </c>
      <c r="G522" s="51">
        <f t="shared" si="31"/>
        <v>394</v>
      </c>
      <c r="H522" s="51">
        <v>4.0</v>
      </c>
      <c r="I522" s="51">
        <f t="shared" si="32"/>
        <v>135</v>
      </c>
      <c r="J522" s="234"/>
      <c r="K522" s="124"/>
    </row>
    <row r="523">
      <c r="A523" s="18"/>
      <c r="B523" s="231"/>
      <c r="C523" s="232" t="str">
        <f t="array" ref="C523">XLOOKUP(B523, Chr!$B$5:$B$19, Chr!$E$5:$E$19, "")</f>
        <v/>
      </c>
      <c r="D523" s="51">
        <v>2.0</v>
      </c>
      <c r="E523" s="51" t="s">
        <v>349</v>
      </c>
      <c r="F523" s="51">
        <v>46.0</v>
      </c>
      <c r="G523" s="51">
        <f t="shared" si="31"/>
        <v>440</v>
      </c>
      <c r="H523" s="51">
        <v>16.0</v>
      </c>
      <c r="I523" s="51">
        <f t="shared" si="32"/>
        <v>151</v>
      </c>
      <c r="J523" s="211" t="s">
        <v>458</v>
      </c>
      <c r="K523" s="124"/>
    </row>
    <row r="524">
      <c r="A524" s="18"/>
      <c r="B524" s="231"/>
      <c r="C524" s="232" t="str">
        <f t="array" ref="C524">XLOOKUP(B524, Chr!$B$5:$B$19, Chr!$E$5:$E$19, "")</f>
        <v/>
      </c>
      <c r="D524" s="51"/>
      <c r="E524" s="51">
        <v>21.0</v>
      </c>
      <c r="F524" s="51">
        <v>12.0</v>
      </c>
      <c r="G524" s="51">
        <f t="shared" si="31"/>
        <v>452</v>
      </c>
      <c r="H524" s="51">
        <v>4.0</v>
      </c>
      <c r="I524" s="51">
        <f t="shared" si="32"/>
        <v>155</v>
      </c>
      <c r="J524" s="235"/>
      <c r="K524" s="124"/>
    </row>
    <row r="525">
      <c r="A525" s="18"/>
      <c r="B525" s="231"/>
      <c r="C525" s="232" t="str">
        <f t="array" ref="C525">XLOOKUP(B525, Chr!$B$5:$B$19, Chr!$E$5:$E$19, "")</f>
        <v/>
      </c>
      <c r="D525" s="51"/>
      <c r="E525" s="51">
        <v>22.0</v>
      </c>
      <c r="F525" s="51">
        <v>12.0</v>
      </c>
      <c r="G525" s="51">
        <f t="shared" si="31"/>
        <v>464</v>
      </c>
      <c r="H525" s="51">
        <v>4.0</v>
      </c>
      <c r="I525" s="51">
        <f t="shared" si="32"/>
        <v>159</v>
      </c>
      <c r="J525" s="230"/>
      <c r="K525" s="124"/>
    </row>
    <row r="526">
      <c r="A526" s="18"/>
      <c r="B526" s="231"/>
      <c r="C526" s="232" t="str">
        <f t="array" ref="C526">XLOOKUP(B526, Chr!$B$5:$B$19, Chr!$E$5:$E$19, "")</f>
        <v/>
      </c>
      <c r="D526" s="51"/>
      <c r="E526" s="51">
        <v>23.0</v>
      </c>
      <c r="F526" s="51">
        <v>12.0</v>
      </c>
      <c r="G526" s="51">
        <f t="shared" si="31"/>
        <v>476</v>
      </c>
      <c r="H526" s="51">
        <v>4.0</v>
      </c>
      <c r="I526" s="51">
        <f t="shared" si="32"/>
        <v>163</v>
      </c>
      <c r="J526" s="237"/>
      <c r="K526" s="124"/>
    </row>
    <row r="527">
      <c r="A527" s="18"/>
      <c r="B527" s="231"/>
      <c r="C527" s="232" t="str">
        <f t="array" ref="C527">XLOOKUP(B527, Chr!$B$5:$B$19, Chr!$E$5:$E$19, "")</f>
        <v/>
      </c>
      <c r="D527" s="51"/>
      <c r="E527" s="51">
        <v>24.0</v>
      </c>
      <c r="F527" s="51">
        <v>12.0</v>
      </c>
      <c r="G527" s="51">
        <f t="shared" si="31"/>
        <v>488</v>
      </c>
      <c r="H527" s="51">
        <v>4.0</v>
      </c>
      <c r="I527" s="51">
        <f t="shared" si="32"/>
        <v>167</v>
      </c>
      <c r="J527" s="234"/>
      <c r="K527" s="124"/>
    </row>
    <row r="528">
      <c r="A528" s="18"/>
      <c r="B528" s="231"/>
      <c r="C528" s="232" t="str">
        <f t="array" ref="C528">XLOOKUP(B528, Chr!$B$5:$B$19, Chr!$E$5:$E$19, "")</f>
        <v/>
      </c>
      <c r="D528" s="51"/>
      <c r="E528" s="51">
        <v>25.0</v>
      </c>
      <c r="F528" s="51">
        <v>12.0</v>
      </c>
      <c r="G528" s="51">
        <f t="shared" si="31"/>
        <v>500</v>
      </c>
      <c r="H528" s="51">
        <v>4.0</v>
      </c>
      <c r="I528" s="51">
        <f t="shared" si="32"/>
        <v>171</v>
      </c>
      <c r="J528" s="247" t="s">
        <v>459</v>
      </c>
      <c r="K528" s="124"/>
    </row>
    <row r="529">
      <c r="A529" s="18"/>
      <c r="B529" s="231"/>
      <c r="C529" s="232" t="str">
        <f t="array" ref="C529">XLOOKUP(B529, Chr!$B$5:$B$19, Chr!$E$5:$E$19, "")</f>
        <v/>
      </c>
      <c r="D529" s="51"/>
      <c r="E529" s="51">
        <v>26.0</v>
      </c>
      <c r="F529" s="51">
        <v>12.0</v>
      </c>
      <c r="G529" s="51">
        <f t="shared" si="31"/>
        <v>512</v>
      </c>
      <c r="H529" s="51">
        <v>4.0</v>
      </c>
      <c r="I529" s="51">
        <f t="shared" si="32"/>
        <v>175</v>
      </c>
      <c r="J529" s="235"/>
      <c r="K529" s="124"/>
    </row>
    <row r="530">
      <c r="A530" s="18"/>
      <c r="B530" s="231"/>
      <c r="C530" s="232" t="str">
        <f t="array" ref="C530">XLOOKUP(B530, Chr!$B$5:$B$19, Chr!$E$5:$E$19, "")</f>
        <v/>
      </c>
      <c r="D530" s="51"/>
      <c r="E530" s="51">
        <v>27.0</v>
      </c>
      <c r="F530" s="51">
        <v>12.0</v>
      </c>
      <c r="G530" s="51">
        <f t="shared" si="31"/>
        <v>524</v>
      </c>
      <c r="H530" s="51">
        <v>4.0</v>
      </c>
      <c r="I530" s="51">
        <f t="shared" si="32"/>
        <v>179</v>
      </c>
      <c r="J530" s="230"/>
      <c r="K530" s="124"/>
    </row>
    <row r="531">
      <c r="A531" s="18"/>
      <c r="B531" s="231"/>
      <c r="C531" s="232" t="str">
        <f t="array" ref="C531">XLOOKUP(B531, Chr!$B$5:$B$19, Chr!$E$5:$E$19, "")</f>
        <v/>
      </c>
      <c r="D531" s="51"/>
      <c r="E531" s="51">
        <v>28.0</v>
      </c>
      <c r="F531" s="51">
        <v>12.0</v>
      </c>
      <c r="G531" s="51">
        <f t="shared" si="31"/>
        <v>536</v>
      </c>
      <c r="H531" s="51">
        <v>4.0</v>
      </c>
      <c r="I531" s="51">
        <f t="shared" si="32"/>
        <v>183</v>
      </c>
      <c r="J531" s="230"/>
      <c r="K531" s="124"/>
    </row>
    <row r="532">
      <c r="A532" s="18"/>
      <c r="B532" s="231"/>
      <c r="C532" s="232" t="str">
        <f t="array" ref="C532">XLOOKUP(B532, Chr!$B$5:$B$19, Chr!$E$5:$E$19, "")</f>
        <v/>
      </c>
      <c r="D532" s="51"/>
      <c r="E532" s="51">
        <v>29.0</v>
      </c>
      <c r="F532" s="51">
        <v>12.0</v>
      </c>
      <c r="G532" s="51">
        <f t="shared" si="31"/>
        <v>548</v>
      </c>
      <c r="H532" s="51">
        <v>4.0</v>
      </c>
      <c r="I532" s="51">
        <f t="shared" si="32"/>
        <v>187</v>
      </c>
      <c r="J532" s="230"/>
      <c r="K532" s="124"/>
    </row>
    <row r="533">
      <c r="A533" s="18"/>
      <c r="B533" s="231"/>
      <c r="C533" s="232" t="str">
        <f t="array" ref="C533">XLOOKUP(B533, Chr!$B$5:$B$19, Chr!$E$5:$E$19, "")</f>
        <v/>
      </c>
      <c r="D533" s="51"/>
      <c r="E533" s="51">
        <v>30.0</v>
      </c>
      <c r="F533" s="51">
        <v>12.0</v>
      </c>
      <c r="G533" s="51">
        <f t="shared" si="31"/>
        <v>560</v>
      </c>
      <c r="H533" s="51">
        <v>4.0</v>
      </c>
      <c r="I533" s="51">
        <f t="shared" si="32"/>
        <v>191</v>
      </c>
      <c r="J533" s="234"/>
      <c r="K533" s="124"/>
    </row>
    <row r="534">
      <c r="A534" s="18"/>
      <c r="B534" s="231"/>
      <c r="C534" s="232" t="str">
        <f t="array" ref="C534">XLOOKUP(B534, Chr!$B$5:$B$19, Chr!$E$5:$E$19, "")</f>
        <v/>
      </c>
      <c r="D534" s="51">
        <v>3.0</v>
      </c>
      <c r="E534" s="51" t="s">
        <v>349</v>
      </c>
      <c r="F534" s="51">
        <v>46.0</v>
      </c>
      <c r="G534" s="51">
        <f t="shared" si="31"/>
        <v>606</v>
      </c>
      <c r="H534" s="51">
        <v>16.0</v>
      </c>
      <c r="I534" s="51">
        <f t="shared" si="32"/>
        <v>207</v>
      </c>
      <c r="J534" s="211" t="s">
        <v>460</v>
      </c>
      <c r="K534" s="124"/>
    </row>
    <row r="535">
      <c r="A535" s="18"/>
      <c r="B535" s="231"/>
      <c r="C535" s="232" t="str">
        <f t="array" ref="C535">XLOOKUP(B535, Chr!$B$5:$B$19, Chr!$E$5:$E$19, "")</f>
        <v/>
      </c>
      <c r="D535" s="51"/>
      <c r="E535" s="51">
        <v>31.0</v>
      </c>
      <c r="F535" s="51">
        <v>12.0</v>
      </c>
      <c r="G535" s="51">
        <f t="shared" si="31"/>
        <v>618</v>
      </c>
      <c r="H535" s="51">
        <v>4.0</v>
      </c>
      <c r="I535" s="51">
        <f t="shared" si="32"/>
        <v>211</v>
      </c>
      <c r="J535" s="235"/>
      <c r="K535" s="124"/>
    </row>
    <row r="536">
      <c r="A536" s="18"/>
      <c r="B536" s="231"/>
      <c r="C536" s="232" t="str">
        <f t="array" ref="C536">XLOOKUP(B536, Chr!$B$5:$B$19, Chr!$E$5:$E$19, "")</f>
        <v/>
      </c>
      <c r="D536" s="51"/>
      <c r="E536" s="51">
        <v>32.0</v>
      </c>
      <c r="F536" s="51">
        <v>12.0</v>
      </c>
      <c r="G536" s="51">
        <f t="shared" si="31"/>
        <v>630</v>
      </c>
      <c r="H536" s="51">
        <v>4.0</v>
      </c>
      <c r="I536" s="51">
        <f t="shared" si="32"/>
        <v>215</v>
      </c>
      <c r="J536" s="230"/>
      <c r="K536" s="124"/>
    </row>
    <row r="537">
      <c r="A537" s="18"/>
      <c r="B537" s="231"/>
      <c r="C537" s="232" t="str">
        <f t="array" ref="C537">XLOOKUP(B537, Chr!$B$5:$B$19, Chr!$E$5:$E$19, "")</f>
        <v/>
      </c>
      <c r="D537" s="51"/>
      <c r="E537" s="51">
        <v>33.0</v>
      </c>
      <c r="F537" s="51">
        <v>12.0</v>
      </c>
      <c r="G537" s="51">
        <f t="shared" si="31"/>
        <v>642</v>
      </c>
      <c r="H537" s="51">
        <v>4.0</v>
      </c>
      <c r="I537" s="51">
        <f t="shared" si="32"/>
        <v>219</v>
      </c>
      <c r="J537" s="230"/>
      <c r="K537" s="124"/>
    </row>
    <row r="538">
      <c r="A538" s="18"/>
      <c r="B538" s="231"/>
      <c r="C538" s="232" t="str">
        <f t="array" ref="C538">XLOOKUP(B538, Chr!$B$5:$B$19, Chr!$E$5:$E$19, "")</f>
        <v/>
      </c>
      <c r="D538" s="51"/>
      <c r="E538" s="51">
        <v>34.0</v>
      </c>
      <c r="F538" s="51">
        <v>12.0</v>
      </c>
      <c r="G538" s="51">
        <f t="shared" si="31"/>
        <v>654</v>
      </c>
      <c r="H538" s="51">
        <v>4.0</v>
      </c>
      <c r="I538" s="51">
        <f t="shared" si="32"/>
        <v>223</v>
      </c>
      <c r="J538" s="234"/>
      <c r="K538" s="124"/>
    </row>
    <row r="539">
      <c r="A539" s="18"/>
      <c r="B539" s="231"/>
      <c r="C539" s="232" t="str">
        <f t="array" ref="C539">XLOOKUP(B539, Chr!$B$5:$B$19, Chr!$E$5:$E$19, "")</f>
        <v/>
      </c>
      <c r="D539" s="51"/>
      <c r="E539" s="51">
        <v>35.0</v>
      </c>
      <c r="F539" s="51">
        <v>12.0</v>
      </c>
      <c r="G539" s="51">
        <f t="shared" si="31"/>
        <v>666</v>
      </c>
      <c r="H539" s="51">
        <v>4.0</v>
      </c>
      <c r="I539" s="51">
        <f t="shared" si="32"/>
        <v>227</v>
      </c>
      <c r="J539" s="211" t="s">
        <v>461</v>
      </c>
      <c r="K539" s="124"/>
    </row>
    <row r="540">
      <c r="A540" s="18"/>
      <c r="B540" s="231"/>
      <c r="C540" s="232" t="str">
        <f t="array" ref="C540">XLOOKUP(B540, Chr!$B$5:$B$19, Chr!$E$5:$E$19, "")</f>
        <v/>
      </c>
      <c r="D540" s="51"/>
      <c r="E540" s="51">
        <v>36.0</v>
      </c>
      <c r="F540" s="51">
        <v>12.0</v>
      </c>
      <c r="G540" s="51">
        <f t="shared" si="31"/>
        <v>678</v>
      </c>
      <c r="H540" s="51">
        <v>4.0</v>
      </c>
      <c r="I540" s="51">
        <f t="shared" si="32"/>
        <v>231</v>
      </c>
      <c r="J540" s="235"/>
      <c r="K540" s="124"/>
    </row>
    <row r="541">
      <c r="A541" s="18"/>
      <c r="B541" s="231"/>
      <c r="C541" s="232" t="str">
        <f t="array" ref="C541">XLOOKUP(B541, Chr!$B$5:$B$19, Chr!$E$5:$E$19, "")</f>
        <v/>
      </c>
      <c r="D541" s="51"/>
      <c r="E541" s="51">
        <v>37.0</v>
      </c>
      <c r="F541" s="51">
        <v>12.0</v>
      </c>
      <c r="G541" s="51">
        <f t="shared" si="31"/>
        <v>690</v>
      </c>
      <c r="H541" s="51">
        <v>4.0</v>
      </c>
      <c r="I541" s="51">
        <f t="shared" si="32"/>
        <v>235</v>
      </c>
      <c r="J541" s="230"/>
      <c r="K541" s="124"/>
    </row>
    <row r="542">
      <c r="A542" s="18"/>
      <c r="B542" s="231"/>
      <c r="C542" s="232" t="str">
        <f t="array" ref="C542">XLOOKUP(B542, Chr!$B$5:$B$19, Chr!$E$5:$E$19, "")</f>
        <v/>
      </c>
      <c r="D542" s="51"/>
      <c r="E542" s="51">
        <v>38.0</v>
      </c>
      <c r="F542" s="51">
        <v>12.0</v>
      </c>
      <c r="G542" s="51">
        <f t="shared" si="31"/>
        <v>702</v>
      </c>
      <c r="H542" s="51">
        <v>4.0</v>
      </c>
      <c r="I542" s="51">
        <f t="shared" si="32"/>
        <v>239</v>
      </c>
      <c r="J542" s="230"/>
      <c r="K542" s="124"/>
    </row>
    <row r="543">
      <c r="A543" s="18"/>
      <c r="B543" s="231"/>
      <c r="C543" s="232" t="str">
        <f t="array" ref="C543">XLOOKUP(B543, Chr!$B$5:$B$19, Chr!$E$5:$E$19, "")</f>
        <v/>
      </c>
      <c r="D543" s="51"/>
      <c r="E543" s="51">
        <v>39.0</v>
      </c>
      <c r="F543" s="51">
        <v>12.0</v>
      </c>
      <c r="G543" s="51">
        <f t="shared" si="31"/>
        <v>714</v>
      </c>
      <c r="H543" s="51">
        <v>4.0</v>
      </c>
      <c r="I543" s="51">
        <f t="shared" si="32"/>
        <v>243</v>
      </c>
      <c r="J543" s="230"/>
      <c r="K543" s="124"/>
    </row>
    <row r="544">
      <c r="A544" s="18"/>
      <c r="B544" s="231"/>
      <c r="C544" s="232" t="str">
        <f t="array" ref="C544">XLOOKUP(B544, Chr!$B$5:$B$19, Chr!$E$5:$E$19, "")</f>
        <v/>
      </c>
      <c r="D544" s="51"/>
      <c r="E544" s="51">
        <v>40.0</v>
      </c>
      <c r="F544" s="51">
        <v>12.0</v>
      </c>
      <c r="G544" s="51">
        <f t="shared" si="31"/>
        <v>726</v>
      </c>
      <c r="H544" s="51">
        <v>4.0</v>
      </c>
      <c r="I544" s="51">
        <f t="shared" si="32"/>
        <v>247</v>
      </c>
      <c r="J544" s="234"/>
      <c r="K544" s="124"/>
    </row>
    <row r="545">
      <c r="A545" s="18"/>
      <c r="B545" s="239"/>
      <c r="C545" s="240" t="str">
        <f t="array" ref="C545">XLOOKUP(B545, Chr!$B$5:$B$19, Chr!$E$5:$E$19, "")</f>
        <v/>
      </c>
      <c r="D545" s="214">
        <v>4.0</v>
      </c>
      <c r="E545" s="214" t="s">
        <v>349</v>
      </c>
      <c r="F545" s="214">
        <v>46.0</v>
      </c>
      <c r="G545" s="214">
        <f t="shared" si="31"/>
        <v>772</v>
      </c>
      <c r="H545" s="214">
        <v>16.0</v>
      </c>
      <c r="I545" s="214">
        <f t="shared" si="32"/>
        <v>263</v>
      </c>
      <c r="J545" s="215" t="s">
        <v>462</v>
      </c>
      <c r="K545" s="124"/>
    </row>
    <row r="546">
      <c r="A546" s="41"/>
      <c r="B546" s="242"/>
      <c r="C546" s="131"/>
      <c r="D546" s="131"/>
      <c r="E546" s="131"/>
      <c r="F546" s="131"/>
      <c r="G546" s="131"/>
      <c r="H546" s="131"/>
      <c r="I546" s="131"/>
      <c r="J546" s="131"/>
      <c r="K546" s="41"/>
    </row>
    <row r="547">
      <c r="A547" s="18"/>
      <c r="B547" s="224">
        <v>1013.0</v>
      </c>
      <c r="C547" s="225" t="s">
        <v>217</v>
      </c>
      <c r="D547" s="226">
        <v>0.0</v>
      </c>
      <c r="E547" s="226">
        <v>1.0</v>
      </c>
      <c r="F547" s="226"/>
      <c r="G547" s="226"/>
      <c r="H547" s="226"/>
      <c r="I547" s="226"/>
      <c r="J547" s="268"/>
      <c r="K547" s="124"/>
    </row>
    <row r="548" hidden="1">
      <c r="A548" s="18"/>
      <c r="B548" s="203"/>
      <c r="C548" s="77"/>
      <c r="D548" s="51"/>
      <c r="E548" s="51">
        <v>2.0</v>
      </c>
      <c r="F548" s="51"/>
      <c r="G548" s="51"/>
      <c r="H548" s="51"/>
      <c r="I548" s="51"/>
      <c r="J548" s="211"/>
      <c r="K548" s="124"/>
    </row>
    <row r="549" hidden="1">
      <c r="A549" s="18"/>
      <c r="B549" s="203"/>
      <c r="C549" s="77" t="str">
        <f t="array" ref="C549">XLOOKUP(B549, Chr!$B$5:$B$19, Chr!$E$5:$E$19, "")</f>
        <v/>
      </c>
      <c r="D549" s="51"/>
      <c r="E549" s="51">
        <v>3.0</v>
      </c>
      <c r="F549" s="51"/>
      <c r="G549" s="51"/>
      <c r="H549" s="51"/>
      <c r="I549" s="51"/>
      <c r="J549" s="211"/>
      <c r="K549" s="124"/>
    </row>
    <row r="550" hidden="1">
      <c r="A550" s="18"/>
      <c r="B550" s="203"/>
      <c r="C550" s="77" t="str">
        <f t="array" ref="C550">XLOOKUP(B550, Chr!$B$5:$B$19, Chr!$E$5:$E$19, "")</f>
        <v/>
      </c>
      <c r="D550" s="51"/>
      <c r="E550" s="51">
        <v>4.0</v>
      </c>
      <c r="F550" s="51"/>
      <c r="G550" s="51"/>
      <c r="H550" s="51"/>
      <c r="I550" s="51"/>
      <c r="J550" s="211"/>
      <c r="K550" s="124"/>
    </row>
    <row r="551" hidden="1">
      <c r="A551" s="18"/>
      <c r="B551" s="203"/>
      <c r="C551" s="77" t="str">
        <f t="array" ref="C551">XLOOKUP(B551, Chr!$B$5:$B$19, Chr!$E$5:$E$19, "")</f>
        <v/>
      </c>
      <c r="D551" s="51"/>
      <c r="E551" s="51">
        <v>5.0</v>
      </c>
      <c r="F551" s="51"/>
      <c r="G551" s="51"/>
      <c r="H551" s="51"/>
      <c r="I551" s="51"/>
      <c r="J551" s="211"/>
      <c r="K551" s="124"/>
    </row>
    <row r="552" hidden="1">
      <c r="A552" s="18"/>
      <c r="B552" s="203"/>
      <c r="C552" s="77" t="str">
        <f t="array" ref="C552">XLOOKUP(B552, Chr!$B$5:$B$19, Chr!$E$5:$E$19, "")</f>
        <v/>
      </c>
      <c r="D552" s="51"/>
      <c r="E552" s="51">
        <v>6.0</v>
      </c>
      <c r="F552" s="51"/>
      <c r="G552" s="51"/>
      <c r="H552" s="51"/>
      <c r="I552" s="51"/>
      <c r="J552" s="211"/>
      <c r="K552" s="124"/>
    </row>
    <row r="553" hidden="1">
      <c r="A553" s="18"/>
      <c r="B553" s="203"/>
      <c r="C553" s="77" t="str">
        <f t="array" ref="C553">XLOOKUP(B553, Chr!$B$5:$B$19, Chr!$E$5:$E$19, "")</f>
        <v/>
      </c>
      <c r="D553" s="51"/>
      <c r="E553" s="51">
        <v>7.0</v>
      </c>
      <c r="F553" s="51"/>
      <c r="G553" s="51"/>
      <c r="H553" s="51"/>
      <c r="I553" s="51"/>
      <c r="J553" s="211"/>
      <c r="K553" s="124"/>
    </row>
    <row r="554" hidden="1">
      <c r="A554" s="18"/>
      <c r="B554" s="203"/>
      <c r="C554" s="77" t="str">
        <f t="array" ref="C554">XLOOKUP(B554, Chr!$B$5:$B$19, Chr!$E$5:$E$19, "")</f>
        <v/>
      </c>
      <c r="D554" s="51"/>
      <c r="E554" s="51">
        <v>8.0</v>
      </c>
      <c r="F554" s="51"/>
      <c r="G554" s="51"/>
      <c r="H554" s="51"/>
      <c r="I554" s="51"/>
      <c r="J554" s="211"/>
      <c r="K554" s="124"/>
    </row>
    <row r="555" hidden="1">
      <c r="A555" s="18"/>
      <c r="B555" s="203"/>
      <c r="C555" s="77" t="str">
        <f t="array" ref="C555">XLOOKUP(B555, Chr!$B$5:$B$19, Chr!$E$5:$E$19, "")</f>
        <v/>
      </c>
      <c r="D555" s="51"/>
      <c r="E555" s="51">
        <v>9.0</v>
      </c>
      <c r="F555" s="51"/>
      <c r="G555" s="51"/>
      <c r="H555" s="51"/>
      <c r="I555" s="51"/>
      <c r="J555" s="211"/>
      <c r="K555" s="124"/>
    </row>
    <row r="556" hidden="1">
      <c r="A556" s="18"/>
      <c r="B556" s="203"/>
      <c r="C556" s="77" t="str">
        <f t="array" ref="C556">XLOOKUP(B556, Chr!$B$5:$B$19, Chr!$E$5:$E$19, "")</f>
        <v/>
      </c>
      <c r="D556" s="51"/>
      <c r="E556" s="51">
        <v>10.0</v>
      </c>
      <c r="F556" s="51"/>
      <c r="G556" s="51"/>
      <c r="H556" s="51"/>
      <c r="I556" s="51"/>
      <c r="J556" s="211"/>
      <c r="K556" s="124"/>
    </row>
    <row r="557" hidden="1">
      <c r="A557" s="18"/>
      <c r="B557" s="203"/>
      <c r="C557" s="77" t="str">
        <f t="array" ref="C557">XLOOKUP(B557, Chr!$B$5:$B$19, Chr!$E$5:$E$19, "")</f>
        <v/>
      </c>
      <c r="D557" s="51">
        <v>1.0</v>
      </c>
      <c r="E557" s="51" t="s">
        <v>349</v>
      </c>
      <c r="F557" s="51"/>
      <c r="G557" s="51"/>
      <c r="H557" s="51"/>
      <c r="I557" s="51"/>
      <c r="J557" s="211"/>
      <c r="K557" s="124"/>
    </row>
    <row r="558" hidden="1">
      <c r="A558" s="18"/>
      <c r="B558" s="203"/>
      <c r="C558" s="77" t="str">
        <f t="array" ref="C558">XLOOKUP(B558, Chr!$B$5:$B$19, Chr!$E$5:$E$19, "")</f>
        <v/>
      </c>
      <c r="D558" s="51"/>
      <c r="E558" s="51">
        <v>11.0</v>
      </c>
      <c r="F558" s="51"/>
      <c r="G558" s="51"/>
      <c r="H558" s="51"/>
      <c r="I558" s="51"/>
      <c r="J558" s="211"/>
      <c r="K558" s="124"/>
    </row>
    <row r="559" hidden="1">
      <c r="A559" s="18"/>
      <c r="B559" s="203"/>
      <c r="C559" s="77" t="str">
        <f t="array" ref="C559">XLOOKUP(B559, Chr!$B$5:$B$19, Chr!$E$5:$E$19, "")</f>
        <v/>
      </c>
      <c r="D559" s="51"/>
      <c r="E559" s="51">
        <v>12.0</v>
      </c>
      <c r="F559" s="51"/>
      <c r="G559" s="51"/>
      <c r="H559" s="51"/>
      <c r="I559" s="51"/>
      <c r="J559" s="211"/>
      <c r="K559" s="124"/>
    </row>
    <row r="560" hidden="1">
      <c r="A560" s="18"/>
      <c r="B560" s="203"/>
      <c r="C560" s="77" t="str">
        <f t="array" ref="C560">XLOOKUP(B560, Chr!$B$5:$B$19, Chr!$E$5:$E$19, "")</f>
        <v/>
      </c>
      <c r="D560" s="51"/>
      <c r="E560" s="51">
        <v>13.0</v>
      </c>
      <c r="F560" s="51"/>
      <c r="G560" s="51"/>
      <c r="H560" s="51"/>
      <c r="I560" s="51"/>
      <c r="J560" s="211"/>
      <c r="K560" s="124"/>
    </row>
    <row r="561" hidden="1">
      <c r="A561" s="18"/>
      <c r="B561" s="203"/>
      <c r="C561" s="77" t="str">
        <f t="array" ref="C561">XLOOKUP(B561, Chr!$B$5:$B$19, Chr!$E$5:$E$19, "")</f>
        <v/>
      </c>
      <c r="D561" s="51"/>
      <c r="E561" s="51">
        <v>14.0</v>
      </c>
      <c r="F561" s="51"/>
      <c r="G561" s="51"/>
      <c r="H561" s="51"/>
      <c r="I561" s="51"/>
      <c r="J561" s="247"/>
      <c r="K561" s="124"/>
    </row>
    <row r="562" hidden="1">
      <c r="A562" s="18"/>
      <c r="B562" s="203"/>
      <c r="C562" s="77" t="str">
        <f t="array" ref="C562">XLOOKUP(B562, Chr!$B$5:$B$19, Chr!$E$5:$E$19, "")</f>
        <v/>
      </c>
      <c r="D562" s="51"/>
      <c r="E562" s="51">
        <v>15.0</v>
      </c>
      <c r="F562" s="51"/>
      <c r="G562" s="51"/>
      <c r="H562" s="51"/>
      <c r="I562" s="51"/>
      <c r="J562" s="247"/>
      <c r="K562" s="124"/>
    </row>
    <row r="563" hidden="1">
      <c r="A563" s="18"/>
      <c r="B563" s="203"/>
      <c r="C563" s="77" t="str">
        <f t="array" ref="C563">XLOOKUP(B563, Chr!$B$5:$B$19, Chr!$E$5:$E$19, "")</f>
        <v/>
      </c>
      <c r="D563" s="51"/>
      <c r="E563" s="51">
        <v>16.0</v>
      </c>
      <c r="F563" s="51"/>
      <c r="G563" s="51"/>
      <c r="H563" s="51"/>
      <c r="I563" s="51"/>
      <c r="J563" s="211"/>
      <c r="K563" s="124"/>
    </row>
    <row r="564" hidden="1">
      <c r="A564" s="18"/>
      <c r="B564" s="203"/>
      <c r="C564" s="77" t="str">
        <f t="array" ref="C564">XLOOKUP(B564, Chr!$B$5:$B$19, Chr!$E$5:$E$19, "")</f>
        <v/>
      </c>
      <c r="D564" s="51"/>
      <c r="E564" s="51">
        <v>17.0</v>
      </c>
      <c r="F564" s="51"/>
      <c r="G564" s="51"/>
      <c r="H564" s="51"/>
      <c r="I564" s="51"/>
      <c r="J564" s="211"/>
      <c r="K564" s="124"/>
    </row>
    <row r="565" hidden="1">
      <c r="A565" s="18"/>
      <c r="B565" s="203"/>
      <c r="C565" s="77" t="str">
        <f t="array" ref="C565">XLOOKUP(B565, Chr!$B$5:$B$19, Chr!$E$5:$E$19, "")</f>
        <v/>
      </c>
      <c r="D565" s="51"/>
      <c r="E565" s="51">
        <v>18.0</v>
      </c>
      <c r="F565" s="51"/>
      <c r="G565" s="51"/>
      <c r="H565" s="51"/>
      <c r="I565" s="51"/>
      <c r="J565" s="211"/>
      <c r="K565" s="124"/>
    </row>
    <row r="566" hidden="1">
      <c r="A566" s="18"/>
      <c r="B566" s="203"/>
      <c r="C566" s="77" t="str">
        <f t="array" ref="C566">XLOOKUP(B566, Chr!$B$5:$B$19, Chr!$E$5:$E$19, "")</f>
        <v/>
      </c>
      <c r="D566" s="51"/>
      <c r="E566" s="51">
        <v>19.0</v>
      </c>
      <c r="F566" s="51"/>
      <c r="G566" s="51"/>
      <c r="H566" s="51"/>
      <c r="I566" s="51"/>
      <c r="J566" s="211"/>
      <c r="K566" s="124"/>
    </row>
    <row r="567" hidden="1">
      <c r="A567" s="18"/>
      <c r="B567" s="203"/>
      <c r="C567" s="77" t="str">
        <f t="array" ref="C567">XLOOKUP(B567, Chr!$B$5:$B$19, Chr!$E$5:$E$19, "")</f>
        <v/>
      </c>
      <c r="D567" s="51"/>
      <c r="E567" s="51">
        <v>20.0</v>
      </c>
      <c r="F567" s="51"/>
      <c r="G567" s="51"/>
      <c r="H567" s="51"/>
      <c r="I567" s="51"/>
      <c r="J567" s="211"/>
      <c r="K567" s="124"/>
    </row>
    <row r="568" hidden="1">
      <c r="A568" s="18"/>
      <c r="B568" s="203"/>
      <c r="C568" s="77" t="str">
        <f t="array" ref="C568">XLOOKUP(B568, Chr!$B$5:$B$19, Chr!$E$5:$E$19, "")</f>
        <v/>
      </c>
      <c r="D568" s="51">
        <v>2.0</v>
      </c>
      <c r="E568" s="51" t="s">
        <v>349</v>
      </c>
      <c r="F568" s="51"/>
      <c r="G568" s="51"/>
      <c r="H568" s="51"/>
      <c r="I568" s="51"/>
      <c r="J568" s="211"/>
      <c r="K568" s="124"/>
    </row>
    <row r="569" hidden="1">
      <c r="A569" s="18"/>
      <c r="B569" s="203"/>
      <c r="C569" s="77" t="str">
        <f t="array" ref="C569">XLOOKUP(B569, Chr!$B$5:$B$19, Chr!$E$5:$E$19, "")</f>
        <v/>
      </c>
      <c r="D569" s="51"/>
      <c r="E569" s="51">
        <v>21.0</v>
      </c>
      <c r="F569" s="51"/>
      <c r="G569" s="51"/>
      <c r="H569" s="51"/>
      <c r="I569" s="51"/>
      <c r="J569" s="211"/>
      <c r="K569" s="124"/>
    </row>
    <row r="570" hidden="1">
      <c r="A570" s="18"/>
      <c r="B570" s="203"/>
      <c r="C570" s="77" t="str">
        <f t="array" ref="C570">XLOOKUP(B570, Chr!$B$5:$B$19, Chr!$E$5:$E$19, "")</f>
        <v/>
      </c>
      <c r="D570" s="51"/>
      <c r="E570" s="51">
        <v>22.0</v>
      </c>
      <c r="F570" s="51"/>
      <c r="G570" s="51"/>
      <c r="H570" s="51"/>
      <c r="I570" s="51"/>
      <c r="J570" s="211"/>
      <c r="K570" s="124"/>
    </row>
    <row r="571" hidden="1">
      <c r="A571" s="18"/>
      <c r="B571" s="203"/>
      <c r="C571" s="77" t="str">
        <f t="array" ref="C571">XLOOKUP(B571, Chr!$B$5:$B$19, Chr!$E$5:$E$19, "")</f>
        <v/>
      </c>
      <c r="D571" s="51"/>
      <c r="E571" s="51">
        <v>23.0</v>
      </c>
      <c r="F571" s="51"/>
      <c r="G571" s="51"/>
      <c r="H571" s="51"/>
      <c r="I571" s="51"/>
      <c r="J571" s="247"/>
      <c r="K571" s="124"/>
    </row>
    <row r="572" hidden="1">
      <c r="A572" s="18"/>
      <c r="B572" s="203"/>
      <c r="C572" s="77" t="str">
        <f t="array" ref="C572">XLOOKUP(B572, Chr!$B$5:$B$19, Chr!$E$5:$E$19, "")</f>
        <v/>
      </c>
      <c r="D572" s="51"/>
      <c r="E572" s="51">
        <v>24.0</v>
      </c>
      <c r="F572" s="51"/>
      <c r="G572" s="51"/>
      <c r="H572" s="51"/>
      <c r="I572" s="51"/>
      <c r="J572" s="211"/>
      <c r="K572" s="124"/>
    </row>
    <row r="573" hidden="1">
      <c r="A573" s="18"/>
      <c r="B573" s="203"/>
      <c r="C573" s="77" t="str">
        <f t="array" ref="C573">XLOOKUP(B573, Chr!$B$5:$B$19, Chr!$E$5:$E$19, "")</f>
        <v/>
      </c>
      <c r="D573" s="51"/>
      <c r="E573" s="51">
        <v>25.0</v>
      </c>
      <c r="F573" s="51"/>
      <c r="G573" s="51"/>
      <c r="H573" s="51"/>
      <c r="I573" s="51"/>
      <c r="J573" s="247"/>
      <c r="K573" s="124"/>
    </row>
    <row r="574" hidden="1">
      <c r="A574" s="18"/>
      <c r="B574" s="203"/>
      <c r="C574" s="77" t="str">
        <f t="array" ref="C574">XLOOKUP(B574, Chr!$B$5:$B$19, Chr!$E$5:$E$19, "")</f>
        <v/>
      </c>
      <c r="D574" s="51"/>
      <c r="E574" s="51">
        <v>26.0</v>
      </c>
      <c r="F574" s="51"/>
      <c r="G574" s="51"/>
      <c r="H574" s="51"/>
      <c r="I574" s="51"/>
      <c r="J574" s="211"/>
      <c r="K574" s="124"/>
    </row>
    <row r="575" hidden="1">
      <c r="A575" s="18"/>
      <c r="B575" s="203"/>
      <c r="C575" s="77" t="str">
        <f t="array" ref="C575">XLOOKUP(B575, Chr!$B$5:$B$19, Chr!$E$5:$E$19, "")</f>
        <v/>
      </c>
      <c r="D575" s="51"/>
      <c r="E575" s="51">
        <v>27.0</v>
      </c>
      <c r="F575" s="51"/>
      <c r="G575" s="51"/>
      <c r="H575" s="51"/>
      <c r="I575" s="51"/>
      <c r="J575" s="211"/>
      <c r="K575" s="124"/>
    </row>
    <row r="576" hidden="1">
      <c r="A576" s="18"/>
      <c r="B576" s="203"/>
      <c r="C576" s="77" t="str">
        <f t="array" ref="C576">XLOOKUP(B576, Chr!$B$5:$B$19, Chr!$E$5:$E$19, "")</f>
        <v/>
      </c>
      <c r="D576" s="51"/>
      <c r="E576" s="51">
        <v>28.0</v>
      </c>
      <c r="F576" s="51"/>
      <c r="G576" s="51"/>
      <c r="H576" s="51"/>
      <c r="I576" s="51"/>
      <c r="J576" s="211"/>
      <c r="K576" s="124"/>
    </row>
    <row r="577" hidden="1">
      <c r="A577" s="18"/>
      <c r="B577" s="203"/>
      <c r="C577" s="77" t="str">
        <f t="array" ref="C577">XLOOKUP(B577, Chr!$B$5:$B$19, Chr!$E$5:$E$19, "")</f>
        <v/>
      </c>
      <c r="D577" s="51"/>
      <c r="E577" s="51">
        <v>29.0</v>
      </c>
      <c r="F577" s="51"/>
      <c r="G577" s="51"/>
      <c r="H577" s="51"/>
      <c r="I577" s="51"/>
      <c r="J577" s="211"/>
      <c r="K577" s="124"/>
    </row>
    <row r="578" hidden="1">
      <c r="A578" s="18"/>
      <c r="B578" s="203"/>
      <c r="C578" s="77" t="str">
        <f t="array" ref="C578">XLOOKUP(B578, Chr!$B$5:$B$19, Chr!$E$5:$E$19, "")</f>
        <v/>
      </c>
      <c r="D578" s="51"/>
      <c r="E578" s="51">
        <v>30.0</v>
      </c>
      <c r="F578" s="51"/>
      <c r="G578" s="51"/>
      <c r="H578" s="51"/>
      <c r="I578" s="51"/>
      <c r="J578" s="211"/>
      <c r="K578" s="124"/>
    </row>
    <row r="579" hidden="1">
      <c r="A579" s="18"/>
      <c r="B579" s="203"/>
      <c r="C579" s="77" t="str">
        <f t="array" ref="C579">XLOOKUP(B579, Chr!$B$5:$B$19, Chr!$E$5:$E$19, "")</f>
        <v/>
      </c>
      <c r="D579" s="51">
        <v>3.0</v>
      </c>
      <c r="E579" s="51" t="s">
        <v>349</v>
      </c>
      <c r="F579" s="51"/>
      <c r="G579" s="51"/>
      <c r="H579" s="51"/>
      <c r="I579" s="51"/>
      <c r="J579" s="211"/>
      <c r="K579" s="124"/>
    </row>
    <row r="580" hidden="1">
      <c r="A580" s="18"/>
      <c r="B580" s="203"/>
      <c r="C580" s="77" t="str">
        <f t="array" ref="C580">XLOOKUP(B580, Chr!$B$5:$B$19, Chr!$E$5:$E$19, "")</f>
        <v/>
      </c>
      <c r="D580" s="51"/>
      <c r="E580" s="51">
        <v>31.0</v>
      </c>
      <c r="F580" s="51"/>
      <c r="G580" s="51"/>
      <c r="H580" s="51"/>
      <c r="I580" s="51"/>
      <c r="J580" s="211"/>
      <c r="K580" s="124"/>
    </row>
    <row r="581" hidden="1">
      <c r="A581" s="18"/>
      <c r="B581" s="203"/>
      <c r="C581" s="77" t="str">
        <f t="array" ref="C581">XLOOKUP(B581, Chr!$B$5:$B$19, Chr!$E$5:$E$19, "")</f>
        <v/>
      </c>
      <c r="D581" s="51"/>
      <c r="E581" s="51">
        <v>32.0</v>
      </c>
      <c r="F581" s="51"/>
      <c r="G581" s="51"/>
      <c r="H581" s="51"/>
      <c r="I581" s="51"/>
      <c r="J581" s="211"/>
      <c r="K581" s="124"/>
    </row>
    <row r="582" hidden="1">
      <c r="A582" s="18"/>
      <c r="B582" s="203"/>
      <c r="C582" s="77" t="str">
        <f t="array" ref="C582">XLOOKUP(B582, Chr!$B$5:$B$19, Chr!$E$5:$E$19, "")</f>
        <v/>
      </c>
      <c r="D582" s="51"/>
      <c r="E582" s="51">
        <v>33.0</v>
      </c>
      <c r="F582" s="51"/>
      <c r="G582" s="51"/>
      <c r="H582" s="51"/>
      <c r="I582" s="51"/>
      <c r="J582" s="211"/>
      <c r="K582" s="124"/>
    </row>
    <row r="583" hidden="1">
      <c r="A583" s="18"/>
      <c r="B583" s="203"/>
      <c r="C583" s="77" t="str">
        <f t="array" ref="C583">XLOOKUP(B583, Chr!$B$5:$B$19, Chr!$E$5:$E$19, "")</f>
        <v/>
      </c>
      <c r="D583" s="51"/>
      <c r="E583" s="51">
        <v>34.0</v>
      </c>
      <c r="F583" s="51"/>
      <c r="G583" s="51"/>
      <c r="H583" s="51"/>
      <c r="I583" s="51"/>
      <c r="J583" s="211"/>
      <c r="K583" s="124"/>
    </row>
    <row r="584" hidden="1">
      <c r="A584" s="18"/>
      <c r="B584" s="203"/>
      <c r="C584" s="77" t="str">
        <f t="array" ref="C584">XLOOKUP(B584, Chr!$B$5:$B$19, Chr!$E$5:$E$19, "")</f>
        <v/>
      </c>
      <c r="D584" s="51"/>
      <c r="E584" s="51">
        <v>35.0</v>
      </c>
      <c r="F584" s="51"/>
      <c r="G584" s="51"/>
      <c r="H584" s="51"/>
      <c r="I584" s="51"/>
      <c r="J584" s="211"/>
      <c r="K584" s="124"/>
    </row>
    <row r="585" hidden="1">
      <c r="A585" s="18"/>
      <c r="B585" s="203"/>
      <c r="C585" s="77" t="str">
        <f t="array" ref="C585">XLOOKUP(B585, Chr!$B$5:$B$19, Chr!$E$5:$E$19, "")</f>
        <v/>
      </c>
      <c r="D585" s="51"/>
      <c r="E585" s="51">
        <v>36.0</v>
      </c>
      <c r="F585" s="51"/>
      <c r="G585" s="51"/>
      <c r="H585" s="51"/>
      <c r="I585" s="51"/>
      <c r="J585" s="211"/>
      <c r="K585" s="124"/>
    </row>
    <row r="586" hidden="1">
      <c r="A586" s="18"/>
      <c r="B586" s="203"/>
      <c r="C586" s="77" t="str">
        <f t="array" ref="C586">XLOOKUP(B586, Chr!$B$5:$B$19, Chr!$E$5:$E$19, "")</f>
        <v/>
      </c>
      <c r="D586" s="51"/>
      <c r="E586" s="51">
        <v>37.0</v>
      </c>
      <c r="F586" s="51"/>
      <c r="G586" s="51"/>
      <c r="H586" s="51"/>
      <c r="I586" s="51"/>
      <c r="J586" s="211"/>
      <c r="K586" s="124"/>
    </row>
    <row r="587" hidden="1">
      <c r="A587" s="18"/>
      <c r="B587" s="203"/>
      <c r="C587" s="77" t="str">
        <f t="array" ref="C587">XLOOKUP(B587, Chr!$B$5:$B$19, Chr!$E$5:$E$19, "")</f>
        <v/>
      </c>
      <c r="D587" s="51"/>
      <c r="E587" s="51">
        <v>38.0</v>
      </c>
      <c r="F587" s="51"/>
      <c r="G587" s="51"/>
      <c r="H587" s="51"/>
      <c r="I587" s="51"/>
      <c r="J587" s="211"/>
      <c r="K587" s="124"/>
    </row>
    <row r="588" hidden="1">
      <c r="A588" s="18"/>
      <c r="B588" s="203"/>
      <c r="C588" s="77" t="str">
        <f t="array" ref="C588">XLOOKUP(B588, Chr!$B$5:$B$19, Chr!$E$5:$E$19, "")</f>
        <v/>
      </c>
      <c r="D588" s="51"/>
      <c r="E588" s="51">
        <v>39.0</v>
      </c>
      <c r="F588" s="51"/>
      <c r="G588" s="51"/>
      <c r="H588" s="51"/>
      <c r="I588" s="51"/>
      <c r="J588" s="211"/>
      <c r="K588" s="124"/>
    </row>
    <row r="589" hidden="1">
      <c r="A589" s="18"/>
      <c r="B589" s="203"/>
      <c r="C589" s="77" t="str">
        <f t="array" ref="C589">XLOOKUP(B589, Chr!$B$5:$B$19, Chr!$E$5:$E$19, "")</f>
        <v/>
      </c>
      <c r="D589" s="51"/>
      <c r="E589" s="51">
        <v>40.0</v>
      </c>
      <c r="F589" s="51"/>
      <c r="G589" s="51"/>
      <c r="H589" s="51"/>
      <c r="I589" s="51"/>
      <c r="J589" s="211"/>
      <c r="K589" s="124"/>
    </row>
    <row r="590" hidden="1">
      <c r="A590" s="18"/>
      <c r="B590" s="213"/>
      <c r="C590" s="269" t="str">
        <f t="array" ref="C590">XLOOKUP(B590, Chr!$B$5:$B$19, Chr!$E$5:$E$19, "")</f>
        <v/>
      </c>
      <c r="D590" s="214">
        <v>4.0</v>
      </c>
      <c r="E590" s="214" t="s">
        <v>349</v>
      </c>
      <c r="F590" s="214"/>
      <c r="G590" s="214"/>
      <c r="H590" s="214"/>
      <c r="I590" s="214"/>
      <c r="J590" s="215"/>
      <c r="K590" s="124"/>
    </row>
    <row r="591">
      <c r="A591" s="41"/>
      <c r="B591" s="242"/>
      <c r="C591" s="131"/>
      <c r="D591" s="131"/>
      <c r="E591" s="131"/>
      <c r="F591" s="131"/>
      <c r="G591" s="131"/>
      <c r="H591" s="131"/>
      <c r="I591" s="131"/>
      <c r="J591" s="131"/>
      <c r="K591" s="41"/>
    </row>
    <row r="592">
      <c r="A592" s="18"/>
      <c r="B592" s="224">
        <v>1014.0</v>
      </c>
      <c r="C592" s="225" t="s">
        <v>218</v>
      </c>
      <c r="D592" s="226">
        <v>0.0</v>
      </c>
      <c r="E592" s="226">
        <v>1.0</v>
      </c>
      <c r="F592" s="226"/>
      <c r="G592" s="226"/>
      <c r="H592" s="226"/>
      <c r="I592" s="226"/>
      <c r="J592" s="268"/>
      <c r="K592" s="124"/>
    </row>
    <row r="593" hidden="1">
      <c r="A593" s="18"/>
      <c r="B593" s="203"/>
      <c r="C593" s="77"/>
      <c r="D593" s="51"/>
      <c r="E593" s="51">
        <v>2.0</v>
      </c>
      <c r="F593" s="51"/>
      <c r="G593" s="51"/>
      <c r="H593" s="51"/>
      <c r="I593" s="51"/>
      <c r="J593" s="211"/>
      <c r="K593" s="124"/>
    </row>
    <row r="594" hidden="1">
      <c r="A594" s="18"/>
      <c r="B594" s="203"/>
      <c r="C594" s="77" t="str">
        <f t="array" ref="C594">XLOOKUP(B594, Chr!$B$5:$B$19, Chr!$E$5:$E$19, "")</f>
        <v/>
      </c>
      <c r="D594" s="51"/>
      <c r="E594" s="51">
        <v>3.0</v>
      </c>
      <c r="F594" s="51"/>
      <c r="G594" s="51"/>
      <c r="H594" s="51"/>
      <c r="I594" s="51"/>
      <c r="J594" s="211"/>
      <c r="K594" s="124"/>
    </row>
    <row r="595" hidden="1">
      <c r="A595" s="18"/>
      <c r="B595" s="203"/>
      <c r="C595" s="77" t="str">
        <f t="array" ref="C595">XLOOKUP(B595, Chr!$B$5:$B$19, Chr!$E$5:$E$19, "")</f>
        <v/>
      </c>
      <c r="D595" s="51"/>
      <c r="E595" s="51">
        <v>4.0</v>
      </c>
      <c r="F595" s="51"/>
      <c r="G595" s="51"/>
      <c r="H595" s="51"/>
      <c r="I595" s="51"/>
      <c r="J595" s="211"/>
      <c r="K595" s="124"/>
    </row>
    <row r="596" hidden="1">
      <c r="A596" s="18"/>
      <c r="B596" s="203"/>
      <c r="C596" s="77" t="str">
        <f t="array" ref="C596">XLOOKUP(B596, Chr!$B$5:$B$19, Chr!$E$5:$E$19, "")</f>
        <v/>
      </c>
      <c r="D596" s="51"/>
      <c r="E596" s="51">
        <v>5.0</v>
      </c>
      <c r="F596" s="51"/>
      <c r="G596" s="51"/>
      <c r="H596" s="51"/>
      <c r="I596" s="51"/>
      <c r="J596" s="211"/>
      <c r="K596" s="124"/>
    </row>
    <row r="597" hidden="1">
      <c r="A597" s="18"/>
      <c r="B597" s="203"/>
      <c r="C597" s="77" t="str">
        <f t="array" ref="C597">XLOOKUP(B597, Chr!$B$5:$B$19, Chr!$E$5:$E$19, "")</f>
        <v/>
      </c>
      <c r="D597" s="51"/>
      <c r="E597" s="51">
        <v>6.0</v>
      </c>
      <c r="F597" s="51"/>
      <c r="G597" s="51"/>
      <c r="H597" s="51"/>
      <c r="I597" s="51"/>
      <c r="J597" s="211"/>
      <c r="K597" s="124"/>
    </row>
    <row r="598" hidden="1">
      <c r="A598" s="18"/>
      <c r="B598" s="203"/>
      <c r="C598" s="77" t="str">
        <f t="array" ref="C598">XLOOKUP(B598, Chr!$B$5:$B$19, Chr!$E$5:$E$19, "")</f>
        <v/>
      </c>
      <c r="D598" s="51"/>
      <c r="E598" s="51">
        <v>7.0</v>
      </c>
      <c r="F598" s="51"/>
      <c r="G598" s="51"/>
      <c r="H598" s="51"/>
      <c r="I598" s="51"/>
      <c r="J598" s="211"/>
      <c r="K598" s="124"/>
    </row>
    <row r="599" hidden="1">
      <c r="A599" s="18"/>
      <c r="B599" s="203"/>
      <c r="C599" s="77" t="str">
        <f t="array" ref="C599">XLOOKUP(B599, Chr!$B$5:$B$19, Chr!$E$5:$E$19, "")</f>
        <v/>
      </c>
      <c r="D599" s="51"/>
      <c r="E599" s="51">
        <v>8.0</v>
      </c>
      <c r="F599" s="51"/>
      <c r="G599" s="51"/>
      <c r="H599" s="51"/>
      <c r="I599" s="51"/>
      <c r="J599" s="211"/>
      <c r="K599" s="124"/>
    </row>
    <row r="600" hidden="1">
      <c r="A600" s="18"/>
      <c r="B600" s="203"/>
      <c r="C600" s="77" t="str">
        <f t="array" ref="C600">XLOOKUP(B600, Chr!$B$5:$B$19, Chr!$E$5:$E$19, "")</f>
        <v/>
      </c>
      <c r="D600" s="51"/>
      <c r="E600" s="51">
        <v>9.0</v>
      </c>
      <c r="F600" s="51"/>
      <c r="G600" s="51"/>
      <c r="H600" s="51"/>
      <c r="I600" s="51"/>
      <c r="J600" s="211"/>
      <c r="K600" s="124"/>
    </row>
    <row r="601" hidden="1">
      <c r="A601" s="18"/>
      <c r="B601" s="203"/>
      <c r="C601" s="77" t="str">
        <f t="array" ref="C601">XLOOKUP(B601, Chr!$B$5:$B$19, Chr!$E$5:$E$19, "")</f>
        <v/>
      </c>
      <c r="D601" s="51"/>
      <c r="E601" s="51">
        <v>10.0</v>
      </c>
      <c r="F601" s="51"/>
      <c r="G601" s="51"/>
      <c r="H601" s="51"/>
      <c r="I601" s="51"/>
      <c r="J601" s="211"/>
      <c r="K601" s="124"/>
    </row>
    <row r="602" hidden="1">
      <c r="A602" s="18"/>
      <c r="B602" s="203"/>
      <c r="C602" s="77" t="str">
        <f t="array" ref="C602">XLOOKUP(B602, Chr!$B$5:$B$19, Chr!$E$5:$E$19, "")</f>
        <v/>
      </c>
      <c r="D602" s="51">
        <v>1.0</v>
      </c>
      <c r="E602" s="51" t="s">
        <v>349</v>
      </c>
      <c r="F602" s="51"/>
      <c r="G602" s="51"/>
      <c r="H602" s="51"/>
      <c r="I602" s="51"/>
      <c r="J602" s="211"/>
      <c r="K602" s="124"/>
    </row>
    <row r="603" hidden="1">
      <c r="A603" s="18"/>
      <c r="B603" s="203"/>
      <c r="C603" s="77" t="str">
        <f t="array" ref="C603">XLOOKUP(B603, Chr!$B$5:$B$19, Chr!$E$5:$E$19, "")</f>
        <v/>
      </c>
      <c r="D603" s="51"/>
      <c r="E603" s="51">
        <v>11.0</v>
      </c>
      <c r="F603" s="51"/>
      <c r="G603" s="51"/>
      <c r="H603" s="51"/>
      <c r="I603" s="51"/>
      <c r="J603" s="211"/>
      <c r="K603" s="124"/>
    </row>
    <row r="604" hidden="1">
      <c r="A604" s="18"/>
      <c r="B604" s="203"/>
      <c r="C604" s="77" t="str">
        <f t="array" ref="C604">XLOOKUP(B604, Chr!$B$5:$B$19, Chr!$E$5:$E$19, "")</f>
        <v/>
      </c>
      <c r="D604" s="51"/>
      <c r="E604" s="51">
        <v>12.0</v>
      </c>
      <c r="F604" s="51"/>
      <c r="G604" s="51"/>
      <c r="H604" s="51"/>
      <c r="I604" s="51"/>
      <c r="J604" s="211"/>
      <c r="K604" s="124"/>
    </row>
    <row r="605" hidden="1">
      <c r="A605" s="18"/>
      <c r="B605" s="203"/>
      <c r="C605" s="77" t="str">
        <f t="array" ref="C605">XLOOKUP(B605, Chr!$B$5:$B$19, Chr!$E$5:$E$19, "")</f>
        <v/>
      </c>
      <c r="D605" s="51"/>
      <c r="E605" s="51">
        <v>13.0</v>
      </c>
      <c r="F605" s="51"/>
      <c r="G605" s="51"/>
      <c r="H605" s="51"/>
      <c r="I605" s="51"/>
      <c r="J605" s="211"/>
      <c r="K605" s="124"/>
    </row>
    <row r="606" hidden="1">
      <c r="A606" s="18"/>
      <c r="B606" s="203"/>
      <c r="C606" s="77" t="str">
        <f t="array" ref="C606">XLOOKUP(B606, Chr!$B$5:$B$19, Chr!$E$5:$E$19, "")</f>
        <v/>
      </c>
      <c r="D606" s="51"/>
      <c r="E606" s="51">
        <v>14.0</v>
      </c>
      <c r="F606" s="51"/>
      <c r="G606" s="51"/>
      <c r="H606" s="51"/>
      <c r="I606" s="51"/>
      <c r="J606" s="247"/>
      <c r="K606" s="124"/>
    </row>
    <row r="607" hidden="1">
      <c r="A607" s="18"/>
      <c r="B607" s="203"/>
      <c r="C607" s="77" t="str">
        <f t="array" ref="C607">XLOOKUP(B607, Chr!$B$5:$B$19, Chr!$E$5:$E$19, "")</f>
        <v/>
      </c>
      <c r="D607" s="51"/>
      <c r="E607" s="51">
        <v>15.0</v>
      </c>
      <c r="F607" s="51"/>
      <c r="G607" s="51"/>
      <c r="H607" s="51"/>
      <c r="I607" s="51"/>
      <c r="J607" s="247"/>
      <c r="K607" s="124"/>
    </row>
    <row r="608" hidden="1">
      <c r="A608" s="18"/>
      <c r="B608" s="203"/>
      <c r="C608" s="77" t="str">
        <f t="array" ref="C608">XLOOKUP(B608, Chr!$B$5:$B$19, Chr!$E$5:$E$19, "")</f>
        <v/>
      </c>
      <c r="D608" s="51"/>
      <c r="E608" s="51">
        <v>16.0</v>
      </c>
      <c r="F608" s="51"/>
      <c r="G608" s="51"/>
      <c r="H608" s="51"/>
      <c r="I608" s="51"/>
      <c r="J608" s="211"/>
      <c r="K608" s="124"/>
    </row>
    <row r="609" hidden="1">
      <c r="A609" s="18"/>
      <c r="B609" s="203"/>
      <c r="C609" s="77" t="str">
        <f t="array" ref="C609">XLOOKUP(B609, Chr!$B$5:$B$19, Chr!$E$5:$E$19, "")</f>
        <v/>
      </c>
      <c r="D609" s="51"/>
      <c r="E609" s="51">
        <v>17.0</v>
      </c>
      <c r="F609" s="51"/>
      <c r="G609" s="51"/>
      <c r="H609" s="51"/>
      <c r="I609" s="51"/>
      <c r="J609" s="211"/>
      <c r="K609" s="124"/>
    </row>
    <row r="610" hidden="1">
      <c r="A610" s="18"/>
      <c r="B610" s="203"/>
      <c r="C610" s="77" t="str">
        <f t="array" ref="C610">XLOOKUP(B610, Chr!$B$5:$B$19, Chr!$E$5:$E$19, "")</f>
        <v/>
      </c>
      <c r="D610" s="51"/>
      <c r="E610" s="51">
        <v>18.0</v>
      </c>
      <c r="F610" s="51"/>
      <c r="G610" s="51"/>
      <c r="H610" s="51"/>
      <c r="I610" s="51"/>
      <c r="J610" s="211"/>
      <c r="K610" s="124"/>
    </row>
    <row r="611" hidden="1">
      <c r="A611" s="18"/>
      <c r="B611" s="203"/>
      <c r="C611" s="77" t="str">
        <f t="array" ref="C611">XLOOKUP(B611, Chr!$B$5:$B$19, Chr!$E$5:$E$19, "")</f>
        <v/>
      </c>
      <c r="D611" s="51"/>
      <c r="E611" s="51">
        <v>19.0</v>
      </c>
      <c r="F611" s="51"/>
      <c r="G611" s="51"/>
      <c r="H611" s="51"/>
      <c r="I611" s="51"/>
      <c r="J611" s="211"/>
      <c r="K611" s="124"/>
    </row>
    <row r="612" hidden="1">
      <c r="A612" s="18"/>
      <c r="B612" s="203"/>
      <c r="C612" s="77" t="str">
        <f t="array" ref="C612">XLOOKUP(B612, Chr!$B$5:$B$19, Chr!$E$5:$E$19, "")</f>
        <v/>
      </c>
      <c r="D612" s="51"/>
      <c r="E612" s="51">
        <v>20.0</v>
      </c>
      <c r="F612" s="51"/>
      <c r="G612" s="51"/>
      <c r="H612" s="51"/>
      <c r="I612" s="51"/>
      <c r="J612" s="211"/>
      <c r="K612" s="124"/>
    </row>
    <row r="613" hidden="1">
      <c r="A613" s="18"/>
      <c r="B613" s="203"/>
      <c r="C613" s="77" t="str">
        <f t="array" ref="C613">XLOOKUP(B613, Chr!$B$5:$B$19, Chr!$E$5:$E$19, "")</f>
        <v/>
      </c>
      <c r="D613" s="51">
        <v>2.0</v>
      </c>
      <c r="E613" s="51" t="s">
        <v>349</v>
      </c>
      <c r="F613" s="51"/>
      <c r="G613" s="51"/>
      <c r="H613" s="51"/>
      <c r="I613" s="51"/>
      <c r="J613" s="211"/>
      <c r="K613" s="124"/>
    </row>
    <row r="614" hidden="1">
      <c r="A614" s="18"/>
      <c r="B614" s="203"/>
      <c r="C614" s="77" t="str">
        <f t="array" ref="C614">XLOOKUP(B614, Chr!$B$5:$B$19, Chr!$E$5:$E$19, "")</f>
        <v/>
      </c>
      <c r="D614" s="51"/>
      <c r="E614" s="51">
        <v>21.0</v>
      </c>
      <c r="F614" s="51"/>
      <c r="G614" s="51"/>
      <c r="H614" s="51"/>
      <c r="I614" s="51"/>
      <c r="J614" s="211"/>
      <c r="K614" s="124"/>
    </row>
    <row r="615" hidden="1">
      <c r="A615" s="18"/>
      <c r="B615" s="203"/>
      <c r="C615" s="77" t="str">
        <f t="array" ref="C615">XLOOKUP(B615, Chr!$B$5:$B$19, Chr!$E$5:$E$19, "")</f>
        <v/>
      </c>
      <c r="D615" s="51"/>
      <c r="E615" s="51">
        <v>22.0</v>
      </c>
      <c r="F615" s="51"/>
      <c r="G615" s="51"/>
      <c r="H615" s="51"/>
      <c r="I615" s="51"/>
      <c r="J615" s="211"/>
      <c r="K615" s="124"/>
    </row>
    <row r="616" hidden="1">
      <c r="A616" s="18"/>
      <c r="B616" s="203"/>
      <c r="C616" s="77" t="str">
        <f t="array" ref="C616">XLOOKUP(B616, Chr!$B$5:$B$19, Chr!$E$5:$E$19, "")</f>
        <v/>
      </c>
      <c r="D616" s="51"/>
      <c r="E616" s="51">
        <v>23.0</v>
      </c>
      <c r="F616" s="51"/>
      <c r="G616" s="51"/>
      <c r="H616" s="51"/>
      <c r="I616" s="51"/>
      <c r="J616" s="247"/>
      <c r="K616" s="124"/>
    </row>
    <row r="617" hidden="1">
      <c r="A617" s="18"/>
      <c r="B617" s="203"/>
      <c r="C617" s="77" t="str">
        <f t="array" ref="C617">XLOOKUP(B617, Chr!$B$5:$B$19, Chr!$E$5:$E$19, "")</f>
        <v/>
      </c>
      <c r="D617" s="51"/>
      <c r="E617" s="51">
        <v>24.0</v>
      </c>
      <c r="F617" s="51"/>
      <c r="G617" s="51"/>
      <c r="H617" s="51"/>
      <c r="I617" s="51"/>
      <c r="J617" s="211"/>
      <c r="K617" s="124"/>
    </row>
    <row r="618" hidden="1">
      <c r="A618" s="18"/>
      <c r="B618" s="203"/>
      <c r="C618" s="77" t="str">
        <f t="array" ref="C618">XLOOKUP(B618, Chr!$B$5:$B$19, Chr!$E$5:$E$19, "")</f>
        <v/>
      </c>
      <c r="D618" s="51"/>
      <c r="E618" s="51">
        <v>25.0</v>
      </c>
      <c r="F618" s="51"/>
      <c r="G618" s="51"/>
      <c r="H618" s="51"/>
      <c r="I618" s="51"/>
      <c r="J618" s="247"/>
      <c r="K618" s="124"/>
    </row>
    <row r="619" hidden="1">
      <c r="A619" s="18"/>
      <c r="B619" s="203"/>
      <c r="C619" s="77" t="str">
        <f t="array" ref="C619">XLOOKUP(B619, Chr!$B$5:$B$19, Chr!$E$5:$E$19, "")</f>
        <v/>
      </c>
      <c r="D619" s="51"/>
      <c r="E619" s="51">
        <v>26.0</v>
      </c>
      <c r="F619" s="51"/>
      <c r="G619" s="51"/>
      <c r="H619" s="51"/>
      <c r="I619" s="51"/>
      <c r="J619" s="211"/>
      <c r="K619" s="124"/>
    </row>
    <row r="620" hidden="1">
      <c r="A620" s="18"/>
      <c r="B620" s="203"/>
      <c r="C620" s="77" t="str">
        <f t="array" ref="C620">XLOOKUP(B620, Chr!$B$5:$B$19, Chr!$E$5:$E$19, "")</f>
        <v/>
      </c>
      <c r="D620" s="51"/>
      <c r="E620" s="51">
        <v>27.0</v>
      </c>
      <c r="F620" s="51"/>
      <c r="G620" s="51"/>
      <c r="H620" s="51"/>
      <c r="I620" s="51"/>
      <c r="J620" s="211"/>
      <c r="K620" s="124"/>
    </row>
    <row r="621" hidden="1">
      <c r="A621" s="18"/>
      <c r="B621" s="203"/>
      <c r="C621" s="77" t="str">
        <f t="array" ref="C621">XLOOKUP(B621, Chr!$B$5:$B$19, Chr!$E$5:$E$19, "")</f>
        <v/>
      </c>
      <c r="D621" s="51"/>
      <c r="E621" s="51">
        <v>28.0</v>
      </c>
      <c r="F621" s="51"/>
      <c r="G621" s="51"/>
      <c r="H621" s="51"/>
      <c r="I621" s="51"/>
      <c r="J621" s="211"/>
      <c r="K621" s="124"/>
    </row>
    <row r="622" hidden="1">
      <c r="A622" s="18"/>
      <c r="B622" s="203"/>
      <c r="C622" s="77" t="str">
        <f t="array" ref="C622">XLOOKUP(B622, Chr!$B$5:$B$19, Chr!$E$5:$E$19, "")</f>
        <v/>
      </c>
      <c r="D622" s="51"/>
      <c r="E622" s="51">
        <v>29.0</v>
      </c>
      <c r="F622" s="51"/>
      <c r="G622" s="51"/>
      <c r="H622" s="51"/>
      <c r="I622" s="51"/>
      <c r="J622" s="211"/>
      <c r="K622" s="124"/>
    </row>
    <row r="623" hidden="1">
      <c r="A623" s="18"/>
      <c r="B623" s="203"/>
      <c r="C623" s="77" t="str">
        <f t="array" ref="C623">XLOOKUP(B623, Chr!$B$5:$B$19, Chr!$E$5:$E$19, "")</f>
        <v/>
      </c>
      <c r="D623" s="51"/>
      <c r="E623" s="51">
        <v>30.0</v>
      </c>
      <c r="F623" s="51"/>
      <c r="G623" s="51"/>
      <c r="H623" s="51"/>
      <c r="I623" s="51"/>
      <c r="J623" s="211"/>
      <c r="K623" s="124"/>
    </row>
    <row r="624" hidden="1">
      <c r="A624" s="18"/>
      <c r="B624" s="203"/>
      <c r="C624" s="77" t="str">
        <f t="array" ref="C624">XLOOKUP(B624, Chr!$B$5:$B$19, Chr!$E$5:$E$19, "")</f>
        <v/>
      </c>
      <c r="D624" s="51">
        <v>3.0</v>
      </c>
      <c r="E624" s="51" t="s">
        <v>349</v>
      </c>
      <c r="F624" s="51"/>
      <c r="G624" s="51"/>
      <c r="H624" s="51"/>
      <c r="I624" s="51"/>
      <c r="J624" s="211"/>
      <c r="K624" s="124"/>
    </row>
    <row r="625" hidden="1">
      <c r="A625" s="18"/>
      <c r="B625" s="203"/>
      <c r="C625" s="77" t="str">
        <f t="array" ref="C625">XLOOKUP(B625, Chr!$B$5:$B$19, Chr!$E$5:$E$19, "")</f>
        <v/>
      </c>
      <c r="D625" s="51"/>
      <c r="E625" s="51">
        <v>31.0</v>
      </c>
      <c r="F625" s="51"/>
      <c r="G625" s="51"/>
      <c r="H625" s="51"/>
      <c r="I625" s="51"/>
      <c r="J625" s="211"/>
      <c r="K625" s="124"/>
    </row>
    <row r="626" hidden="1">
      <c r="A626" s="18"/>
      <c r="B626" s="203"/>
      <c r="C626" s="77" t="str">
        <f t="array" ref="C626">XLOOKUP(B626, Chr!$B$5:$B$19, Chr!$E$5:$E$19, "")</f>
        <v/>
      </c>
      <c r="D626" s="51"/>
      <c r="E626" s="51">
        <v>32.0</v>
      </c>
      <c r="F626" s="51"/>
      <c r="G626" s="51"/>
      <c r="H626" s="51"/>
      <c r="I626" s="51"/>
      <c r="J626" s="211"/>
      <c r="K626" s="124"/>
    </row>
    <row r="627" hidden="1">
      <c r="A627" s="18"/>
      <c r="B627" s="203"/>
      <c r="C627" s="77" t="str">
        <f t="array" ref="C627">XLOOKUP(B627, Chr!$B$5:$B$19, Chr!$E$5:$E$19, "")</f>
        <v/>
      </c>
      <c r="D627" s="51"/>
      <c r="E627" s="51">
        <v>33.0</v>
      </c>
      <c r="F627" s="51"/>
      <c r="G627" s="51"/>
      <c r="H627" s="51"/>
      <c r="I627" s="51"/>
      <c r="J627" s="211"/>
      <c r="K627" s="124"/>
    </row>
    <row r="628" hidden="1">
      <c r="A628" s="18"/>
      <c r="B628" s="203"/>
      <c r="C628" s="77" t="str">
        <f t="array" ref="C628">XLOOKUP(B628, Chr!$B$5:$B$19, Chr!$E$5:$E$19, "")</f>
        <v/>
      </c>
      <c r="D628" s="51"/>
      <c r="E628" s="51">
        <v>34.0</v>
      </c>
      <c r="F628" s="51"/>
      <c r="G628" s="51"/>
      <c r="H628" s="51"/>
      <c r="I628" s="51"/>
      <c r="J628" s="211"/>
      <c r="K628" s="124"/>
    </row>
    <row r="629" hidden="1">
      <c r="A629" s="18"/>
      <c r="B629" s="203"/>
      <c r="C629" s="77" t="str">
        <f t="array" ref="C629">XLOOKUP(B629, Chr!$B$5:$B$19, Chr!$E$5:$E$19, "")</f>
        <v/>
      </c>
      <c r="D629" s="51"/>
      <c r="E629" s="51">
        <v>35.0</v>
      </c>
      <c r="F629" s="51"/>
      <c r="G629" s="51"/>
      <c r="H629" s="51"/>
      <c r="I629" s="51"/>
      <c r="J629" s="211"/>
      <c r="K629" s="124"/>
    </row>
    <row r="630" hidden="1">
      <c r="A630" s="18"/>
      <c r="B630" s="203"/>
      <c r="C630" s="77" t="str">
        <f t="array" ref="C630">XLOOKUP(B630, Chr!$B$5:$B$19, Chr!$E$5:$E$19, "")</f>
        <v/>
      </c>
      <c r="D630" s="51"/>
      <c r="E630" s="51">
        <v>36.0</v>
      </c>
      <c r="F630" s="51"/>
      <c r="G630" s="51"/>
      <c r="H630" s="51"/>
      <c r="I630" s="51"/>
      <c r="J630" s="211"/>
      <c r="K630" s="124"/>
    </row>
    <row r="631" hidden="1">
      <c r="A631" s="18"/>
      <c r="B631" s="203"/>
      <c r="C631" s="77" t="str">
        <f t="array" ref="C631">XLOOKUP(B631, Chr!$B$5:$B$19, Chr!$E$5:$E$19, "")</f>
        <v/>
      </c>
      <c r="D631" s="51"/>
      <c r="E631" s="51">
        <v>37.0</v>
      </c>
      <c r="F631" s="51"/>
      <c r="G631" s="51"/>
      <c r="H631" s="51"/>
      <c r="I631" s="51"/>
      <c r="J631" s="211"/>
      <c r="K631" s="124"/>
    </row>
    <row r="632" hidden="1">
      <c r="A632" s="18"/>
      <c r="B632" s="203"/>
      <c r="C632" s="77" t="str">
        <f t="array" ref="C632">XLOOKUP(B632, Chr!$B$5:$B$19, Chr!$E$5:$E$19, "")</f>
        <v/>
      </c>
      <c r="D632" s="51"/>
      <c r="E632" s="51">
        <v>38.0</v>
      </c>
      <c r="F632" s="51"/>
      <c r="G632" s="51"/>
      <c r="H632" s="51"/>
      <c r="I632" s="51"/>
      <c r="J632" s="211"/>
      <c r="K632" s="124"/>
    </row>
    <row r="633" hidden="1">
      <c r="A633" s="18"/>
      <c r="B633" s="203"/>
      <c r="C633" s="77" t="str">
        <f t="array" ref="C633">XLOOKUP(B633, Chr!$B$5:$B$19, Chr!$E$5:$E$19, "")</f>
        <v/>
      </c>
      <c r="D633" s="51"/>
      <c r="E633" s="51">
        <v>39.0</v>
      </c>
      <c r="F633" s="51"/>
      <c r="G633" s="51"/>
      <c r="H633" s="51"/>
      <c r="I633" s="51"/>
      <c r="J633" s="211"/>
      <c r="K633" s="124"/>
    </row>
    <row r="634" hidden="1">
      <c r="A634" s="18"/>
      <c r="B634" s="203"/>
      <c r="C634" s="77" t="str">
        <f t="array" ref="C634">XLOOKUP(B634, Chr!$B$5:$B$19, Chr!$E$5:$E$19, "")</f>
        <v/>
      </c>
      <c r="D634" s="51"/>
      <c r="E634" s="51">
        <v>40.0</v>
      </c>
      <c r="F634" s="51"/>
      <c r="G634" s="51"/>
      <c r="H634" s="51"/>
      <c r="I634" s="51"/>
      <c r="J634" s="211"/>
      <c r="K634" s="124"/>
    </row>
    <row r="635" hidden="1">
      <c r="A635" s="18"/>
      <c r="B635" s="213"/>
      <c r="C635" s="269" t="str">
        <f t="array" ref="C635">XLOOKUP(B635, Chr!$B$5:$B$19, Chr!$E$5:$E$19, "")</f>
        <v/>
      </c>
      <c r="D635" s="214">
        <v>4.0</v>
      </c>
      <c r="E635" s="214" t="s">
        <v>349</v>
      </c>
      <c r="F635" s="214"/>
      <c r="G635" s="214"/>
      <c r="H635" s="214"/>
      <c r="I635" s="214"/>
      <c r="J635" s="215"/>
      <c r="K635" s="124"/>
    </row>
    <row r="636">
      <c r="A636" s="41"/>
      <c r="B636" s="242"/>
      <c r="C636" s="131"/>
      <c r="D636" s="131"/>
      <c r="E636" s="131"/>
      <c r="F636" s="131"/>
      <c r="G636" s="131"/>
      <c r="H636" s="131"/>
      <c r="I636" s="131"/>
      <c r="J636" s="131"/>
      <c r="K636" s="41"/>
    </row>
    <row r="637">
      <c r="A637" s="18"/>
      <c r="B637" s="224">
        <v>1015.0</v>
      </c>
      <c r="C637" s="225" t="s">
        <v>219</v>
      </c>
      <c r="D637" s="226">
        <v>0.0</v>
      </c>
      <c r="E637" s="226">
        <v>1.0</v>
      </c>
      <c r="F637" s="226"/>
      <c r="G637" s="226"/>
      <c r="H637" s="226"/>
      <c r="I637" s="226"/>
      <c r="J637" s="268"/>
      <c r="K637" s="124"/>
    </row>
    <row r="638" hidden="1">
      <c r="A638" s="18"/>
      <c r="B638" s="203"/>
      <c r="C638" s="77"/>
      <c r="D638" s="51"/>
      <c r="E638" s="51">
        <v>2.0</v>
      </c>
      <c r="F638" s="51"/>
      <c r="G638" s="51"/>
      <c r="H638" s="51"/>
      <c r="I638" s="51"/>
      <c r="J638" s="211"/>
      <c r="K638" s="124"/>
    </row>
    <row r="639" hidden="1">
      <c r="A639" s="18"/>
      <c r="B639" s="203"/>
      <c r="C639" s="77" t="str">
        <f t="array" ref="C639">XLOOKUP(B639, Chr!$B$5:$B$19, Chr!$E$5:$E$19, "")</f>
        <v/>
      </c>
      <c r="D639" s="51"/>
      <c r="E639" s="51">
        <v>3.0</v>
      </c>
      <c r="F639" s="51"/>
      <c r="G639" s="51"/>
      <c r="H639" s="51"/>
      <c r="I639" s="51"/>
      <c r="J639" s="211"/>
      <c r="K639" s="124"/>
    </row>
    <row r="640" hidden="1">
      <c r="A640" s="18"/>
      <c r="B640" s="203"/>
      <c r="C640" s="77" t="str">
        <f t="array" ref="C640">XLOOKUP(B640, Chr!$B$5:$B$19, Chr!$E$5:$E$19, "")</f>
        <v/>
      </c>
      <c r="D640" s="51"/>
      <c r="E640" s="51">
        <v>4.0</v>
      </c>
      <c r="F640" s="51"/>
      <c r="G640" s="51"/>
      <c r="H640" s="51"/>
      <c r="I640" s="51"/>
      <c r="J640" s="211"/>
      <c r="K640" s="124"/>
    </row>
    <row r="641" hidden="1">
      <c r="A641" s="18"/>
      <c r="B641" s="203"/>
      <c r="C641" s="77" t="str">
        <f t="array" ref="C641">XLOOKUP(B641, Chr!$B$5:$B$19, Chr!$E$5:$E$19, "")</f>
        <v/>
      </c>
      <c r="D641" s="51"/>
      <c r="E641" s="51">
        <v>5.0</v>
      </c>
      <c r="F641" s="51"/>
      <c r="G641" s="51"/>
      <c r="H641" s="51"/>
      <c r="I641" s="51"/>
      <c r="J641" s="211"/>
      <c r="K641" s="124"/>
    </row>
    <row r="642" hidden="1">
      <c r="A642" s="18"/>
      <c r="B642" s="203"/>
      <c r="C642" s="77" t="str">
        <f t="array" ref="C642">XLOOKUP(B642, Chr!$B$5:$B$19, Chr!$E$5:$E$19, "")</f>
        <v/>
      </c>
      <c r="D642" s="51"/>
      <c r="E642" s="51">
        <v>6.0</v>
      </c>
      <c r="F642" s="51"/>
      <c r="G642" s="51"/>
      <c r="H642" s="51"/>
      <c r="I642" s="51"/>
      <c r="J642" s="211"/>
      <c r="K642" s="124"/>
    </row>
    <row r="643" hidden="1">
      <c r="A643" s="18"/>
      <c r="B643" s="203"/>
      <c r="C643" s="77" t="str">
        <f t="array" ref="C643">XLOOKUP(B643, Chr!$B$5:$B$19, Chr!$E$5:$E$19, "")</f>
        <v/>
      </c>
      <c r="D643" s="51"/>
      <c r="E643" s="51">
        <v>7.0</v>
      </c>
      <c r="F643" s="51"/>
      <c r="G643" s="51"/>
      <c r="H643" s="51"/>
      <c r="I643" s="51"/>
      <c r="J643" s="211"/>
      <c r="K643" s="124"/>
    </row>
    <row r="644" hidden="1">
      <c r="A644" s="18"/>
      <c r="B644" s="203"/>
      <c r="C644" s="77" t="str">
        <f t="array" ref="C644">XLOOKUP(B644, Chr!$B$5:$B$19, Chr!$E$5:$E$19, "")</f>
        <v/>
      </c>
      <c r="D644" s="51"/>
      <c r="E644" s="51">
        <v>8.0</v>
      </c>
      <c r="F644" s="51"/>
      <c r="G644" s="51"/>
      <c r="H644" s="51"/>
      <c r="I644" s="51"/>
      <c r="J644" s="211"/>
      <c r="K644" s="124"/>
    </row>
    <row r="645" hidden="1">
      <c r="A645" s="18"/>
      <c r="B645" s="203"/>
      <c r="C645" s="77" t="str">
        <f t="array" ref="C645">XLOOKUP(B645, Chr!$B$5:$B$19, Chr!$E$5:$E$19, "")</f>
        <v/>
      </c>
      <c r="D645" s="51"/>
      <c r="E645" s="51">
        <v>9.0</v>
      </c>
      <c r="F645" s="51"/>
      <c r="G645" s="51"/>
      <c r="H645" s="51"/>
      <c r="I645" s="51"/>
      <c r="J645" s="211"/>
      <c r="K645" s="124"/>
    </row>
    <row r="646" hidden="1">
      <c r="A646" s="18"/>
      <c r="B646" s="203"/>
      <c r="C646" s="77" t="str">
        <f t="array" ref="C646">XLOOKUP(B646, Chr!$B$5:$B$19, Chr!$E$5:$E$19, "")</f>
        <v/>
      </c>
      <c r="D646" s="51"/>
      <c r="E646" s="51">
        <v>10.0</v>
      </c>
      <c r="F646" s="51"/>
      <c r="G646" s="51"/>
      <c r="H646" s="51"/>
      <c r="I646" s="51"/>
      <c r="J646" s="211"/>
      <c r="K646" s="124"/>
    </row>
    <row r="647" hidden="1">
      <c r="A647" s="18"/>
      <c r="B647" s="203"/>
      <c r="C647" s="77" t="str">
        <f t="array" ref="C647">XLOOKUP(B647, Chr!$B$5:$B$19, Chr!$E$5:$E$19, "")</f>
        <v/>
      </c>
      <c r="D647" s="51">
        <v>1.0</v>
      </c>
      <c r="E647" s="51" t="s">
        <v>349</v>
      </c>
      <c r="F647" s="51"/>
      <c r="G647" s="51"/>
      <c r="H647" s="51"/>
      <c r="I647" s="51"/>
      <c r="J647" s="211"/>
      <c r="K647" s="124"/>
    </row>
    <row r="648" hidden="1">
      <c r="A648" s="18"/>
      <c r="B648" s="203"/>
      <c r="C648" s="77" t="str">
        <f t="array" ref="C648">XLOOKUP(B648, Chr!$B$5:$B$19, Chr!$E$5:$E$19, "")</f>
        <v/>
      </c>
      <c r="D648" s="51"/>
      <c r="E648" s="51">
        <v>11.0</v>
      </c>
      <c r="F648" s="51"/>
      <c r="G648" s="51"/>
      <c r="H648" s="51"/>
      <c r="I648" s="51"/>
      <c r="J648" s="211"/>
      <c r="K648" s="124"/>
    </row>
    <row r="649" hidden="1">
      <c r="A649" s="18"/>
      <c r="B649" s="203"/>
      <c r="C649" s="77" t="str">
        <f t="array" ref="C649">XLOOKUP(B649, Chr!$B$5:$B$19, Chr!$E$5:$E$19, "")</f>
        <v/>
      </c>
      <c r="D649" s="51"/>
      <c r="E649" s="51">
        <v>12.0</v>
      </c>
      <c r="F649" s="51"/>
      <c r="G649" s="51"/>
      <c r="H649" s="51"/>
      <c r="I649" s="51"/>
      <c r="J649" s="211"/>
      <c r="K649" s="124"/>
    </row>
    <row r="650" hidden="1">
      <c r="A650" s="18"/>
      <c r="B650" s="203"/>
      <c r="C650" s="77" t="str">
        <f t="array" ref="C650">XLOOKUP(B650, Chr!$B$5:$B$19, Chr!$E$5:$E$19, "")</f>
        <v/>
      </c>
      <c r="D650" s="51"/>
      <c r="E650" s="51">
        <v>13.0</v>
      </c>
      <c r="F650" s="51"/>
      <c r="G650" s="51"/>
      <c r="H650" s="51"/>
      <c r="I650" s="51"/>
      <c r="J650" s="211"/>
      <c r="K650" s="124"/>
    </row>
    <row r="651" hidden="1">
      <c r="A651" s="18"/>
      <c r="B651" s="203"/>
      <c r="C651" s="77" t="str">
        <f t="array" ref="C651">XLOOKUP(B651, Chr!$B$5:$B$19, Chr!$E$5:$E$19, "")</f>
        <v/>
      </c>
      <c r="D651" s="51"/>
      <c r="E651" s="51">
        <v>14.0</v>
      </c>
      <c r="F651" s="51"/>
      <c r="G651" s="51"/>
      <c r="H651" s="51"/>
      <c r="I651" s="51"/>
      <c r="J651" s="247"/>
      <c r="K651" s="124"/>
    </row>
    <row r="652" hidden="1">
      <c r="A652" s="18"/>
      <c r="B652" s="203"/>
      <c r="C652" s="77" t="str">
        <f t="array" ref="C652">XLOOKUP(B652, Chr!$B$5:$B$19, Chr!$E$5:$E$19, "")</f>
        <v/>
      </c>
      <c r="D652" s="51"/>
      <c r="E652" s="51">
        <v>15.0</v>
      </c>
      <c r="F652" s="51"/>
      <c r="G652" s="51"/>
      <c r="H652" s="51"/>
      <c r="I652" s="51"/>
      <c r="J652" s="247"/>
      <c r="K652" s="124"/>
    </row>
    <row r="653" hidden="1">
      <c r="A653" s="18"/>
      <c r="B653" s="203"/>
      <c r="C653" s="77" t="str">
        <f t="array" ref="C653">XLOOKUP(B653, Chr!$B$5:$B$19, Chr!$E$5:$E$19, "")</f>
        <v/>
      </c>
      <c r="D653" s="51"/>
      <c r="E653" s="51">
        <v>16.0</v>
      </c>
      <c r="F653" s="51"/>
      <c r="G653" s="51"/>
      <c r="H653" s="51"/>
      <c r="I653" s="51"/>
      <c r="J653" s="211"/>
      <c r="K653" s="124"/>
    </row>
    <row r="654" hidden="1">
      <c r="A654" s="18"/>
      <c r="B654" s="203"/>
      <c r="C654" s="77" t="str">
        <f t="array" ref="C654">XLOOKUP(B654, Chr!$B$5:$B$19, Chr!$E$5:$E$19, "")</f>
        <v/>
      </c>
      <c r="D654" s="51"/>
      <c r="E654" s="51">
        <v>17.0</v>
      </c>
      <c r="F654" s="51"/>
      <c r="G654" s="51"/>
      <c r="H654" s="51"/>
      <c r="I654" s="51"/>
      <c r="J654" s="211"/>
      <c r="K654" s="124"/>
    </row>
    <row r="655" hidden="1">
      <c r="A655" s="18"/>
      <c r="B655" s="203"/>
      <c r="C655" s="77" t="str">
        <f t="array" ref="C655">XLOOKUP(B655, Chr!$B$5:$B$19, Chr!$E$5:$E$19, "")</f>
        <v/>
      </c>
      <c r="D655" s="51"/>
      <c r="E655" s="51">
        <v>18.0</v>
      </c>
      <c r="F655" s="51"/>
      <c r="G655" s="51"/>
      <c r="H655" s="51"/>
      <c r="I655" s="51"/>
      <c r="J655" s="211"/>
      <c r="K655" s="124"/>
    </row>
    <row r="656" hidden="1">
      <c r="A656" s="18"/>
      <c r="B656" s="203"/>
      <c r="C656" s="77" t="str">
        <f t="array" ref="C656">XLOOKUP(B656, Chr!$B$5:$B$19, Chr!$E$5:$E$19, "")</f>
        <v/>
      </c>
      <c r="D656" s="51"/>
      <c r="E656" s="51">
        <v>19.0</v>
      </c>
      <c r="F656" s="51"/>
      <c r="G656" s="51"/>
      <c r="H656" s="51"/>
      <c r="I656" s="51"/>
      <c r="J656" s="211"/>
      <c r="K656" s="124"/>
    </row>
    <row r="657" hidden="1">
      <c r="A657" s="18"/>
      <c r="B657" s="203"/>
      <c r="C657" s="77" t="str">
        <f t="array" ref="C657">XLOOKUP(B657, Chr!$B$5:$B$19, Chr!$E$5:$E$19, "")</f>
        <v/>
      </c>
      <c r="D657" s="51"/>
      <c r="E657" s="51">
        <v>20.0</v>
      </c>
      <c r="F657" s="51"/>
      <c r="G657" s="51"/>
      <c r="H657" s="51"/>
      <c r="I657" s="51"/>
      <c r="J657" s="211"/>
      <c r="K657" s="124"/>
    </row>
    <row r="658" hidden="1">
      <c r="A658" s="18"/>
      <c r="B658" s="203"/>
      <c r="C658" s="77" t="str">
        <f t="array" ref="C658">XLOOKUP(B658, Chr!$B$5:$B$19, Chr!$E$5:$E$19, "")</f>
        <v/>
      </c>
      <c r="D658" s="51">
        <v>2.0</v>
      </c>
      <c r="E658" s="51" t="s">
        <v>349</v>
      </c>
      <c r="F658" s="51"/>
      <c r="G658" s="51"/>
      <c r="H658" s="51"/>
      <c r="I658" s="51"/>
      <c r="J658" s="211"/>
      <c r="K658" s="124"/>
    </row>
    <row r="659" hidden="1">
      <c r="A659" s="18"/>
      <c r="B659" s="203"/>
      <c r="C659" s="77" t="str">
        <f t="array" ref="C659">XLOOKUP(B659, Chr!$B$5:$B$19, Chr!$E$5:$E$19, "")</f>
        <v/>
      </c>
      <c r="D659" s="51"/>
      <c r="E659" s="51">
        <v>21.0</v>
      </c>
      <c r="F659" s="51"/>
      <c r="G659" s="51"/>
      <c r="H659" s="51"/>
      <c r="I659" s="51"/>
      <c r="J659" s="211"/>
      <c r="K659" s="124"/>
    </row>
    <row r="660" hidden="1">
      <c r="A660" s="18"/>
      <c r="B660" s="203"/>
      <c r="C660" s="77" t="str">
        <f t="array" ref="C660">XLOOKUP(B660, Chr!$B$5:$B$19, Chr!$E$5:$E$19, "")</f>
        <v/>
      </c>
      <c r="D660" s="51"/>
      <c r="E660" s="51">
        <v>22.0</v>
      </c>
      <c r="F660" s="51"/>
      <c r="G660" s="51"/>
      <c r="H660" s="51"/>
      <c r="I660" s="51"/>
      <c r="J660" s="211"/>
      <c r="K660" s="124"/>
    </row>
    <row r="661" hidden="1">
      <c r="A661" s="18"/>
      <c r="B661" s="203"/>
      <c r="C661" s="77" t="str">
        <f t="array" ref="C661">XLOOKUP(B661, Chr!$B$5:$B$19, Chr!$E$5:$E$19, "")</f>
        <v/>
      </c>
      <c r="D661" s="51"/>
      <c r="E661" s="51">
        <v>23.0</v>
      </c>
      <c r="F661" s="51"/>
      <c r="G661" s="51"/>
      <c r="H661" s="51"/>
      <c r="I661" s="51"/>
      <c r="J661" s="247"/>
      <c r="K661" s="124"/>
    </row>
    <row r="662" hidden="1">
      <c r="A662" s="18"/>
      <c r="B662" s="203"/>
      <c r="C662" s="77" t="str">
        <f t="array" ref="C662">XLOOKUP(B662, Chr!$B$5:$B$19, Chr!$E$5:$E$19, "")</f>
        <v/>
      </c>
      <c r="D662" s="51"/>
      <c r="E662" s="51">
        <v>24.0</v>
      </c>
      <c r="F662" s="51"/>
      <c r="G662" s="51"/>
      <c r="H662" s="51"/>
      <c r="I662" s="51"/>
      <c r="J662" s="211"/>
      <c r="K662" s="124"/>
    </row>
    <row r="663" hidden="1">
      <c r="A663" s="18"/>
      <c r="B663" s="203"/>
      <c r="C663" s="77" t="str">
        <f t="array" ref="C663">XLOOKUP(B663, Chr!$B$5:$B$19, Chr!$E$5:$E$19, "")</f>
        <v/>
      </c>
      <c r="D663" s="51"/>
      <c r="E663" s="51">
        <v>25.0</v>
      </c>
      <c r="F663" s="51"/>
      <c r="G663" s="51"/>
      <c r="H663" s="51"/>
      <c r="I663" s="51"/>
      <c r="J663" s="247"/>
      <c r="K663" s="124"/>
    </row>
    <row r="664" hidden="1">
      <c r="A664" s="18"/>
      <c r="B664" s="203"/>
      <c r="C664" s="77" t="str">
        <f t="array" ref="C664">XLOOKUP(B664, Chr!$B$5:$B$19, Chr!$E$5:$E$19, "")</f>
        <v/>
      </c>
      <c r="D664" s="51"/>
      <c r="E664" s="51">
        <v>26.0</v>
      </c>
      <c r="F664" s="51"/>
      <c r="G664" s="51"/>
      <c r="H664" s="51"/>
      <c r="I664" s="51"/>
      <c r="J664" s="211"/>
      <c r="K664" s="124"/>
    </row>
    <row r="665" hidden="1">
      <c r="A665" s="18"/>
      <c r="B665" s="203"/>
      <c r="C665" s="77" t="str">
        <f t="array" ref="C665">XLOOKUP(B665, Chr!$B$5:$B$19, Chr!$E$5:$E$19, "")</f>
        <v/>
      </c>
      <c r="D665" s="51"/>
      <c r="E665" s="51">
        <v>27.0</v>
      </c>
      <c r="F665" s="51"/>
      <c r="G665" s="51"/>
      <c r="H665" s="51"/>
      <c r="I665" s="51"/>
      <c r="J665" s="211"/>
      <c r="K665" s="124"/>
    </row>
    <row r="666" hidden="1">
      <c r="A666" s="18"/>
      <c r="B666" s="203"/>
      <c r="C666" s="77" t="str">
        <f t="array" ref="C666">XLOOKUP(B666, Chr!$B$5:$B$19, Chr!$E$5:$E$19, "")</f>
        <v/>
      </c>
      <c r="D666" s="51"/>
      <c r="E666" s="51">
        <v>28.0</v>
      </c>
      <c r="F666" s="51"/>
      <c r="G666" s="51"/>
      <c r="H666" s="51"/>
      <c r="I666" s="51"/>
      <c r="J666" s="211"/>
      <c r="K666" s="124"/>
    </row>
    <row r="667" hidden="1">
      <c r="A667" s="18"/>
      <c r="B667" s="203"/>
      <c r="C667" s="77" t="str">
        <f t="array" ref="C667">XLOOKUP(B667, Chr!$B$5:$B$19, Chr!$E$5:$E$19, "")</f>
        <v/>
      </c>
      <c r="D667" s="51"/>
      <c r="E667" s="51">
        <v>29.0</v>
      </c>
      <c r="F667" s="51"/>
      <c r="G667" s="51"/>
      <c r="H667" s="51"/>
      <c r="I667" s="51"/>
      <c r="J667" s="211"/>
      <c r="K667" s="124"/>
    </row>
    <row r="668" hidden="1">
      <c r="A668" s="18"/>
      <c r="B668" s="203"/>
      <c r="C668" s="77" t="str">
        <f t="array" ref="C668">XLOOKUP(B668, Chr!$B$5:$B$19, Chr!$E$5:$E$19, "")</f>
        <v/>
      </c>
      <c r="D668" s="51"/>
      <c r="E668" s="51">
        <v>30.0</v>
      </c>
      <c r="F668" s="51"/>
      <c r="G668" s="51"/>
      <c r="H668" s="51"/>
      <c r="I668" s="51"/>
      <c r="J668" s="211"/>
      <c r="K668" s="124"/>
    </row>
    <row r="669" hidden="1">
      <c r="A669" s="18"/>
      <c r="B669" s="203"/>
      <c r="C669" s="77" t="str">
        <f t="array" ref="C669">XLOOKUP(B669, Chr!$B$5:$B$19, Chr!$E$5:$E$19, "")</f>
        <v/>
      </c>
      <c r="D669" s="51">
        <v>3.0</v>
      </c>
      <c r="E669" s="51" t="s">
        <v>349</v>
      </c>
      <c r="F669" s="51"/>
      <c r="G669" s="51"/>
      <c r="H669" s="51"/>
      <c r="I669" s="51"/>
      <c r="J669" s="211"/>
      <c r="K669" s="124"/>
    </row>
    <row r="670" hidden="1">
      <c r="A670" s="18"/>
      <c r="B670" s="203"/>
      <c r="C670" s="77" t="str">
        <f t="array" ref="C670">XLOOKUP(B670, Chr!$B$5:$B$19, Chr!$E$5:$E$19, "")</f>
        <v/>
      </c>
      <c r="D670" s="51"/>
      <c r="E670" s="51">
        <v>31.0</v>
      </c>
      <c r="F670" s="51"/>
      <c r="G670" s="51"/>
      <c r="H670" s="51"/>
      <c r="I670" s="51"/>
      <c r="J670" s="211"/>
      <c r="K670" s="124"/>
    </row>
    <row r="671" hidden="1">
      <c r="A671" s="18"/>
      <c r="B671" s="203"/>
      <c r="C671" s="77" t="str">
        <f t="array" ref="C671">XLOOKUP(B671, Chr!$B$5:$B$19, Chr!$E$5:$E$19, "")</f>
        <v/>
      </c>
      <c r="D671" s="51"/>
      <c r="E671" s="51">
        <v>32.0</v>
      </c>
      <c r="F671" s="51"/>
      <c r="G671" s="51"/>
      <c r="H671" s="51"/>
      <c r="I671" s="51"/>
      <c r="J671" s="211"/>
      <c r="K671" s="124"/>
    </row>
    <row r="672" hidden="1">
      <c r="A672" s="18"/>
      <c r="B672" s="203"/>
      <c r="C672" s="77" t="str">
        <f t="array" ref="C672">XLOOKUP(B672, Chr!$B$5:$B$19, Chr!$E$5:$E$19, "")</f>
        <v/>
      </c>
      <c r="D672" s="51"/>
      <c r="E672" s="51">
        <v>33.0</v>
      </c>
      <c r="F672" s="51"/>
      <c r="G672" s="51"/>
      <c r="H672" s="51"/>
      <c r="I672" s="51"/>
      <c r="J672" s="211"/>
      <c r="K672" s="124"/>
    </row>
    <row r="673" hidden="1">
      <c r="A673" s="18"/>
      <c r="B673" s="203"/>
      <c r="C673" s="77" t="str">
        <f t="array" ref="C673">XLOOKUP(B673, Chr!$B$5:$B$19, Chr!$E$5:$E$19, "")</f>
        <v/>
      </c>
      <c r="D673" s="51"/>
      <c r="E673" s="51">
        <v>34.0</v>
      </c>
      <c r="F673" s="51"/>
      <c r="G673" s="51"/>
      <c r="H673" s="51"/>
      <c r="I673" s="51"/>
      <c r="J673" s="211"/>
      <c r="K673" s="124"/>
    </row>
    <row r="674" hidden="1">
      <c r="A674" s="18"/>
      <c r="B674" s="203"/>
      <c r="C674" s="77" t="str">
        <f t="array" ref="C674">XLOOKUP(B674, Chr!$B$5:$B$19, Chr!$E$5:$E$19, "")</f>
        <v/>
      </c>
      <c r="D674" s="51"/>
      <c r="E674" s="51">
        <v>35.0</v>
      </c>
      <c r="F674" s="51"/>
      <c r="G674" s="51"/>
      <c r="H674" s="51"/>
      <c r="I674" s="51"/>
      <c r="J674" s="211"/>
      <c r="K674" s="124"/>
    </row>
    <row r="675" hidden="1">
      <c r="A675" s="18"/>
      <c r="B675" s="203"/>
      <c r="C675" s="77" t="str">
        <f t="array" ref="C675">XLOOKUP(B675, Chr!$B$5:$B$19, Chr!$E$5:$E$19, "")</f>
        <v/>
      </c>
      <c r="D675" s="51"/>
      <c r="E675" s="51">
        <v>36.0</v>
      </c>
      <c r="F675" s="51"/>
      <c r="G675" s="51"/>
      <c r="H675" s="51"/>
      <c r="I675" s="51"/>
      <c r="J675" s="211"/>
      <c r="K675" s="124"/>
    </row>
    <row r="676" hidden="1">
      <c r="A676" s="18"/>
      <c r="B676" s="203"/>
      <c r="C676" s="77" t="str">
        <f t="array" ref="C676">XLOOKUP(B676, Chr!$B$5:$B$19, Chr!$E$5:$E$19, "")</f>
        <v/>
      </c>
      <c r="D676" s="51"/>
      <c r="E676" s="51">
        <v>37.0</v>
      </c>
      <c r="F676" s="51"/>
      <c r="G676" s="51"/>
      <c r="H676" s="51"/>
      <c r="I676" s="51"/>
      <c r="J676" s="211"/>
      <c r="K676" s="124"/>
    </row>
    <row r="677" hidden="1">
      <c r="A677" s="18"/>
      <c r="B677" s="203"/>
      <c r="C677" s="77" t="str">
        <f t="array" ref="C677">XLOOKUP(B677, Chr!$B$5:$B$19, Chr!$E$5:$E$19, "")</f>
        <v/>
      </c>
      <c r="D677" s="51"/>
      <c r="E677" s="51">
        <v>38.0</v>
      </c>
      <c r="F677" s="51"/>
      <c r="G677" s="51"/>
      <c r="H677" s="51"/>
      <c r="I677" s="51"/>
      <c r="J677" s="211"/>
      <c r="K677" s="124"/>
    </row>
    <row r="678" hidden="1">
      <c r="A678" s="18"/>
      <c r="B678" s="203"/>
      <c r="C678" s="77" t="str">
        <f t="array" ref="C678">XLOOKUP(B678, Chr!$B$5:$B$19, Chr!$E$5:$E$19, "")</f>
        <v/>
      </c>
      <c r="D678" s="51"/>
      <c r="E678" s="51">
        <v>39.0</v>
      </c>
      <c r="F678" s="51"/>
      <c r="G678" s="51"/>
      <c r="H678" s="51"/>
      <c r="I678" s="51"/>
      <c r="J678" s="211"/>
      <c r="K678" s="124"/>
    </row>
    <row r="679" hidden="1">
      <c r="A679" s="18"/>
      <c r="B679" s="203"/>
      <c r="C679" s="77" t="str">
        <f t="array" ref="C679">XLOOKUP(B679, Chr!$B$5:$B$19, Chr!$E$5:$E$19, "")</f>
        <v/>
      </c>
      <c r="D679" s="51"/>
      <c r="E679" s="51">
        <v>40.0</v>
      </c>
      <c r="F679" s="51"/>
      <c r="G679" s="51"/>
      <c r="H679" s="51"/>
      <c r="I679" s="51"/>
      <c r="J679" s="211"/>
      <c r="K679" s="124"/>
    </row>
    <row r="680" hidden="1">
      <c r="A680" s="18"/>
      <c r="B680" s="213"/>
      <c r="C680" s="269" t="str">
        <f t="array" ref="C680">XLOOKUP(B680, Chr!$B$5:$B$19, Chr!$E$5:$E$19, "")</f>
        <v/>
      </c>
      <c r="D680" s="214">
        <v>4.0</v>
      </c>
      <c r="E680" s="214" t="s">
        <v>349</v>
      </c>
      <c r="F680" s="214"/>
      <c r="G680" s="214"/>
      <c r="H680" s="214"/>
      <c r="I680" s="214"/>
      <c r="J680" s="215"/>
      <c r="K680" s="124"/>
    </row>
    <row r="681">
      <c r="A681" s="41"/>
      <c r="B681" s="270"/>
      <c r="C681" s="114"/>
      <c r="D681" s="114"/>
      <c r="E681" s="114"/>
      <c r="F681" s="114"/>
      <c r="G681" s="114"/>
      <c r="H681" s="114"/>
      <c r="I681" s="114"/>
      <c r="J681" s="114"/>
      <c r="K681" s="41"/>
    </row>
  </sheetData>
  <conditionalFormatting sqref="D5:J681">
    <cfRule type="expression" dxfId="3" priority="1">
      <formula>$J5&lt;&gt;""</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63"/>
    <col customWidth="1" min="2" max="2" width="15.5"/>
    <col customWidth="1" min="3" max="3" width="21.25"/>
    <col customWidth="1" min="4" max="4" width="20.38"/>
    <col customWidth="1" min="5" max="5" width="29.75"/>
    <col customWidth="1" min="6" max="6" width="21.0"/>
    <col customWidth="1" min="7" max="7" width="29.38"/>
    <col customWidth="1" min="8" max="8" width="26.75"/>
    <col customWidth="1" min="9" max="9" width="26.0"/>
    <col customWidth="1" min="10" max="10" width="37.0"/>
  </cols>
  <sheetData>
    <row r="1">
      <c r="A1" s="41"/>
      <c r="B1" s="144" t="s">
        <v>239</v>
      </c>
      <c r="C1" s="144"/>
      <c r="D1" s="144"/>
      <c r="E1" s="144"/>
      <c r="F1" s="145"/>
      <c r="G1" s="271"/>
      <c r="H1" s="141"/>
      <c r="I1" s="141"/>
      <c r="J1" s="271"/>
      <c r="K1" s="271"/>
      <c r="L1" s="271"/>
    </row>
    <row r="2">
      <c r="A2" s="46"/>
      <c r="B2" s="272" t="s">
        <v>243</v>
      </c>
      <c r="C2" s="273" t="s">
        <v>244</v>
      </c>
      <c r="D2" s="273" t="s">
        <v>245</v>
      </c>
      <c r="E2" s="274" t="s">
        <v>246</v>
      </c>
      <c r="F2" s="275"/>
      <c r="G2" s="276" t="s">
        <v>240</v>
      </c>
      <c r="H2" s="277" t="s">
        <v>241</v>
      </c>
      <c r="I2" s="278" t="s">
        <v>242</v>
      </c>
      <c r="J2" s="271"/>
      <c r="K2" s="271"/>
      <c r="L2" s="271"/>
    </row>
    <row r="3">
      <c r="A3" s="46"/>
      <c r="B3" s="279">
        <v>2001.0</v>
      </c>
      <c r="C3" s="275" t="s">
        <v>249</v>
      </c>
      <c r="D3" s="280" t="s">
        <v>250</v>
      </c>
      <c r="E3" s="281" t="s">
        <v>251</v>
      </c>
      <c r="F3" s="282"/>
      <c r="G3" s="283" t="s">
        <v>243</v>
      </c>
      <c r="H3" s="282" t="s">
        <v>247</v>
      </c>
      <c r="I3" s="284" t="s">
        <v>248</v>
      </c>
      <c r="J3" s="271"/>
      <c r="K3" s="271"/>
      <c r="L3" s="271"/>
    </row>
    <row r="4">
      <c r="A4" s="46"/>
      <c r="B4" s="279">
        <v>2002.0</v>
      </c>
      <c r="C4" s="275" t="s">
        <v>254</v>
      </c>
      <c r="D4" s="280" t="s">
        <v>250</v>
      </c>
      <c r="E4" s="281" t="s">
        <v>255</v>
      </c>
      <c r="F4" s="282"/>
      <c r="G4" s="283" t="s">
        <v>244</v>
      </c>
      <c r="H4" s="282" t="s">
        <v>252</v>
      </c>
      <c r="I4" s="284" t="s">
        <v>253</v>
      </c>
      <c r="J4" s="271"/>
      <c r="K4" s="271"/>
      <c r="L4" s="271"/>
    </row>
    <row r="5">
      <c r="A5" s="46"/>
      <c r="B5" s="279">
        <v>2003.0</v>
      </c>
      <c r="C5" s="275" t="s">
        <v>259</v>
      </c>
      <c r="D5" s="280" t="s">
        <v>250</v>
      </c>
      <c r="E5" s="281" t="s">
        <v>260</v>
      </c>
      <c r="F5" s="282"/>
      <c r="G5" s="283" t="s">
        <v>245</v>
      </c>
      <c r="H5" s="282" t="s">
        <v>261</v>
      </c>
      <c r="I5" s="284" t="s">
        <v>258</v>
      </c>
      <c r="J5" s="271"/>
      <c r="K5" s="271"/>
      <c r="L5" s="271"/>
    </row>
    <row r="6">
      <c r="A6" s="46"/>
      <c r="B6" s="279">
        <v>2004.0</v>
      </c>
      <c r="C6" s="275" t="s">
        <v>262</v>
      </c>
      <c r="D6" s="280" t="s">
        <v>250</v>
      </c>
      <c r="E6" s="281" t="s">
        <v>263</v>
      </c>
      <c r="F6" s="282"/>
      <c r="G6" s="283" t="s">
        <v>264</v>
      </c>
      <c r="H6" s="282" t="s">
        <v>265</v>
      </c>
      <c r="I6" s="284" t="s">
        <v>258</v>
      </c>
      <c r="J6" s="271"/>
      <c r="K6" s="271"/>
      <c r="L6" s="271"/>
    </row>
    <row r="7">
      <c r="A7" s="46"/>
      <c r="B7" s="279">
        <v>2005.0</v>
      </c>
      <c r="C7" s="275" t="s">
        <v>266</v>
      </c>
      <c r="D7" s="280" t="s">
        <v>250</v>
      </c>
      <c r="E7" s="281" t="s">
        <v>267</v>
      </c>
      <c r="F7" s="282"/>
      <c r="G7" s="283" t="s">
        <v>268</v>
      </c>
      <c r="H7" s="282" t="s">
        <v>269</v>
      </c>
      <c r="I7" s="284" t="s">
        <v>258</v>
      </c>
      <c r="J7" s="271"/>
      <c r="K7" s="271"/>
      <c r="L7" s="271"/>
    </row>
    <row r="8">
      <c r="A8" s="46"/>
      <c r="B8" s="279">
        <v>2006.0</v>
      </c>
      <c r="C8" s="275" t="s">
        <v>270</v>
      </c>
      <c r="D8" s="280" t="s">
        <v>148</v>
      </c>
      <c r="E8" s="281" t="s">
        <v>271</v>
      </c>
      <c r="F8" s="282"/>
      <c r="G8" s="283" t="s">
        <v>272</v>
      </c>
      <c r="H8" s="282" t="s">
        <v>273</v>
      </c>
      <c r="I8" s="284" t="s">
        <v>253</v>
      </c>
      <c r="J8" s="271"/>
      <c r="K8" s="271"/>
      <c r="L8" s="271"/>
    </row>
    <row r="9">
      <c r="A9" s="46"/>
      <c r="B9" s="285">
        <v>2007.0</v>
      </c>
      <c r="C9" s="286" t="s">
        <v>274</v>
      </c>
      <c r="D9" s="287" t="s">
        <v>148</v>
      </c>
      <c r="E9" s="288" t="s">
        <v>275</v>
      </c>
      <c r="F9" s="282"/>
      <c r="G9" s="289" t="s">
        <v>246</v>
      </c>
      <c r="H9" s="290" t="s">
        <v>276</v>
      </c>
      <c r="I9" s="291" t="s">
        <v>253</v>
      </c>
      <c r="J9" s="271"/>
      <c r="K9" s="271"/>
      <c r="L9" s="271"/>
    </row>
    <row r="10">
      <c r="A10" s="18"/>
      <c r="B10" s="141"/>
      <c r="C10" s="141"/>
      <c r="D10" s="141"/>
      <c r="E10" s="142"/>
      <c r="F10" s="141"/>
      <c r="G10" s="271"/>
      <c r="H10" s="141"/>
      <c r="I10" s="141"/>
      <c r="J10" s="271"/>
      <c r="K10" s="271"/>
      <c r="L10" s="271"/>
    </row>
    <row r="11">
      <c r="A11" s="18"/>
      <c r="B11" s="141"/>
      <c r="C11" s="271"/>
      <c r="D11" s="271"/>
      <c r="J11" s="271"/>
      <c r="K11" s="271"/>
      <c r="L11" s="271"/>
    </row>
    <row r="12">
      <c r="A12" s="18"/>
      <c r="B12" s="292" t="s">
        <v>243</v>
      </c>
      <c r="C12" s="293" t="s">
        <v>244</v>
      </c>
      <c r="D12" s="293" t="s">
        <v>245</v>
      </c>
      <c r="E12" s="293" t="s">
        <v>264</v>
      </c>
      <c r="F12" s="293" t="s">
        <v>268</v>
      </c>
      <c r="G12" s="293" t="s">
        <v>272</v>
      </c>
      <c r="H12" s="274" t="s">
        <v>246</v>
      </c>
      <c r="I12" s="271"/>
      <c r="J12" s="271"/>
      <c r="K12" s="271"/>
      <c r="L12" s="271"/>
    </row>
    <row r="13">
      <c r="A13" s="18"/>
      <c r="B13" s="279">
        <v>2001.0</v>
      </c>
      <c r="C13" s="275" t="s">
        <v>249</v>
      </c>
      <c r="D13" s="280" t="s">
        <v>250</v>
      </c>
      <c r="E13" s="280" t="s">
        <v>277</v>
      </c>
      <c r="F13" s="280" t="s">
        <v>278</v>
      </c>
      <c r="G13" s="275" t="s">
        <v>279</v>
      </c>
      <c r="H13" s="281" t="s">
        <v>251</v>
      </c>
      <c r="I13" s="271"/>
      <c r="J13" s="271"/>
      <c r="K13" s="271"/>
      <c r="L13" s="271"/>
    </row>
    <row r="14">
      <c r="A14" s="18"/>
      <c r="B14" s="279">
        <v>2002.0</v>
      </c>
      <c r="C14" s="275" t="s">
        <v>254</v>
      </c>
      <c r="D14" s="280" t="s">
        <v>250</v>
      </c>
      <c r="E14" s="280" t="s">
        <v>280</v>
      </c>
      <c r="F14" s="280" t="s">
        <v>278</v>
      </c>
      <c r="G14" s="275" t="s">
        <v>281</v>
      </c>
      <c r="H14" s="281" t="s">
        <v>255</v>
      </c>
      <c r="I14" s="271"/>
      <c r="J14" s="271"/>
      <c r="K14" s="271"/>
      <c r="L14" s="271"/>
    </row>
    <row r="15">
      <c r="A15" s="18"/>
      <c r="B15" s="279">
        <v>2003.0</v>
      </c>
      <c r="C15" s="275" t="s">
        <v>259</v>
      </c>
      <c r="D15" s="280" t="s">
        <v>250</v>
      </c>
      <c r="E15" s="280" t="s">
        <v>280</v>
      </c>
      <c r="F15" s="280" t="s">
        <v>278</v>
      </c>
      <c r="G15" s="275" t="s">
        <v>283</v>
      </c>
      <c r="H15" s="281" t="s">
        <v>260</v>
      </c>
      <c r="I15" s="271"/>
      <c r="J15" s="271"/>
      <c r="K15" s="271"/>
      <c r="L15" s="271"/>
    </row>
    <row r="16">
      <c r="A16" s="18"/>
      <c r="B16" s="279">
        <v>2004.0</v>
      </c>
      <c r="C16" s="275" t="s">
        <v>262</v>
      </c>
      <c r="D16" s="280" t="s">
        <v>250</v>
      </c>
      <c r="E16" s="280" t="s">
        <v>280</v>
      </c>
      <c r="F16" s="280" t="s">
        <v>284</v>
      </c>
      <c r="G16" s="275" t="s">
        <v>285</v>
      </c>
      <c r="H16" s="281" t="s">
        <v>263</v>
      </c>
      <c r="I16" s="271"/>
      <c r="J16" s="271"/>
      <c r="K16" s="271"/>
      <c r="L16" s="271"/>
    </row>
    <row r="17">
      <c r="A17" s="18"/>
      <c r="B17" s="279">
        <v>2005.0</v>
      </c>
      <c r="C17" s="275" t="s">
        <v>266</v>
      </c>
      <c r="D17" s="280" t="s">
        <v>250</v>
      </c>
      <c r="E17" s="280" t="s">
        <v>280</v>
      </c>
      <c r="F17" s="280" t="s">
        <v>278</v>
      </c>
      <c r="G17" s="275" t="s">
        <v>286</v>
      </c>
      <c r="H17" s="281" t="s">
        <v>267</v>
      </c>
      <c r="I17" s="271"/>
      <c r="J17" s="271"/>
      <c r="K17" s="271"/>
      <c r="L17" s="271"/>
    </row>
    <row r="18">
      <c r="A18" s="18"/>
      <c r="B18" s="279">
        <v>2006.0</v>
      </c>
      <c r="C18" s="275" t="s">
        <v>270</v>
      </c>
      <c r="D18" s="280" t="s">
        <v>148</v>
      </c>
      <c r="E18" s="280" t="s">
        <v>280</v>
      </c>
      <c r="F18" s="280" t="s">
        <v>278</v>
      </c>
      <c r="G18" s="275" t="s">
        <v>287</v>
      </c>
      <c r="H18" s="281" t="s">
        <v>271</v>
      </c>
      <c r="I18" s="271"/>
      <c r="J18" s="271"/>
      <c r="K18" s="271"/>
      <c r="L18" s="271"/>
    </row>
    <row r="19">
      <c r="A19" s="18"/>
      <c r="B19" s="279">
        <v>2007.0</v>
      </c>
      <c r="C19" s="282" t="s">
        <v>274</v>
      </c>
      <c r="D19" s="294" t="s">
        <v>148</v>
      </c>
      <c r="E19" s="295" t="s">
        <v>280</v>
      </c>
      <c r="F19" s="295" t="s">
        <v>288</v>
      </c>
      <c r="G19" s="296" t="s">
        <v>463</v>
      </c>
      <c r="H19" s="281" t="s">
        <v>275</v>
      </c>
      <c r="I19" s="141"/>
      <c r="J19" s="141"/>
      <c r="K19" s="141"/>
      <c r="L19" s="271"/>
    </row>
    <row r="20">
      <c r="A20" s="18"/>
      <c r="B20" s="285">
        <v>2008.0</v>
      </c>
      <c r="C20" s="297" t="s">
        <v>464</v>
      </c>
      <c r="D20" s="298" t="s">
        <v>250</v>
      </c>
      <c r="E20" s="298" t="s">
        <v>277</v>
      </c>
      <c r="F20" s="298" t="s">
        <v>278</v>
      </c>
      <c r="G20" s="297" t="s">
        <v>465</v>
      </c>
      <c r="H20" s="288" t="s">
        <v>466</v>
      </c>
      <c r="I20" s="299"/>
      <c r="J20" s="299"/>
      <c r="K20" s="299"/>
      <c r="L20" s="271"/>
    </row>
    <row r="21">
      <c r="A21" s="18"/>
      <c r="J21" s="271"/>
      <c r="K21" s="271"/>
      <c r="L21" s="271"/>
    </row>
    <row r="22">
      <c r="A22" s="18"/>
      <c r="B22" s="143" t="s">
        <v>240</v>
      </c>
      <c r="C22" s="143" t="s">
        <v>241</v>
      </c>
      <c r="D22" s="143" t="s">
        <v>242</v>
      </c>
      <c r="E22" s="143" t="s">
        <v>467</v>
      </c>
      <c r="G22" s="143" t="s">
        <v>240</v>
      </c>
      <c r="H22" s="143" t="s">
        <v>241</v>
      </c>
      <c r="I22" s="143" t="s">
        <v>242</v>
      </c>
      <c r="J22" s="143" t="s">
        <v>467</v>
      </c>
      <c r="K22" s="271"/>
      <c r="L22" s="271"/>
    </row>
    <row r="23">
      <c r="A23" s="18"/>
      <c r="B23" s="156" t="s">
        <v>468</v>
      </c>
      <c r="C23" s="156" t="s">
        <v>469</v>
      </c>
      <c r="D23" s="156" t="s">
        <v>248</v>
      </c>
      <c r="E23" s="156" t="s">
        <v>470</v>
      </c>
      <c r="G23" s="156" t="s">
        <v>468</v>
      </c>
      <c r="H23" s="156" t="s">
        <v>469</v>
      </c>
      <c r="I23" s="156" t="s">
        <v>248</v>
      </c>
      <c r="J23" s="156" t="s">
        <v>470</v>
      </c>
      <c r="K23" s="271"/>
      <c r="L23" s="271"/>
    </row>
    <row r="24">
      <c r="A24" s="18"/>
      <c r="B24" s="156" t="s">
        <v>243</v>
      </c>
      <c r="C24" s="156" t="s">
        <v>471</v>
      </c>
      <c r="D24" s="156" t="s">
        <v>248</v>
      </c>
      <c r="E24" s="156" t="s">
        <v>470</v>
      </c>
      <c r="G24" s="156" t="s">
        <v>243</v>
      </c>
      <c r="H24" s="156" t="s">
        <v>471</v>
      </c>
      <c r="I24" s="156" t="s">
        <v>248</v>
      </c>
      <c r="J24" s="156" t="s">
        <v>470</v>
      </c>
      <c r="K24" s="271"/>
      <c r="L24" s="271"/>
    </row>
    <row r="25">
      <c r="A25" s="18"/>
      <c r="G25" s="156" t="s">
        <v>472</v>
      </c>
      <c r="H25" s="156" t="s">
        <v>473</v>
      </c>
      <c r="I25" s="156" t="s">
        <v>248</v>
      </c>
      <c r="J25" s="156" t="s">
        <v>470</v>
      </c>
      <c r="K25" s="271"/>
      <c r="L25" s="271"/>
    </row>
    <row r="26">
      <c r="A26" s="18"/>
      <c r="G26" s="156" t="s">
        <v>474</v>
      </c>
      <c r="H26" s="156" t="s">
        <v>475</v>
      </c>
      <c r="I26" s="156" t="s">
        <v>248</v>
      </c>
      <c r="J26" s="156" t="s">
        <v>476</v>
      </c>
      <c r="K26" s="271"/>
      <c r="L26" s="271"/>
    </row>
    <row r="27">
      <c r="A27" s="18"/>
      <c r="G27" s="156" t="s">
        <v>477</v>
      </c>
      <c r="H27" s="156" t="s">
        <v>478</v>
      </c>
      <c r="I27" s="156" t="s">
        <v>479</v>
      </c>
      <c r="J27" s="156" t="s">
        <v>470</v>
      </c>
      <c r="K27" s="271"/>
      <c r="L27" s="271"/>
    </row>
    <row r="28">
      <c r="A28" s="18"/>
      <c r="J28" s="271"/>
      <c r="K28" s="271"/>
      <c r="L28" s="271"/>
    </row>
    <row r="29">
      <c r="A29" s="18"/>
      <c r="J29" s="271"/>
      <c r="K29" s="271"/>
      <c r="L29" s="271"/>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2.63"/>
    <col customWidth="1" min="2" max="2" width="10.0"/>
    <col customWidth="1" min="3" max="3" width="20.25"/>
    <col customWidth="1" min="4" max="4" width="22.25"/>
    <col customWidth="1" min="5" max="5" width="8.13"/>
    <col customWidth="1" min="7" max="7" width="2.63"/>
    <col customWidth="1" min="9" max="9" width="15.63"/>
    <col customWidth="1" min="13" max="13" width="2.63"/>
  </cols>
  <sheetData>
    <row r="1">
      <c r="A1" s="300"/>
      <c r="B1" s="167"/>
      <c r="C1" s="40"/>
      <c r="D1" s="40"/>
      <c r="E1" s="40"/>
      <c r="F1" s="40"/>
      <c r="G1" s="40"/>
      <c r="H1" s="167"/>
      <c r="I1" s="40"/>
      <c r="J1" s="40"/>
      <c r="K1" s="40"/>
      <c r="L1" s="40"/>
      <c r="M1" s="301"/>
    </row>
    <row r="2">
      <c r="A2" s="302"/>
      <c r="B2" s="303" t="s">
        <v>480</v>
      </c>
      <c r="C2" s="164"/>
      <c r="D2" s="22"/>
      <c r="E2" s="22"/>
      <c r="F2" s="22"/>
      <c r="G2" s="24"/>
      <c r="H2" s="304" t="s">
        <v>481</v>
      </c>
      <c r="I2" s="164"/>
      <c r="J2" s="22"/>
      <c r="K2" s="22"/>
      <c r="L2" s="22"/>
      <c r="M2" s="24"/>
    </row>
    <row r="3">
      <c r="A3" s="302"/>
      <c r="B3" s="303" t="s">
        <v>482</v>
      </c>
      <c r="C3" s="30"/>
      <c r="D3" s="23"/>
      <c r="E3" s="23"/>
      <c r="F3" s="23"/>
      <c r="G3" s="24"/>
      <c r="H3" s="304" t="s">
        <v>483</v>
      </c>
      <c r="I3" s="30"/>
      <c r="J3" s="23"/>
      <c r="K3" s="23"/>
      <c r="L3" s="22"/>
      <c r="M3" s="24"/>
    </row>
    <row r="4">
      <c r="A4" s="302"/>
      <c r="B4" s="305" t="s">
        <v>323</v>
      </c>
      <c r="C4" s="306" t="s">
        <v>326</v>
      </c>
      <c r="D4" s="306" t="s">
        <v>484</v>
      </c>
      <c r="E4" s="305" t="s">
        <v>485</v>
      </c>
      <c r="F4" s="307" t="s">
        <v>486</v>
      </c>
      <c r="G4" s="24"/>
      <c r="H4" s="308" t="s">
        <v>323</v>
      </c>
      <c r="I4" s="308" t="s">
        <v>326</v>
      </c>
      <c r="J4" s="308" t="s">
        <v>487</v>
      </c>
      <c r="K4" s="308" t="s">
        <v>486</v>
      </c>
      <c r="L4" s="164"/>
      <c r="M4" s="24"/>
    </row>
    <row r="5">
      <c r="A5" s="302"/>
      <c r="B5" s="309">
        <v>4000.0</v>
      </c>
      <c r="C5" s="310" t="s">
        <v>488</v>
      </c>
      <c r="D5" s="311" t="s">
        <v>489</v>
      </c>
      <c r="E5" s="303">
        <v>1.0</v>
      </c>
      <c r="F5" s="312">
        <v>3300.0</v>
      </c>
      <c r="G5" s="24"/>
      <c r="H5" s="304">
        <v>4100.0</v>
      </c>
      <c r="I5" s="313" t="s">
        <v>490</v>
      </c>
      <c r="J5" s="304">
        <v>70.0</v>
      </c>
      <c r="K5" s="314">
        <v>1100.0</v>
      </c>
      <c r="L5" s="164"/>
      <c r="M5" s="24"/>
    </row>
    <row r="6">
      <c r="A6" s="302"/>
      <c r="B6" s="315"/>
      <c r="C6" s="315"/>
      <c r="D6" s="303" t="s">
        <v>491</v>
      </c>
      <c r="E6" s="303">
        <v>5.0</v>
      </c>
      <c r="F6" s="315"/>
      <c r="G6" s="24"/>
      <c r="H6" s="304">
        <v>4101.0</v>
      </c>
      <c r="I6" s="313" t="s">
        <v>492</v>
      </c>
      <c r="J6" s="304">
        <v>350.0</v>
      </c>
      <c r="K6" s="314">
        <v>6600.0</v>
      </c>
      <c r="L6" s="164"/>
      <c r="M6" s="24"/>
    </row>
    <row r="7">
      <c r="A7" s="302"/>
      <c r="B7" s="316"/>
      <c r="C7" s="316"/>
      <c r="D7" s="303" t="s">
        <v>493</v>
      </c>
      <c r="E7" s="303">
        <v>200.0</v>
      </c>
      <c r="F7" s="316"/>
      <c r="G7" s="24"/>
      <c r="H7" s="304">
        <v>4102.0</v>
      </c>
      <c r="I7" s="313" t="s">
        <v>494</v>
      </c>
      <c r="J7" s="304">
        <v>1050.0</v>
      </c>
      <c r="K7" s="314">
        <v>22000.0</v>
      </c>
      <c r="L7" s="164"/>
      <c r="M7" s="24"/>
    </row>
    <row r="8">
      <c r="A8" s="302"/>
      <c r="B8" s="309">
        <v>4001.0</v>
      </c>
      <c r="C8" s="310" t="s">
        <v>495</v>
      </c>
      <c r="D8" s="303" t="s">
        <v>216</v>
      </c>
      <c r="E8" s="303">
        <v>1.0</v>
      </c>
      <c r="F8" s="312">
        <v>3300.0</v>
      </c>
      <c r="G8" s="24"/>
      <c r="H8" s="304">
        <v>4103.0</v>
      </c>
      <c r="I8" s="313" t="s">
        <v>496</v>
      </c>
      <c r="J8" s="304">
        <v>2100.0</v>
      </c>
      <c r="K8" s="314">
        <v>44000.0</v>
      </c>
      <c r="L8" s="164"/>
      <c r="M8" s="24"/>
    </row>
    <row r="9">
      <c r="A9" s="302"/>
      <c r="B9" s="315"/>
      <c r="C9" s="315"/>
      <c r="D9" s="303" t="s">
        <v>491</v>
      </c>
      <c r="E9" s="303">
        <v>5.0</v>
      </c>
      <c r="F9" s="315"/>
      <c r="G9" s="24"/>
      <c r="H9" s="304">
        <v>4104.0</v>
      </c>
      <c r="I9" s="313" t="s">
        <v>497</v>
      </c>
      <c r="J9" s="304">
        <v>3500.0</v>
      </c>
      <c r="K9" s="314">
        <v>66000.0</v>
      </c>
      <c r="L9" s="164"/>
      <c r="M9" s="24"/>
    </row>
    <row r="10">
      <c r="A10" s="302"/>
      <c r="B10" s="316"/>
      <c r="C10" s="316"/>
      <c r="D10" s="303" t="s">
        <v>493</v>
      </c>
      <c r="E10" s="303">
        <v>200.0</v>
      </c>
      <c r="F10" s="316"/>
      <c r="G10" s="24"/>
      <c r="H10" s="304">
        <v>4105.0</v>
      </c>
      <c r="I10" s="313" t="s">
        <v>498</v>
      </c>
      <c r="J10" s="304">
        <v>7000.0</v>
      </c>
      <c r="K10" s="314">
        <v>149000.0</v>
      </c>
      <c r="L10" s="164"/>
      <c r="M10" s="24"/>
    </row>
    <row r="11">
      <c r="A11" s="302"/>
      <c r="B11" s="309">
        <v>4002.0</v>
      </c>
      <c r="C11" s="310" t="s">
        <v>499</v>
      </c>
      <c r="D11" s="303" t="s">
        <v>500</v>
      </c>
      <c r="E11" s="303">
        <v>1.0</v>
      </c>
      <c r="F11" s="312">
        <v>3300.0</v>
      </c>
      <c r="G11" s="24"/>
      <c r="H11" s="22"/>
      <c r="I11" s="22"/>
      <c r="J11" s="22"/>
      <c r="K11" s="22"/>
      <c r="L11" s="22"/>
      <c r="M11" s="24"/>
    </row>
    <row r="12">
      <c r="A12" s="302"/>
      <c r="B12" s="315"/>
      <c r="C12" s="315"/>
      <c r="D12" s="303" t="s">
        <v>491</v>
      </c>
      <c r="E12" s="303">
        <v>5.0</v>
      </c>
      <c r="F12" s="315"/>
      <c r="G12" s="24"/>
      <c r="H12" s="22"/>
      <c r="I12" s="22"/>
      <c r="J12" s="22"/>
      <c r="K12" s="22"/>
      <c r="L12" s="22"/>
      <c r="M12" s="24"/>
    </row>
    <row r="13">
      <c r="A13" s="302"/>
      <c r="B13" s="316"/>
      <c r="C13" s="316"/>
      <c r="D13" s="303" t="s">
        <v>493</v>
      </c>
      <c r="E13" s="303">
        <v>200.0</v>
      </c>
      <c r="F13" s="316"/>
      <c r="G13" s="24"/>
      <c r="H13" s="304" t="s">
        <v>501</v>
      </c>
      <c r="I13" s="317"/>
      <c r="J13" s="318"/>
      <c r="K13" s="167"/>
      <c r="L13" s="23"/>
      <c r="M13" s="24"/>
    </row>
    <row r="14">
      <c r="A14" s="302"/>
      <c r="B14" s="309">
        <v>4003.0</v>
      </c>
      <c r="C14" s="310" t="s">
        <v>502</v>
      </c>
      <c r="D14" s="303" t="s">
        <v>230</v>
      </c>
      <c r="E14" s="303">
        <v>1.0</v>
      </c>
      <c r="F14" s="312">
        <v>3300.0</v>
      </c>
      <c r="G14" s="24"/>
      <c r="H14" s="319" t="s">
        <v>323</v>
      </c>
      <c r="I14" s="319" t="s">
        <v>326</v>
      </c>
      <c r="J14" s="319" t="s">
        <v>485</v>
      </c>
      <c r="K14" s="319" t="s">
        <v>503</v>
      </c>
      <c r="L14" s="319" t="s">
        <v>486</v>
      </c>
      <c r="M14" s="24"/>
    </row>
    <row r="15">
      <c r="A15" s="302"/>
      <c r="B15" s="315"/>
      <c r="C15" s="315"/>
      <c r="D15" s="303" t="s">
        <v>491</v>
      </c>
      <c r="E15" s="303">
        <v>5.0</v>
      </c>
      <c r="F15" s="315"/>
      <c r="G15" s="24"/>
      <c r="H15" s="304">
        <v>4150.0</v>
      </c>
      <c r="I15" s="313" t="s">
        <v>504</v>
      </c>
      <c r="J15" s="304">
        <v>500.0</v>
      </c>
      <c r="K15" s="304">
        <v>10.0</v>
      </c>
      <c r="L15" s="320" t="s">
        <v>505</v>
      </c>
      <c r="M15" s="24"/>
    </row>
    <row r="16">
      <c r="A16" s="302"/>
      <c r="B16" s="316"/>
      <c r="C16" s="316"/>
      <c r="D16" s="303" t="s">
        <v>493</v>
      </c>
      <c r="E16" s="303">
        <v>200.0</v>
      </c>
      <c r="F16" s="316"/>
      <c r="G16" s="24"/>
      <c r="H16" s="304">
        <v>4151.0</v>
      </c>
      <c r="I16" s="313" t="s">
        <v>506</v>
      </c>
      <c r="J16" s="304">
        <v>5000.0</v>
      </c>
      <c r="K16" s="304">
        <v>10.0</v>
      </c>
      <c r="L16" s="320" t="s">
        <v>507</v>
      </c>
      <c r="M16" s="24"/>
    </row>
    <row r="17">
      <c r="A17" s="302"/>
      <c r="B17" s="309">
        <v>4004.0</v>
      </c>
      <c r="C17" s="310" t="s">
        <v>508</v>
      </c>
      <c r="D17" s="303" t="s">
        <v>509</v>
      </c>
      <c r="E17" s="303">
        <v>10.0</v>
      </c>
      <c r="F17" s="312">
        <v>3300.0</v>
      </c>
      <c r="G17" s="24"/>
      <c r="H17" s="304">
        <v>4152.0</v>
      </c>
      <c r="I17" s="313" t="s">
        <v>510</v>
      </c>
      <c r="J17" s="304">
        <v>50000.0</v>
      </c>
      <c r="K17" s="304">
        <v>10.0</v>
      </c>
      <c r="L17" s="320" t="s">
        <v>511</v>
      </c>
      <c r="M17" s="24"/>
    </row>
    <row r="18">
      <c r="A18" s="302"/>
      <c r="B18" s="316"/>
      <c r="C18" s="316"/>
      <c r="D18" s="303" t="s">
        <v>493</v>
      </c>
      <c r="E18" s="303">
        <v>200.0</v>
      </c>
      <c r="F18" s="316"/>
      <c r="G18" s="24"/>
      <c r="H18" s="40"/>
      <c r="I18" s="22"/>
      <c r="J18" s="22"/>
      <c r="K18" s="22"/>
      <c r="L18" s="22"/>
      <c r="M18" s="24"/>
    </row>
    <row r="19">
      <c r="A19" s="302"/>
      <c r="B19" s="309">
        <v>4005.0</v>
      </c>
      <c r="C19" s="310" t="s">
        <v>512</v>
      </c>
      <c r="D19" s="303" t="s">
        <v>491</v>
      </c>
      <c r="E19" s="303">
        <v>18.0</v>
      </c>
      <c r="F19" s="312">
        <v>3300.0</v>
      </c>
      <c r="G19" s="24"/>
      <c r="H19" s="321"/>
      <c r="I19" s="22"/>
      <c r="J19" s="22"/>
      <c r="K19" s="22"/>
      <c r="L19" s="22"/>
      <c r="M19" s="24"/>
    </row>
    <row r="20">
      <c r="A20" s="302"/>
      <c r="B20" s="315"/>
      <c r="C20" s="315"/>
      <c r="D20" s="303" t="s">
        <v>501</v>
      </c>
      <c r="E20" s="303">
        <v>5000.0</v>
      </c>
      <c r="F20" s="315"/>
      <c r="G20" s="24"/>
      <c r="H20" s="304" t="s">
        <v>350</v>
      </c>
      <c r="I20" s="317"/>
      <c r="J20" s="318"/>
      <c r="K20" s="167"/>
      <c r="L20" s="23"/>
      <c r="M20" s="24"/>
    </row>
    <row r="21">
      <c r="A21" s="302"/>
      <c r="B21" s="316"/>
      <c r="C21" s="316"/>
      <c r="D21" s="303" t="s">
        <v>493</v>
      </c>
      <c r="E21" s="303">
        <v>200.0</v>
      </c>
      <c r="F21" s="316"/>
      <c r="G21" s="24"/>
      <c r="H21" s="319" t="s">
        <v>323</v>
      </c>
      <c r="I21" s="319" t="s">
        <v>326</v>
      </c>
      <c r="J21" s="319" t="s">
        <v>485</v>
      </c>
      <c r="K21" s="322" t="s">
        <v>513</v>
      </c>
      <c r="L21" s="319" t="s">
        <v>486</v>
      </c>
      <c r="M21" s="24"/>
    </row>
    <row r="22">
      <c r="A22" s="302"/>
      <c r="B22" s="167"/>
      <c r="C22" s="40"/>
      <c r="D22" s="40"/>
      <c r="E22" s="40"/>
      <c r="F22" s="40"/>
      <c r="G22" s="24"/>
      <c r="H22" s="304">
        <v>4170.0</v>
      </c>
      <c r="I22" s="313" t="s">
        <v>514</v>
      </c>
      <c r="J22" s="304">
        <v>10.0</v>
      </c>
      <c r="K22" s="304">
        <v>1.0</v>
      </c>
      <c r="L22" s="320" t="s">
        <v>515</v>
      </c>
      <c r="M22" s="24"/>
    </row>
    <row r="23">
      <c r="A23" s="302"/>
      <c r="B23" s="167"/>
      <c r="C23" s="40"/>
      <c r="D23" s="40"/>
      <c r="E23" s="40"/>
      <c r="F23" s="40"/>
      <c r="G23" s="24"/>
      <c r="H23" s="304">
        <v>4171.0</v>
      </c>
      <c r="I23" s="313" t="s">
        <v>516</v>
      </c>
      <c r="J23" s="304">
        <v>40.0</v>
      </c>
      <c r="K23" s="304">
        <v>10.0</v>
      </c>
      <c r="L23" s="320" t="s">
        <v>517</v>
      </c>
      <c r="M23" s="24"/>
    </row>
    <row r="24">
      <c r="A24" s="302"/>
      <c r="B24" s="303" t="s">
        <v>518</v>
      </c>
      <c r="C24" s="40"/>
      <c r="D24" s="40"/>
      <c r="E24" s="40"/>
      <c r="F24" s="40"/>
      <c r="G24" s="24"/>
      <c r="H24" s="304">
        <v>4172.0</v>
      </c>
      <c r="I24" s="313" t="s">
        <v>519</v>
      </c>
      <c r="J24" s="304">
        <v>75.0</v>
      </c>
      <c r="K24" s="304">
        <v>10.0</v>
      </c>
      <c r="L24" s="320" t="s">
        <v>520</v>
      </c>
      <c r="M24" s="24"/>
    </row>
    <row r="25">
      <c r="A25" s="302"/>
      <c r="B25" s="305" t="s">
        <v>323</v>
      </c>
      <c r="C25" s="306" t="s">
        <v>326</v>
      </c>
      <c r="D25" s="305" t="s">
        <v>484</v>
      </c>
      <c r="E25" s="305" t="s">
        <v>485</v>
      </c>
      <c r="F25" s="307" t="s">
        <v>486</v>
      </c>
      <c r="G25" s="24"/>
      <c r="H25" s="22"/>
      <c r="I25" s="22"/>
      <c r="J25" s="22"/>
      <c r="K25" s="22"/>
      <c r="L25" s="22"/>
      <c r="M25" s="24"/>
    </row>
    <row r="26">
      <c r="A26" s="302"/>
      <c r="B26" s="309">
        <v>4020.0</v>
      </c>
      <c r="C26" s="310" t="s">
        <v>521</v>
      </c>
      <c r="D26" s="303" t="s">
        <v>522</v>
      </c>
      <c r="E26" s="303">
        <v>2.0</v>
      </c>
      <c r="F26" s="323">
        <v>14000.0</v>
      </c>
      <c r="G26" s="24"/>
      <c r="H26" s="22"/>
      <c r="I26" s="22"/>
      <c r="J26" s="22"/>
      <c r="K26" s="22"/>
      <c r="L26" s="22"/>
      <c r="M26" s="24"/>
    </row>
    <row r="27">
      <c r="A27" s="302"/>
      <c r="B27" s="315"/>
      <c r="C27" s="315"/>
      <c r="D27" s="303" t="s">
        <v>523</v>
      </c>
      <c r="E27" s="303">
        <v>20.0</v>
      </c>
      <c r="F27" s="315"/>
      <c r="G27" s="24"/>
      <c r="H27" s="304" t="s">
        <v>524</v>
      </c>
      <c r="I27" s="317"/>
      <c r="J27" s="318"/>
      <c r="K27" s="167"/>
      <c r="L27" s="23"/>
      <c r="M27" s="24"/>
    </row>
    <row r="28">
      <c r="A28" s="302"/>
      <c r="B28" s="316"/>
      <c r="C28" s="316"/>
      <c r="D28" s="303" t="s">
        <v>493</v>
      </c>
      <c r="E28" s="303">
        <v>1000.0</v>
      </c>
      <c r="F28" s="316"/>
      <c r="G28" s="24"/>
      <c r="H28" s="319" t="s">
        <v>323</v>
      </c>
      <c r="I28" s="319" t="s">
        <v>326</v>
      </c>
      <c r="J28" s="319" t="s">
        <v>485</v>
      </c>
      <c r="K28" s="322" t="s">
        <v>513</v>
      </c>
      <c r="L28" s="319" t="s">
        <v>486</v>
      </c>
      <c r="M28" s="24"/>
    </row>
    <row r="29">
      <c r="A29" s="302"/>
      <c r="B29" s="309">
        <v>4021.0</v>
      </c>
      <c r="C29" s="310" t="s">
        <v>525</v>
      </c>
      <c r="D29" s="303" t="s">
        <v>526</v>
      </c>
      <c r="E29" s="303">
        <v>2.0</v>
      </c>
      <c r="F29" s="323">
        <v>14000.0</v>
      </c>
      <c r="G29" s="24"/>
      <c r="H29" s="304">
        <v>4200.0</v>
      </c>
      <c r="I29" s="313" t="s">
        <v>527</v>
      </c>
      <c r="J29" s="304">
        <v>1.0</v>
      </c>
      <c r="K29" s="304">
        <v>3.0</v>
      </c>
      <c r="L29" s="320" t="s">
        <v>528</v>
      </c>
      <c r="M29" s="24"/>
    </row>
    <row r="30">
      <c r="A30" s="302"/>
      <c r="B30" s="315"/>
      <c r="C30" s="315"/>
      <c r="D30" s="303" t="s">
        <v>523</v>
      </c>
      <c r="E30" s="303">
        <v>20.0</v>
      </c>
      <c r="F30" s="315"/>
      <c r="G30" s="24"/>
      <c r="H30" s="304">
        <v>4201.0</v>
      </c>
      <c r="I30" s="313" t="s">
        <v>529</v>
      </c>
      <c r="J30" s="304">
        <v>5.0</v>
      </c>
      <c r="K30" s="304">
        <v>3.0</v>
      </c>
      <c r="L30" s="320" t="s">
        <v>530</v>
      </c>
      <c r="M30" s="24"/>
    </row>
    <row r="31">
      <c r="A31" s="302"/>
      <c r="B31" s="316"/>
      <c r="C31" s="316"/>
      <c r="D31" s="303" t="s">
        <v>493</v>
      </c>
      <c r="E31" s="303">
        <v>1000.0</v>
      </c>
      <c r="F31" s="316"/>
      <c r="G31" s="24"/>
      <c r="H31" s="304">
        <v>4202.0</v>
      </c>
      <c r="I31" s="313" t="s">
        <v>531</v>
      </c>
      <c r="J31" s="304">
        <v>10.0</v>
      </c>
      <c r="K31" s="304">
        <v>3.0</v>
      </c>
      <c r="L31" s="320" t="s">
        <v>532</v>
      </c>
      <c r="M31" s="24"/>
    </row>
    <row r="32">
      <c r="A32" s="302"/>
      <c r="B32" s="309">
        <v>4022.0</v>
      </c>
      <c r="C32" s="310" t="s">
        <v>533</v>
      </c>
      <c r="D32" s="303" t="s">
        <v>534</v>
      </c>
      <c r="E32" s="303">
        <v>2.0</v>
      </c>
      <c r="F32" s="323">
        <v>14000.0</v>
      </c>
      <c r="G32" s="24"/>
      <c r="H32" s="22"/>
      <c r="I32" s="22"/>
      <c r="J32" s="22"/>
      <c r="K32" s="22"/>
      <c r="L32" s="22"/>
      <c r="M32" s="24"/>
    </row>
    <row r="33">
      <c r="A33" s="302"/>
      <c r="B33" s="315"/>
      <c r="C33" s="315"/>
      <c r="D33" s="303" t="s">
        <v>523</v>
      </c>
      <c r="E33" s="303">
        <v>20.0</v>
      </c>
      <c r="F33" s="315"/>
      <c r="G33" s="24"/>
      <c r="H33" s="22"/>
      <c r="I33" s="22"/>
      <c r="J33" s="22"/>
      <c r="K33" s="22"/>
      <c r="L33" s="22"/>
      <c r="M33" s="24"/>
    </row>
    <row r="34">
      <c r="A34" s="302"/>
      <c r="B34" s="316"/>
      <c r="C34" s="316"/>
      <c r="D34" s="303" t="s">
        <v>493</v>
      </c>
      <c r="E34" s="303">
        <v>1000.0</v>
      </c>
      <c r="F34" s="316"/>
      <c r="G34" s="24"/>
      <c r="H34" s="22"/>
      <c r="I34" s="22"/>
      <c r="J34" s="22"/>
      <c r="K34" s="22"/>
      <c r="L34" s="22"/>
      <c r="M34" s="24"/>
    </row>
    <row r="35">
      <c r="A35" s="302"/>
      <c r="B35" s="309">
        <v>4023.0</v>
      </c>
      <c r="C35" s="310" t="s">
        <v>535</v>
      </c>
      <c r="D35" s="303" t="s">
        <v>536</v>
      </c>
      <c r="E35" s="303">
        <v>2.0</v>
      </c>
      <c r="F35" s="323">
        <v>14000.0</v>
      </c>
      <c r="G35" s="24"/>
      <c r="H35" s="22"/>
      <c r="I35" s="22"/>
      <c r="J35" s="22"/>
      <c r="K35" s="22"/>
      <c r="L35" s="22"/>
      <c r="M35" s="24"/>
    </row>
    <row r="36">
      <c r="A36" s="302"/>
      <c r="B36" s="315"/>
      <c r="C36" s="315"/>
      <c r="D36" s="303" t="s">
        <v>523</v>
      </c>
      <c r="E36" s="303">
        <v>20.0</v>
      </c>
      <c r="F36" s="315"/>
      <c r="G36" s="24"/>
      <c r="H36" s="22"/>
      <c r="I36" s="22"/>
      <c r="J36" s="22"/>
      <c r="K36" s="22"/>
      <c r="L36" s="22"/>
      <c r="M36" s="24"/>
    </row>
    <row r="37">
      <c r="A37" s="302"/>
      <c r="B37" s="316"/>
      <c r="C37" s="316"/>
      <c r="D37" s="303" t="s">
        <v>493</v>
      </c>
      <c r="E37" s="303">
        <v>1000.0</v>
      </c>
      <c r="F37" s="316"/>
      <c r="G37" s="24"/>
      <c r="H37" s="22"/>
      <c r="I37" s="22"/>
      <c r="J37" s="22"/>
      <c r="K37" s="22"/>
      <c r="L37" s="22"/>
      <c r="M37" s="24"/>
    </row>
    <row r="38">
      <c r="A38" s="302"/>
      <c r="B38" s="309">
        <v>4024.0</v>
      </c>
      <c r="C38" s="310" t="s">
        <v>537</v>
      </c>
      <c r="D38" s="303" t="s">
        <v>523</v>
      </c>
      <c r="E38" s="303">
        <v>20.0</v>
      </c>
      <c r="F38" s="323">
        <v>6600.0</v>
      </c>
      <c r="G38" s="24"/>
      <c r="H38" s="22"/>
      <c r="I38" s="22"/>
      <c r="J38" s="22"/>
      <c r="K38" s="22"/>
      <c r="L38" s="22"/>
      <c r="M38" s="24"/>
    </row>
    <row r="39">
      <c r="A39" s="302"/>
      <c r="B39" s="315"/>
      <c r="C39" s="315"/>
      <c r="D39" s="303" t="s">
        <v>501</v>
      </c>
      <c r="E39" s="303">
        <v>10000.0</v>
      </c>
      <c r="F39" s="315"/>
      <c r="G39" s="24"/>
      <c r="H39" s="22"/>
      <c r="I39" s="22"/>
      <c r="J39" s="22"/>
      <c r="K39" s="22"/>
      <c r="L39" s="22"/>
      <c r="M39" s="24"/>
    </row>
    <row r="40">
      <c r="A40" s="302"/>
      <c r="B40" s="316"/>
      <c r="C40" s="316"/>
      <c r="D40" s="303" t="s">
        <v>493</v>
      </c>
      <c r="E40" s="303">
        <v>500.0</v>
      </c>
      <c r="F40" s="316"/>
      <c r="G40" s="24"/>
      <c r="H40" s="22"/>
      <c r="I40" s="22"/>
      <c r="J40" s="22"/>
      <c r="K40" s="22"/>
      <c r="L40" s="22"/>
      <c r="M40" s="24"/>
    </row>
    <row r="41">
      <c r="A41" s="302"/>
      <c r="B41" s="309">
        <v>4025.0</v>
      </c>
      <c r="C41" s="310" t="s">
        <v>538</v>
      </c>
      <c r="D41" s="303" t="s">
        <v>539</v>
      </c>
      <c r="E41" s="303">
        <v>25.0</v>
      </c>
      <c r="F41" s="323">
        <v>6600.0</v>
      </c>
      <c r="G41" s="24"/>
      <c r="H41" s="22"/>
      <c r="I41" s="22"/>
      <c r="J41" s="22"/>
      <c r="K41" s="22"/>
      <c r="L41" s="22"/>
      <c r="M41" s="24"/>
    </row>
    <row r="42">
      <c r="A42" s="302"/>
      <c r="B42" s="316"/>
      <c r="C42" s="316"/>
      <c r="D42" s="303" t="s">
        <v>493</v>
      </c>
      <c r="E42" s="303">
        <v>500.0</v>
      </c>
      <c r="F42" s="316"/>
      <c r="G42" s="24"/>
      <c r="H42" s="22"/>
      <c r="I42" s="22"/>
      <c r="J42" s="22"/>
      <c r="K42" s="22"/>
      <c r="L42" s="22"/>
      <c r="M42" s="24"/>
    </row>
    <row r="43">
      <c r="A43" s="302"/>
      <c r="B43" s="22"/>
      <c r="C43" s="40"/>
      <c r="D43" s="40"/>
      <c r="E43" s="40"/>
      <c r="F43" s="40"/>
      <c r="G43" s="24"/>
      <c r="H43" s="22"/>
      <c r="I43" s="22"/>
      <c r="J43" s="22"/>
      <c r="K43" s="22"/>
      <c r="L43" s="22"/>
      <c r="M43" s="24"/>
    </row>
    <row r="44">
      <c r="A44" s="302"/>
      <c r="B44" s="22"/>
      <c r="C44" s="40"/>
      <c r="D44" s="40"/>
      <c r="E44" s="40"/>
      <c r="F44" s="40"/>
      <c r="G44" s="40"/>
      <c r="H44" s="22"/>
      <c r="I44" s="22"/>
      <c r="J44" s="22"/>
      <c r="K44" s="22"/>
      <c r="L44" s="22"/>
      <c r="M44" s="24"/>
    </row>
    <row r="45">
      <c r="A45" s="302"/>
      <c r="B45" s="303" t="s">
        <v>540</v>
      </c>
      <c r="C45" s="40"/>
      <c r="D45" s="40"/>
      <c r="E45" s="40"/>
      <c r="F45" s="40"/>
      <c r="G45" s="40"/>
      <c r="H45" s="22"/>
      <c r="I45" s="22"/>
      <c r="J45" s="22"/>
      <c r="K45" s="22"/>
      <c r="L45" s="22"/>
      <c r="M45" s="24"/>
    </row>
    <row r="46">
      <c r="A46" s="302"/>
      <c r="B46" s="305" t="s">
        <v>323</v>
      </c>
      <c r="C46" s="306" t="s">
        <v>326</v>
      </c>
      <c r="D46" s="305" t="s">
        <v>484</v>
      </c>
      <c r="E46" s="305" t="s">
        <v>485</v>
      </c>
      <c r="F46" s="307" t="s">
        <v>486</v>
      </c>
      <c r="G46" s="24"/>
      <c r="H46" s="22"/>
      <c r="I46" s="22"/>
      <c r="J46" s="22"/>
      <c r="K46" s="22"/>
      <c r="L46" s="22"/>
      <c r="M46" s="24"/>
    </row>
    <row r="47">
      <c r="A47" s="302"/>
      <c r="B47" s="309">
        <v>4050.0</v>
      </c>
      <c r="C47" s="310" t="s">
        <v>541</v>
      </c>
      <c r="D47" s="303" t="s">
        <v>542</v>
      </c>
      <c r="E47" s="303">
        <v>3.0</v>
      </c>
      <c r="F47" s="323">
        <v>66000.0</v>
      </c>
      <c r="G47" s="24"/>
      <c r="H47" s="22"/>
      <c r="I47" s="22"/>
      <c r="J47" s="22"/>
      <c r="K47" s="22"/>
      <c r="L47" s="22"/>
      <c r="M47" s="24"/>
    </row>
    <row r="48">
      <c r="A48" s="302"/>
      <c r="B48" s="315"/>
      <c r="C48" s="315"/>
      <c r="D48" s="303" t="s">
        <v>543</v>
      </c>
      <c r="E48" s="303">
        <v>24.0</v>
      </c>
      <c r="F48" s="315"/>
      <c r="G48" s="24"/>
      <c r="H48" s="22"/>
      <c r="I48" s="22"/>
      <c r="J48" s="22"/>
      <c r="K48" s="22"/>
      <c r="L48" s="22"/>
      <c r="M48" s="24"/>
    </row>
    <row r="49">
      <c r="A49" s="302"/>
      <c r="B49" s="316"/>
      <c r="C49" s="316"/>
      <c r="D49" s="303" t="s">
        <v>493</v>
      </c>
      <c r="E49" s="303">
        <v>5000.0</v>
      </c>
      <c r="F49" s="316"/>
      <c r="G49" s="24"/>
      <c r="H49" s="22"/>
      <c r="I49" s="22"/>
      <c r="J49" s="22"/>
      <c r="K49" s="22"/>
      <c r="L49" s="22"/>
      <c r="M49" s="24"/>
    </row>
    <row r="50">
      <c r="A50" s="302"/>
      <c r="B50" s="309">
        <v>4051.0</v>
      </c>
      <c r="C50" s="310" t="s">
        <v>544</v>
      </c>
      <c r="D50" s="303" t="s">
        <v>545</v>
      </c>
      <c r="E50" s="303">
        <v>3.0</v>
      </c>
      <c r="F50" s="323">
        <v>66000.0</v>
      </c>
      <c r="G50" s="24"/>
      <c r="H50" s="22"/>
      <c r="I50" s="22"/>
      <c r="J50" s="22"/>
      <c r="K50" s="22"/>
      <c r="L50" s="22"/>
      <c r="M50" s="24"/>
    </row>
    <row r="51">
      <c r="A51" s="302"/>
      <c r="B51" s="315"/>
      <c r="C51" s="315"/>
      <c r="D51" s="303" t="s">
        <v>543</v>
      </c>
      <c r="E51" s="303">
        <v>24.0</v>
      </c>
      <c r="F51" s="315"/>
      <c r="G51" s="24"/>
      <c r="H51" s="22"/>
      <c r="I51" s="22"/>
      <c r="J51" s="22"/>
      <c r="K51" s="22"/>
      <c r="L51" s="22"/>
      <c r="M51" s="24"/>
    </row>
    <row r="52">
      <c r="A52" s="302"/>
      <c r="B52" s="316"/>
      <c r="C52" s="316"/>
      <c r="D52" s="303" t="s">
        <v>493</v>
      </c>
      <c r="E52" s="303">
        <v>5000.0</v>
      </c>
      <c r="F52" s="316"/>
      <c r="G52" s="24"/>
      <c r="H52" s="22"/>
      <c r="I52" s="22"/>
      <c r="J52" s="22"/>
      <c r="K52" s="22"/>
      <c r="L52" s="22"/>
      <c r="M52" s="24"/>
    </row>
    <row r="53">
      <c r="A53" s="302"/>
      <c r="B53" s="309">
        <v>4052.0</v>
      </c>
      <c r="C53" s="310" t="s">
        <v>546</v>
      </c>
      <c r="D53" s="303" t="s">
        <v>543</v>
      </c>
      <c r="E53" s="303">
        <v>26.0</v>
      </c>
      <c r="F53" s="323">
        <v>29000.0</v>
      </c>
      <c r="G53" s="24"/>
      <c r="H53" s="22"/>
      <c r="I53" s="22"/>
      <c r="J53" s="22"/>
      <c r="K53" s="22"/>
      <c r="L53" s="22"/>
      <c r="M53" s="24"/>
    </row>
    <row r="54">
      <c r="A54" s="302"/>
      <c r="B54" s="315"/>
      <c r="C54" s="315"/>
      <c r="D54" s="303" t="s">
        <v>501</v>
      </c>
      <c r="E54" s="303">
        <v>32000.0</v>
      </c>
      <c r="F54" s="315"/>
      <c r="G54" s="24"/>
      <c r="H54" s="22"/>
      <c r="I54" s="22"/>
      <c r="J54" s="22"/>
      <c r="K54" s="22"/>
      <c r="L54" s="22"/>
      <c r="M54" s="24"/>
    </row>
    <row r="55">
      <c r="A55" s="302"/>
      <c r="B55" s="316"/>
      <c r="C55" s="316"/>
      <c r="D55" s="303" t="s">
        <v>493</v>
      </c>
      <c r="E55" s="303">
        <v>2000.0</v>
      </c>
      <c r="F55" s="316"/>
      <c r="G55" s="24"/>
      <c r="H55" s="22"/>
      <c r="I55" s="22"/>
      <c r="J55" s="22"/>
      <c r="K55" s="22"/>
      <c r="L55" s="22"/>
      <c r="M55" s="24"/>
    </row>
    <row r="56">
      <c r="A56" s="302"/>
      <c r="B56" s="309">
        <v>4053.0</v>
      </c>
      <c r="C56" s="310" t="s">
        <v>547</v>
      </c>
      <c r="D56" s="303" t="s">
        <v>548</v>
      </c>
      <c r="E56" s="303">
        <v>75.0</v>
      </c>
      <c r="F56" s="323">
        <v>44000.0</v>
      </c>
      <c r="G56" s="24"/>
      <c r="H56" s="22"/>
      <c r="I56" s="22"/>
      <c r="J56" s="22"/>
      <c r="K56" s="22"/>
      <c r="L56" s="22"/>
      <c r="M56" s="24"/>
    </row>
    <row r="57">
      <c r="A57" s="302"/>
      <c r="B57" s="316"/>
      <c r="C57" s="316"/>
      <c r="D57" s="303" t="s">
        <v>493</v>
      </c>
      <c r="E57" s="303">
        <v>3000.0</v>
      </c>
      <c r="F57" s="316"/>
      <c r="G57" s="24"/>
      <c r="H57" s="22"/>
      <c r="I57" s="22"/>
      <c r="J57" s="22"/>
      <c r="K57" s="22"/>
      <c r="L57" s="22"/>
      <c r="M57" s="24"/>
    </row>
    <row r="58">
      <c r="A58" s="302"/>
      <c r="B58" s="40"/>
      <c r="C58" s="40"/>
      <c r="D58" s="40"/>
      <c r="E58" s="40"/>
      <c r="F58" s="40"/>
      <c r="G58" s="24"/>
      <c r="H58" s="22"/>
      <c r="I58" s="22"/>
      <c r="J58" s="22"/>
      <c r="K58" s="22"/>
      <c r="L58" s="22"/>
      <c r="M58" s="24"/>
    </row>
    <row r="59">
      <c r="A59" s="302"/>
      <c r="B59" s="40"/>
      <c r="C59" s="40"/>
      <c r="D59" s="40"/>
      <c r="E59" s="40"/>
      <c r="F59" s="40"/>
      <c r="G59" s="24"/>
      <c r="H59" s="22"/>
      <c r="I59" s="22"/>
      <c r="J59" s="22"/>
      <c r="K59" s="22"/>
      <c r="L59" s="22"/>
      <c r="M59" s="24"/>
    </row>
    <row r="60">
      <c r="A60" s="302"/>
      <c r="B60" s="303" t="s">
        <v>549</v>
      </c>
      <c r="C60" s="40"/>
      <c r="D60" s="40"/>
      <c r="E60" s="40"/>
      <c r="F60" s="40"/>
      <c r="G60" s="24"/>
      <c r="H60" s="22"/>
      <c r="I60" s="22"/>
      <c r="J60" s="22"/>
      <c r="K60" s="22"/>
      <c r="L60" s="22"/>
      <c r="M60" s="24"/>
    </row>
    <row r="61">
      <c r="A61" s="302"/>
      <c r="B61" s="305" t="s">
        <v>323</v>
      </c>
      <c r="C61" s="306" t="s">
        <v>326</v>
      </c>
      <c r="D61" s="305" t="s">
        <v>484</v>
      </c>
      <c r="E61" s="305" t="s">
        <v>485</v>
      </c>
      <c r="F61" s="307" t="s">
        <v>486</v>
      </c>
      <c r="G61" s="24"/>
      <c r="H61" s="22"/>
      <c r="I61" s="22"/>
      <c r="J61" s="22"/>
      <c r="K61" s="22"/>
      <c r="L61" s="22"/>
      <c r="M61" s="24"/>
    </row>
    <row r="62">
      <c r="A62" s="302"/>
      <c r="B62" s="309">
        <v>4070.0</v>
      </c>
      <c r="C62" s="310" t="s">
        <v>550</v>
      </c>
      <c r="D62" s="303" t="s">
        <v>500</v>
      </c>
      <c r="E62" s="303">
        <v>1.0</v>
      </c>
      <c r="F62" s="309" t="s">
        <v>515</v>
      </c>
      <c r="G62" s="24"/>
      <c r="H62" s="22"/>
      <c r="I62" s="22"/>
      <c r="J62" s="22"/>
      <c r="K62" s="22"/>
      <c r="L62" s="22"/>
      <c r="M62" s="24"/>
    </row>
    <row r="63">
      <c r="A63" s="302"/>
      <c r="B63" s="315"/>
      <c r="C63" s="315"/>
      <c r="D63" s="303" t="s">
        <v>491</v>
      </c>
      <c r="E63" s="303">
        <v>2.0</v>
      </c>
      <c r="F63" s="315"/>
      <c r="G63" s="24"/>
      <c r="H63" s="22"/>
      <c r="I63" s="22"/>
      <c r="J63" s="22"/>
      <c r="K63" s="22"/>
      <c r="L63" s="22"/>
      <c r="M63" s="24"/>
    </row>
    <row r="64">
      <c r="A64" s="302"/>
      <c r="B64" s="316"/>
      <c r="C64" s="316"/>
      <c r="D64" s="303" t="s">
        <v>501</v>
      </c>
      <c r="E64" s="303">
        <v>100.0</v>
      </c>
      <c r="F64" s="316"/>
      <c r="G64" s="24"/>
      <c r="H64" s="22"/>
      <c r="I64" s="22"/>
      <c r="J64" s="22"/>
      <c r="K64" s="22"/>
      <c r="L64" s="22"/>
      <c r="M64" s="24"/>
    </row>
    <row r="65">
      <c r="A65" s="302"/>
      <c r="B65" s="309">
        <v>4071.0</v>
      </c>
      <c r="C65" s="310" t="s">
        <v>551</v>
      </c>
      <c r="D65" s="303" t="s">
        <v>225</v>
      </c>
      <c r="E65" s="303">
        <v>1.0</v>
      </c>
      <c r="F65" s="323">
        <v>6600.0</v>
      </c>
      <c r="G65" s="24"/>
      <c r="H65" s="22"/>
      <c r="I65" s="22"/>
      <c r="J65" s="22"/>
      <c r="K65" s="22"/>
      <c r="L65" s="22"/>
      <c r="M65" s="24"/>
    </row>
    <row r="66">
      <c r="A66" s="302"/>
      <c r="B66" s="315"/>
      <c r="C66" s="315"/>
      <c r="D66" s="303" t="s">
        <v>523</v>
      </c>
      <c r="E66" s="303">
        <v>2.0</v>
      </c>
      <c r="F66" s="315"/>
      <c r="G66" s="24"/>
      <c r="H66" s="22"/>
      <c r="I66" s="22"/>
      <c r="J66" s="22"/>
      <c r="K66" s="22"/>
      <c r="L66" s="22"/>
      <c r="M66" s="24"/>
    </row>
    <row r="67">
      <c r="A67" s="302"/>
      <c r="B67" s="316"/>
      <c r="C67" s="316"/>
      <c r="D67" s="303" t="s">
        <v>501</v>
      </c>
      <c r="E67" s="303">
        <v>100.0</v>
      </c>
      <c r="F67" s="316"/>
      <c r="G67" s="24"/>
      <c r="H67" s="22"/>
      <c r="I67" s="22"/>
      <c r="J67" s="22"/>
      <c r="K67" s="22"/>
      <c r="L67" s="22"/>
      <c r="M67" s="24"/>
    </row>
    <row r="68">
      <c r="A68" s="302"/>
      <c r="B68" s="309">
        <v>4072.0</v>
      </c>
      <c r="C68" s="310" t="s">
        <v>552</v>
      </c>
      <c r="D68" s="303" t="s">
        <v>534</v>
      </c>
      <c r="E68" s="303">
        <v>1.0</v>
      </c>
      <c r="F68" s="323">
        <v>22000.0</v>
      </c>
      <c r="G68" s="24"/>
      <c r="H68" s="22"/>
      <c r="I68" s="22"/>
      <c r="J68" s="22"/>
      <c r="K68" s="22"/>
      <c r="L68" s="22"/>
      <c r="M68" s="24"/>
    </row>
    <row r="69">
      <c r="A69" s="302"/>
      <c r="B69" s="315"/>
      <c r="C69" s="315"/>
      <c r="D69" s="303" t="s">
        <v>523</v>
      </c>
      <c r="E69" s="303">
        <v>20.0</v>
      </c>
      <c r="F69" s="315"/>
      <c r="G69" s="24"/>
      <c r="H69" s="22"/>
      <c r="I69" s="22"/>
      <c r="J69" s="22"/>
      <c r="K69" s="22"/>
      <c r="L69" s="22"/>
      <c r="M69" s="24"/>
    </row>
    <row r="70">
      <c r="A70" s="302"/>
      <c r="B70" s="316"/>
      <c r="C70" s="316"/>
      <c r="D70" s="303" t="s">
        <v>501</v>
      </c>
      <c r="E70" s="303">
        <v>2000.0</v>
      </c>
      <c r="F70" s="316"/>
      <c r="G70" s="24"/>
      <c r="H70" s="22"/>
      <c r="I70" s="22"/>
      <c r="J70" s="22"/>
      <c r="K70" s="22"/>
      <c r="L70" s="22"/>
      <c r="M70" s="24"/>
    </row>
    <row r="71">
      <c r="A71" s="302"/>
      <c r="B71" s="309">
        <v>4073.0</v>
      </c>
      <c r="C71" s="310" t="s">
        <v>553</v>
      </c>
      <c r="D71" s="303" t="s">
        <v>554</v>
      </c>
      <c r="E71" s="303">
        <v>1.0</v>
      </c>
      <c r="F71" s="323">
        <v>66000.0</v>
      </c>
      <c r="G71" s="24"/>
      <c r="H71" s="22"/>
      <c r="I71" s="22"/>
      <c r="J71" s="22"/>
      <c r="K71" s="22"/>
      <c r="L71" s="22"/>
      <c r="M71" s="24"/>
    </row>
    <row r="72">
      <c r="A72" s="302"/>
      <c r="B72" s="315"/>
      <c r="C72" s="315"/>
      <c r="D72" s="303" t="s">
        <v>543</v>
      </c>
      <c r="E72" s="303">
        <v>12.0</v>
      </c>
      <c r="F72" s="315"/>
      <c r="G72" s="24"/>
      <c r="H72" s="22"/>
      <c r="I72" s="22"/>
      <c r="J72" s="22"/>
      <c r="K72" s="22"/>
      <c r="L72" s="22"/>
      <c r="M72" s="24"/>
    </row>
    <row r="73">
      <c r="A73" s="302"/>
      <c r="B73" s="316"/>
      <c r="C73" s="316"/>
      <c r="D73" s="303" t="s">
        <v>501</v>
      </c>
      <c r="E73" s="303">
        <v>34000.0</v>
      </c>
      <c r="F73" s="316"/>
      <c r="G73" s="24"/>
      <c r="H73" s="22"/>
      <c r="I73" s="22"/>
      <c r="J73" s="22"/>
      <c r="K73" s="22"/>
      <c r="L73" s="22"/>
      <c r="M73" s="24"/>
    </row>
    <row r="74">
      <c r="A74" s="302"/>
      <c r="B74" s="309">
        <v>4074.0</v>
      </c>
      <c r="C74" s="310" t="s">
        <v>512</v>
      </c>
      <c r="D74" s="303" t="s">
        <v>491</v>
      </c>
      <c r="E74" s="303">
        <v>11.0</v>
      </c>
      <c r="F74" s="323">
        <v>3300.0</v>
      </c>
      <c r="G74" s="24"/>
      <c r="H74" s="22"/>
      <c r="I74" s="22"/>
      <c r="J74" s="22"/>
      <c r="K74" s="22"/>
      <c r="L74" s="22"/>
      <c r="M74" s="24"/>
    </row>
    <row r="75">
      <c r="A75" s="302"/>
      <c r="B75" s="316"/>
      <c r="C75" s="316"/>
      <c r="D75" s="303" t="s">
        <v>501</v>
      </c>
      <c r="E75" s="303">
        <v>2500.0</v>
      </c>
      <c r="F75" s="316"/>
      <c r="G75" s="24"/>
      <c r="H75" s="22"/>
      <c r="I75" s="22"/>
      <c r="J75" s="22"/>
      <c r="K75" s="22"/>
      <c r="L75" s="22"/>
      <c r="M75" s="24"/>
    </row>
    <row r="76">
      <c r="A76" s="302"/>
      <c r="B76" s="309">
        <v>4075.0</v>
      </c>
      <c r="C76" s="310" t="s">
        <v>537</v>
      </c>
      <c r="D76" s="303" t="s">
        <v>523</v>
      </c>
      <c r="E76" s="303">
        <v>16.0</v>
      </c>
      <c r="F76" s="323">
        <v>6600.0</v>
      </c>
      <c r="G76" s="24"/>
      <c r="H76" s="22"/>
      <c r="I76" s="22"/>
      <c r="J76" s="22"/>
      <c r="K76" s="22"/>
      <c r="L76" s="22"/>
      <c r="M76" s="24"/>
    </row>
    <row r="77">
      <c r="A77" s="302"/>
      <c r="B77" s="316"/>
      <c r="C77" s="316"/>
      <c r="D77" s="303" t="s">
        <v>501</v>
      </c>
      <c r="E77" s="303">
        <v>5000.0</v>
      </c>
      <c r="F77" s="316"/>
      <c r="G77" s="24"/>
      <c r="H77" s="22"/>
      <c r="I77" s="22"/>
      <c r="J77" s="22"/>
      <c r="K77" s="22"/>
      <c r="L77" s="22"/>
      <c r="M77" s="24"/>
    </row>
    <row r="78">
      <c r="A78" s="302"/>
      <c r="B78" s="309">
        <v>4076.0</v>
      </c>
      <c r="C78" s="310" t="s">
        <v>555</v>
      </c>
      <c r="D78" s="303" t="s">
        <v>523</v>
      </c>
      <c r="E78" s="303">
        <v>33.0</v>
      </c>
      <c r="F78" s="323">
        <v>14000.0</v>
      </c>
      <c r="G78" s="24"/>
      <c r="H78" s="22"/>
      <c r="I78" s="22"/>
      <c r="J78" s="22"/>
      <c r="K78" s="22"/>
      <c r="L78" s="22"/>
      <c r="M78" s="24"/>
    </row>
    <row r="79">
      <c r="A79" s="302"/>
      <c r="B79" s="316"/>
      <c r="C79" s="316"/>
      <c r="D79" s="303" t="s">
        <v>501</v>
      </c>
      <c r="E79" s="303">
        <v>7500.0</v>
      </c>
      <c r="F79" s="316"/>
      <c r="G79" s="24"/>
      <c r="H79" s="22"/>
      <c r="I79" s="22"/>
      <c r="J79" s="22"/>
      <c r="K79" s="22"/>
      <c r="L79" s="22"/>
    </row>
    <row r="80">
      <c r="A80" s="302"/>
      <c r="B80" s="309">
        <v>4077.0</v>
      </c>
      <c r="C80" s="310" t="s">
        <v>546</v>
      </c>
      <c r="D80" s="303" t="s">
        <v>543</v>
      </c>
      <c r="E80" s="303">
        <v>16.0</v>
      </c>
      <c r="F80" s="323">
        <v>29000.0</v>
      </c>
      <c r="G80" s="24"/>
      <c r="H80" s="22"/>
      <c r="I80" s="22"/>
      <c r="J80" s="22"/>
      <c r="K80" s="22"/>
      <c r="L80" s="22"/>
    </row>
    <row r="81">
      <c r="A81" s="302"/>
      <c r="B81" s="316"/>
      <c r="C81" s="316"/>
      <c r="D81" s="303" t="s">
        <v>501</v>
      </c>
      <c r="E81" s="303">
        <v>12500.0</v>
      </c>
      <c r="F81" s="316"/>
      <c r="G81" s="24"/>
      <c r="H81" s="22"/>
      <c r="I81" s="22"/>
      <c r="J81" s="22"/>
      <c r="K81" s="22"/>
      <c r="L81" s="22"/>
    </row>
    <row r="82">
      <c r="A82" s="302"/>
      <c r="B82" s="40"/>
      <c r="C82" s="40"/>
      <c r="D82" s="40"/>
      <c r="E82" s="40"/>
      <c r="F82" s="40"/>
      <c r="G82" s="24"/>
      <c r="H82" s="22"/>
      <c r="I82" s="22"/>
      <c r="J82" s="22"/>
      <c r="K82" s="22"/>
      <c r="L82" s="22"/>
    </row>
    <row r="83">
      <c r="A83" s="302"/>
      <c r="B83" s="40"/>
      <c r="C83" s="40"/>
      <c r="D83" s="40"/>
      <c r="E83" s="40"/>
      <c r="F83" s="40"/>
      <c r="G83" s="24"/>
      <c r="H83" s="22"/>
      <c r="I83" s="22"/>
      <c r="J83" s="22"/>
      <c r="K83" s="22"/>
      <c r="L83" s="22"/>
    </row>
  </sheetData>
  <mergeCells count="72">
    <mergeCell ref="B17:B18"/>
    <mergeCell ref="B19:B21"/>
    <mergeCell ref="F5:F7"/>
    <mergeCell ref="F8:F10"/>
    <mergeCell ref="F11:F13"/>
    <mergeCell ref="F14:F16"/>
    <mergeCell ref="F17:F18"/>
    <mergeCell ref="F19:F21"/>
    <mergeCell ref="F26:F28"/>
    <mergeCell ref="F29:F31"/>
    <mergeCell ref="F32:F34"/>
    <mergeCell ref="F35:F37"/>
    <mergeCell ref="F38:F40"/>
    <mergeCell ref="F41:F42"/>
    <mergeCell ref="F74:F75"/>
    <mergeCell ref="F76:F77"/>
    <mergeCell ref="F78:F79"/>
    <mergeCell ref="F80:F81"/>
    <mergeCell ref="F47:F49"/>
    <mergeCell ref="F50:F52"/>
    <mergeCell ref="F53:F55"/>
    <mergeCell ref="F56:F57"/>
    <mergeCell ref="F65:F67"/>
    <mergeCell ref="F68:F70"/>
    <mergeCell ref="F71:F73"/>
    <mergeCell ref="F62:F64"/>
    <mergeCell ref="B26:B28"/>
    <mergeCell ref="C26:C28"/>
    <mergeCell ref="B29:B31"/>
    <mergeCell ref="C29:C31"/>
    <mergeCell ref="B32:B34"/>
    <mergeCell ref="C32:C34"/>
    <mergeCell ref="C35:C37"/>
    <mergeCell ref="C38:C40"/>
    <mergeCell ref="C5:C7"/>
    <mergeCell ref="C8:C10"/>
    <mergeCell ref="C11:C13"/>
    <mergeCell ref="C14:C16"/>
    <mergeCell ref="C17:C18"/>
    <mergeCell ref="C19:C21"/>
    <mergeCell ref="B35:B37"/>
    <mergeCell ref="B38:B40"/>
    <mergeCell ref="B41:B42"/>
    <mergeCell ref="B8:B10"/>
    <mergeCell ref="B5:B7"/>
    <mergeCell ref="B11:B13"/>
    <mergeCell ref="B14:B16"/>
    <mergeCell ref="C68:C70"/>
    <mergeCell ref="C71:C73"/>
    <mergeCell ref="C74:C75"/>
    <mergeCell ref="C76:C77"/>
    <mergeCell ref="C78:C79"/>
    <mergeCell ref="C80:C81"/>
    <mergeCell ref="C41:C42"/>
    <mergeCell ref="C47:C49"/>
    <mergeCell ref="C50:C52"/>
    <mergeCell ref="C53:C55"/>
    <mergeCell ref="C56:C57"/>
    <mergeCell ref="C62:C64"/>
    <mergeCell ref="C65:C67"/>
    <mergeCell ref="B71:B73"/>
    <mergeCell ref="B74:B75"/>
    <mergeCell ref="B76:B77"/>
    <mergeCell ref="B78:B79"/>
    <mergeCell ref="B80:B81"/>
    <mergeCell ref="B47:B49"/>
    <mergeCell ref="B50:B52"/>
    <mergeCell ref="B53:B55"/>
    <mergeCell ref="B56:B57"/>
    <mergeCell ref="B62:B64"/>
    <mergeCell ref="B65:B67"/>
    <mergeCell ref="B68:B7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32.75"/>
    <col customWidth="1" min="3" max="3" width="2.63"/>
  </cols>
  <sheetData>
    <row r="2" ht="484.5" customHeight="1">
      <c r="B2" s="160"/>
    </row>
    <row r="3">
      <c r="B3" s="161"/>
    </row>
    <row r="4">
      <c r="B4" s="161" t="s">
        <v>556</v>
      </c>
    </row>
    <row r="5">
      <c r="B5" s="16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6" max="6" width="49.63"/>
    <col customWidth="1" min="11" max="11" width="16.5"/>
    <col customWidth="1" min="12" max="12" width="20.5"/>
    <col customWidth="1" min="14" max="14" width="2.63"/>
  </cols>
  <sheetData>
    <row r="1">
      <c r="A1" s="22"/>
      <c r="B1" s="22"/>
      <c r="C1" s="22"/>
      <c r="D1" s="22"/>
      <c r="E1" s="22"/>
      <c r="F1" s="22"/>
      <c r="G1" s="22"/>
      <c r="H1" s="22"/>
      <c r="I1" s="22"/>
      <c r="J1" s="22"/>
      <c r="K1" s="22"/>
      <c r="L1" s="22"/>
      <c r="M1" s="22"/>
      <c r="N1" s="22"/>
    </row>
    <row r="2">
      <c r="B2" s="163" t="s">
        <v>557</v>
      </c>
      <c r="C2" s="115"/>
      <c r="D2" s="115"/>
      <c r="E2" s="115"/>
      <c r="F2" s="115"/>
      <c r="G2" s="115"/>
      <c r="H2" s="115"/>
      <c r="I2" s="115"/>
      <c r="J2" s="115"/>
      <c r="K2" s="115"/>
      <c r="L2" s="115"/>
      <c r="M2" s="48"/>
    </row>
    <row r="3">
      <c r="B3" s="163" t="s">
        <v>323</v>
      </c>
      <c r="C3" s="324" t="s">
        <v>324</v>
      </c>
      <c r="D3" s="324"/>
      <c r="E3" s="324" t="s">
        <v>326</v>
      </c>
      <c r="F3" s="324" t="s">
        <v>367</v>
      </c>
      <c r="G3" s="324" t="s">
        <v>557</v>
      </c>
      <c r="H3" s="324"/>
      <c r="I3" s="324"/>
      <c r="J3" s="324"/>
      <c r="K3" s="324"/>
      <c r="L3" s="324"/>
      <c r="M3" s="325"/>
    </row>
    <row r="4">
      <c r="B4" s="165"/>
      <c r="C4" s="165"/>
      <c r="D4" s="182"/>
      <c r="E4" s="182"/>
      <c r="F4" s="165"/>
      <c r="G4" s="165"/>
      <c r="H4" s="165"/>
      <c r="I4" s="165"/>
      <c r="J4" s="165"/>
      <c r="K4" s="165"/>
      <c r="L4" s="165"/>
      <c r="M4" s="165"/>
    </row>
    <row r="5">
      <c r="B5" s="165"/>
      <c r="C5" s="165"/>
      <c r="D5" s="185"/>
      <c r="E5" s="185"/>
      <c r="F5" s="165"/>
      <c r="G5" s="165"/>
      <c r="H5" s="165"/>
      <c r="I5" s="165"/>
      <c r="J5" s="165"/>
      <c r="K5" s="165"/>
      <c r="L5" s="165"/>
      <c r="M5" s="165"/>
    </row>
    <row r="6">
      <c r="B6" s="165"/>
      <c r="C6" s="165"/>
      <c r="D6" s="185"/>
      <c r="E6" s="185"/>
      <c r="F6" s="165"/>
      <c r="G6" s="165"/>
      <c r="H6" s="165"/>
      <c r="I6" s="165"/>
      <c r="J6" s="165"/>
      <c r="K6" s="165"/>
      <c r="L6" s="165"/>
      <c r="M6" s="165"/>
    </row>
    <row r="7">
      <c r="B7" s="165"/>
      <c r="C7" s="165"/>
      <c r="D7" s="185"/>
      <c r="E7" s="185"/>
      <c r="F7" s="165"/>
      <c r="G7" s="165"/>
      <c r="H7" s="165"/>
      <c r="I7" s="165"/>
      <c r="J7" s="165"/>
      <c r="K7" s="165"/>
      <c r="L7" s="165"/>
      <c r="M7" s="165"/>
    </row>
    <row r="8">
      <c r="B8" s="326"/>
      <c r="C8" s="326"/>
      <c r="D8" s="327"/>
      <c r="E8" s="327"/>
      <c r="F8" s="165"/>
      <c r="G8" s="165"/>
      <c r="H8" s="165"/>
      <c r="I8" s="165"/>
      <c r="J8" s="165"/>
      <c r="K8" s="165"/>
      <c r="L8" s="165"/>
      <c r="M8" s="165"/>
    </row>
    <row r="9">
      <c r="B9" s="165"/>
      <c r="C9" s="165"/>
      <c r="D9" s="165"/>
      <c r="E9" s="165"/>
      <c r="F9" s="165"/>
      <c r="G9" s="165"/>
      <c r="H9" s="165"/>
      <c r="I9" s="165"/>
      <c r="J9" s="165"/>
      <c r="K9" s="165"/>
      <c r="L9" s="165"/>
      <c r="M9" s="165"/>
    </row>
    <row r="10">
      <c r="B10" s="165"/>
      <c r="C10" s="165"/>
      <c r="D10" s="165"/>
      <c r="E10" s="165"/>
      <c r="F10" s="165"/>
      <c r="G10" s="165"/>
      <c r="H10" s="165"/>
      <c r="I10" s="165"/>
      <c r="J10" s="165"/>
      <c r="K10" s="165"/>
      <c r="L10" s="165"/>
      <c r="M10" s="165"/>
    </row>
    <row r="11">
      <c r="B11" s="165"/>
      <c r="C11" s="165"/>
      <c r="D11" s="165"/>
      <c r="E11" s="165"/>
      <c r="F11" s="165"/>
      <c r="G11" s="165"/>
      <c r="H11" s="165"/>
      <c r="I11" s="165"/>
      <c r="J11" s="165"/>
      <c r="K11" s="165"/>
      <c r="L11" s="165"/>
      <c r="M11" s="165"/>
    </row>
    <row r="12">
      <c r="B12" s="165"/>
      <c r="C12" s="165"/>
      <c r="D12" s="165"/>
      <c r="E12" s="165"/>
      <c r="F12" s="165"/>
      <c r="G12" s="165"/>
      <c r="H12" s="165"/>
      <c r="I12" s="165"/>
      <c r="J12" s="165"/>
      <c r="K12" s="165"/>
      <c r="L12" s="165"/>
      <c r="M12" s="165"/>
    </row>
    <row r="13">
      <c r="B13" s="165"/>
      <c r="C13" s="165"/>
      <c r="D13" s="165"/>
      <c r="E13" s="165"/>
      <c r="F13" s="165"/>
      <c r="G13" s="165"/>
      <c r="H13" s="165"/>
      <c r="I13" s="165"/>
      <c r="J13" s="165"/>
      <c r="K13" s="165"/>
      <c r="L13" s="165"/>
      <c r="M13" s="165"/>
    </row>
    <row r="14">
      <c r="A14" s="22"/>
      <c r="B14" s="22"/>
      <c r="C14" s="22"/>
      <c r="D14" s="22"/>
      <c r="E14" s="22"/>
      <c r="F14" s="22"/>
      <c r="G14" s="22"/>
      <c r="H14" s="22"/>
      <c r="I14" s="22"/>
      <c r="J14" s="22"/>
      <c r="K14" s="22"/>
      <c r="L14" s="22"/>
      <c r="M14" s="22"/>
      <c r="N14" s="22"/>
    </row>
  </sheetData>
  <mergeCells count="1">
    <mergeCell ref="B2:M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4">
      <c r="F14" s="156" t="s">
        <v>558</v>
      </c>
      <c r="G14" s="156" t="s">
        <v>558</v>
      </c>
    </row>
  </sheetData>
  <drawing r:id="rId1"/>
</worksheet>
</file>