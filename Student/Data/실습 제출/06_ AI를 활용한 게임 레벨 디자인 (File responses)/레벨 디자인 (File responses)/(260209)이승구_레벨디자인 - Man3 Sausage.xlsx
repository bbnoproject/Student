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\Desktop\기획캠프\퀘스트\조별과제\1조\레벨디자인\"/>
    </mc:Choice>
  </mc:AlternateContent>
  <xr:revisionPtr revIDLastSave="0" documentId="13_ncr:1_{E8C6E52A-5584-42EF-B01D-81575FAD7917}" xr6:coauthVersionLast="47" xr6:coauthVersionMax="47" xr10:uidLastSave="{00000000-0000-0000-0000-000000000000}"/>
  <bookViews>
    <workbookView xWindow="-120" yWindow="-120" windowWidth="29040" windowHeight="15720" xr2:uid="{ED654E3A-EF52-4AA4-A799-6423BA8D49EF}"/>
  </bookViews>
  <sheets>
    <sheet name="튜토리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0" i="2" l="1"/>
  <c r="V13" i="2" s="1"/>
  <c r="AC13" i="2" l="1"/>
  <c r="V6" i="2"/>
  <c r="AC6" i="2" s="1"/>
  <c r="AJ6" i="2" s="1"/>
  <c r="AJ13" i="2" s="1"/>
</calcChain>
</file>

<file path=xl/sharedStrings.xml><?xml version="1.0" encoding="utf-8"?>
<sst xmlns="http://schemas.openxmlformats.org/spreadsheetml/2006/main" count="162" uniqueCount="142">
  <si>
    <t>입구</t>
    <phoneticPr fontId="1" type="noConversion"/>
  </si>
  <si>
    <t>장애물</t>
    <phoneticPr fontId="1" type="noConversion"/>
  </si>
  <si>
    <t>규격 및 구조</t>
    <phoneticPr fontId="1" type="noConversion"/>
  </si>
  <si>
    <t>보물상자</t>
    <phoneticPr fontId="1" type="noConversion"/>
  </si>
  <si>
    <t>전투</t>
    <phoneticPr fontId="1" type="noConversion"/>
  </si>
  <si>
    <t>함정</t>
    <phoneticPr fontId="1" type="noConversion"/>
  </si>
  <si>
    <t>보스</t>
    <phoneticPr fontId="1" type="noConversion"/>
  </si>
  <si>
    <t>명칭</t>
    <phoneticPr fontId="1" type="noConversion"/>
  </si>
  <si>
    <t>구분</t>
    <phoneticPr fontId="1" type="noConversion"/>
  </si>
  <si>
    <t>역할</t>
    <phoneticPr fontId="1" type="noConversion"/>
  </si>
  <si>
    <t>플레이어 던전 클리어 전략 수립</t>
    <phoneticPr fontId="1" type="noConversion"/>
  </si>
  <si>
    <t>*(가정)각 타일은 15m로 구성하며 플레이어는 5m/s의 속도를 가진다.</t>
    <phoneticPr fontId="1" type="noConversion"/>
  </si>
  <si>
    <t>비전투 장애물 요소로 아이템을 활용해 극복</t>
    <phoneticPr fontId="1" type="noConversion"/>
  </si>
  <si>
    <t>던전 핵심 보상 목표</t>
    <phoneticPr fontId="1" type="noConversion"/>
  </si>
  <si>
    <t>전투 장애물</t>
    <phoneticPr fontId="1" type="noConversion"/>
  </si>
  <si>
    <t>던전 클리어 도움/방해</t>
    <phoneticPr fontId="1" type="noConversion"/>
  </si>
  <si>
    <t>던전 보상 가치</t>
    <phoneticPr fontId="1" type="noConversion"/>
  </si>
  <si>
    <t>일반</t>
    <phoneticPr fontId="1" type="noConversion"/>
  </si>
  <si>
    <t>플레이어 이동 경로</t>
    <phoneticPr fontId="1" type="noConversion"/>
  </si>
  <si>
    <t>상호작용 물체</t>
    <phoneticPr fontId="1" type="noConversion"/>
  </si>
  <si>
    <t>전투&amp;보물상자</t>
    <phoneticPr fontId="1" type="noConversion"/>
  </si>
  <si>
    <t>던전 진행 긴장감 유발</t>
    <phoneticPr fontId="1" type="noConversion"/>
  </si>
  <si>
    <t>인지 형태</t>
    <phoneticPr fontId="1" type="noConversion"/>
  </si>
  <si>
    <t>인지</t>
    <phoneticPr fontId="1" type="noConversion"/>
  </si>
  <si>
    <t>인지 불가</t>
    <phoneticPr fontId="1" type="noConversion"/>
  </si>
  <si>
    <t>확률성 인지</t>
    <phoneticPr fontId="1" type="noConversion"/>
  </si>
  <si>
    <t>기대효과</t>
    <phoneticPr fontId="1" type="noConversion"/>
  </si>
  <si>
    <t>1'1</t>
    <phoneticPr fontId="1" type="noConversion"/>
  </si>
  <si>
    <t>1'2</t>
    <phoneticPr fontId="1" type="noConversion"/>
  </si>
  <si>
    <t>1'3</t>
    <phoneticPr fontId="1" type="noConversion"/>
  </si>
  <si>
    <t>1'4</t>
    <phoneticPr fontId="1" type="noConversion"/>
  </si>
  <si>
    <t>2'1</t>
    <phoneticPr fontId="1" type="noConversion"/>
  </si>
  <si>
    <t>2'2</t>
    <phoneticPr fontId="1" type="noConversion"/>
  </si>
  <si>
    <t>2'3</t>
    <phoneticPr fontId="1" type="noConversion"/>
  </si>
  <si>
    <t>2'4</t>
    <phoneticPr fontId="1" type="noConversion"/>
  </si>
  <si>
    <t>3'1'1</t>
    <phoneticPr fontId="1" type="noConversion"/>
  </si>
  <si>
    <t>3'1'2</t>
    <phoneticPr fontId="1" type="noConversion"/>
  </si>
  <si>
    <t>3'1'3</t>
    <phoneticPr fontId="1" type="noConversion"/>
  </si>
  <si>
    <t>3'1'4</t>
    <phoneticPr fontId="1" type="noConversion"/>
  </si>
  <si>
    <t>3'2'1</t>
    <phoneticPr fontId="1" type="noConversion"/>
  </si>
  <si>
    <t>3'2'2</t>
    <phoneticPr fontId="1" type="noConversion"/>
  </si>
  <si>
    <t>3'2'3</t>
    <phoneticPr fontId="1" type="noConversion"/>
  </si>
  <si>
    <t>3'2'4</t>
    <phoneticPr fontId="1" type="noConversion"/>
  </si>
  <si>
    <t>4'1</t>
    <phoneticPr fontId="1" type="noConversion"/>
  </si>
  <si>
    <t>4'2</t>
    <phoneticPr fontId="1" type="noConversion"/>
  </si>
  <si>
    <t>4'3</t>
    <phoneticPr fontId="1" type="noConversion"/>
  </si>
  <si>
    <t>4'4</t>
    <phoneticPr fontId="1" type="noConversion"/>
  </si>
  <si>
    <t>5'1</t>
    <phoneticPr fontId="1" type="noConversion"/>
  </si>
  <si>
    <t>5'2</t>
    <phoneticPr fontId="1" type="noConversion"/>
  </si>
  <si>
    <t>5'3</t>
    <phoneticPr fontId="1" type="noConversion"/>
  </si>
  <si>
    <t>5'4</t>
    <phoneticPr fontId="1" type="noConversion"/>
  </si>
  <si>
    <t>6'1</t>
    <phoneticPr fontId="1" type="noConversion"/>
  </si>
  <si>
    <t>6'2</t>
    <phoneticPr fontId="1" type="noConversion"/>
  </si>
  <si>
    <t>6'3</t>
    <phoneticPr fontId="1" type="noConversion"/>
  </si>
  <si>
    <t>6'4</t>
    <phoneticPr fontId="1" type="noConversion"/>
  </si>
  <si>
    <t>7'1</t>
    <phoneticPr fontId="1" type="noConversion"/>
  </si>
  <si>
    <t>7'2</t>
    <phoneticPr fontId="1" type="noConversion"/>
  </si>
  <si>
    <t>7'3</t>
    <phoneticPr fontId="1" type="noConversion"/>
  </si>
  <si>
    <t>7'4</t>
    <phoneticPr fontId="1" type="noConversion"/>
  </si>
  <si>
    <t>등장 오브젝트</t>
    <phoneticPr fontId="1" type="noConversion"/>
  </si>
  <si>
    <t>튜토리얼
역할 정리</t>
    <phoneticPr fontId="1" type="noConversion"/>
  </si>
  <si>
    <t>튜토리얼 던전 평면도</t>
    <phoneticPr fontId="1" type="noConversion"/>
  </si>
  <si>
    <t>없음</t>
    <phoneticPr fontId="1" type="noConversion"/>
  </si>
  <si>
    <t>돌 더미</t>
    <phoneticPr fontId="1" type="noConversion"/>
  </si>
  <si>
    <t>송곳 함정</t>
    <phoneticPr fontId="1" type="noConversion"/>
  </si>
  <si>
    <t>성수
가방
열쇠</t>
    <phoneticPr fontId="1" type="noConversion"/>
  </si>
  <si>
    <t>조건 부담 없이 게임 분위기와 시점에 적응
긴장감 없는 출발로 이후 대비 효과 강화</t>
    <phoneticPr fontId="1" type="noConversion"/>
  </si>
  <si>
    <t>전투 규칙, 턴 구조, 기본 스킬 사용 학습으로 전투 자신감 형성
플레이어에게 전투 성공 경험</t>
    <phoneticPr fontId="1" type="noConversion"/>
  </si>
  <si>
    <t>진행 경로에 대한 선택지 인식
탐험 구조의 이해와 결과를 예측하는 준비 단계</t>
    <phoneticPr fontId="1" type="noConversion"/>
  </si>
  <si>
    <t>전투 리스크 상승과 보상 상승을 동시에 제시
위험 대비 보상 판단 시작</t>
    <phoneticPr fontId="1" type="noConversion"/>
  </si>
  <si>
    <t>플레이어가 휴식하거나 전투 휴식을 통한 회복 기능 인지</t>
    <phoneticPr fontId="1" type="noConversion"/>
  </si>
  <si>
    <t>이동 경로에 적이 등장 할 수 있는 시스템을 학습</t>
    <phoneticPr fontId="1" type="noConversion"/>
  </si>
  <si>
    <t>던전 진입 전 비품 구매에 대한 중요성 학습</t>
    <phoneticPr fontId="1" type="noConversion"/>
  </si>
  <si>
    <t>던전 이동 시 긴장감 유지 필요성 학습</t>
    <phoneticPr fontId="1" type="noConversion"/>
  </si>
  <si>
    <t>상호 작용을 통해 던전 진행에 도움 되는 물품 획득이 가능하다는 점 학습</t>
    <phoneticPr fontId="1" type="noConversion"/>
  </si>
  <si>
    <t>새로운 형태로 영향을 끼치는 상호작용 물체(반영구 버프/디버프) 인지
보상에 대한 플레이어의 사고 방식 전환</t>
    <phoneticPr fontId="1" type="noConversion"/>
  </si>
  <si>
    <t>강력한 몬스터와 보상이 비례하는 점을 학습
시스템적으로 막은건 아니지만 사실상 던전의 핵심 탐험 지점임을 학습</t>
    <phoneticPr fontId="1" type="noConversion"/>
  </si>
  <si>
    <t>기본적인 던전 보싱 구조와 플레이 방법 그리고 개입 가능한 전략적 선택지를 학습하고
던전에서 등장하는 다양한 오브젝트들과 탐험 준비의 중요성 그리고 그 영향을 학습</t>
    <phoneticPr fontId="1" type="noConversion"/>
  </si>
  <si>
    <t>휴식과 긴 이동 거리는 횃불을 소모 시키는 등 또다른 리스크인 점을 학습</t>
    <phoneticPr fontId="1" type="noConversion"/>
  </si>
  <si>
    <t>이름</t>
    <phoneticPr fontId="1" type="noConversion"/>
  </si>
  <si>
    <t>해골 폭도</t>
    <phoneticPr fontId="1" type="noConversion"/>
  </si>
  <si>
    <t>해골 병사</t>
    <phoneticPr fontId="1" type="noConversion"/>
  </si>
  <si>
    <t>해골 수비병</t>
    <phoneticPr fontId="1" type="noConversion"/>
  </si>
  <si>
    <t>수도사 광신도</t>
    <phoneticPr fontId="1" type="noConversion"/>
  </si>
  <si>
    <t>해골 보좌관</t>
    <phoneticPr fontId="1" type="noConversion"/>
  </si>
  <si>
    <t>해골 석궁병</t>
    <phoneticPr fontId="1" type="noConversion"/>
  </si>
  <si>
    <t>배치1</t>
    <phoneticPr fontId="1" type="noConversion"/>
  </si>
  <si>
    <t>배치2</t>
    <phoneticPr fontId="1" type="noConversion"/>
  </si>
  <si>
    <t>배치3</t>
    <phoneticPr fontId="1" type="noConversion"/>
  </si>
  <si>
    <t>배치4</t>
    <phoneticPr fontId="1" type="noConversion"/>
  </si>
  <si>
    <t>스트레스</t>
    <phoneticPr fontId="1" type="noConversion"/>
  </si>
  <si>
    <t>원거리</t>
    <phoneticPr fontId="1" type="noConversion"/>
  </si>
  <si>
    <t>공격
타입</t>
    <phoneticPr fontId="1" type="noConversion"/>
  </si>
  <si>
    <t>수비</t>
    <phoneticPr fontId="1" type="noConversion"/>
  </si>
  <si>
    <t>공격</t>
    <phoneticPr fontId="1" type="noConversion"/>
  </si>
  <si>
    <t>폭도 / 병사 / 석궁병
중형 보상 상자</t>
    <phoneticPr fontId="1" type="noConversion"/>
  </si>
  <si>
    <t>폭도 * 2
소형 보상 상자 * 1</t>
    <phoneticPr fontId="1" type="noConversion"/>
  </si>
  <si>
    <t>병사*2 / 석궁병
분수</t>
    <phoneticPr fontId="1" type="noConversion"/>
  </si>
  <si>
    <t>수비병 / 병사
보좌관 / 석궁병
대형 보상 상자</t>
    <phoneticPr fontId="1" type="noConversion"/>
  </si>
  <si>
    <t xml:space="preserve"> 병사*2 / 석궁병
중형 보상 상자</t>
    <phoneticPr fontId="1" type="noConversion"/>
  </si>
  <si>
    <t>근거리</t>
    <phoneticPr fontId="1" type="noConversion"/>
  </si>
  <si>
    <t>유닙
타입</t>
    <phoneticPr fontId="1" type="noConversion"/>
  </si>
  <si>
    <t>자루</t>
    <phoneticPr fontId="1" type="noConversion"/>
  </si>
  <si>
    <t>횃불</t>
    <phoneticPr fontId="1" type="noConversion"/>
  </si>
  <si>
    <t>가방</t>
    <phoneticPr fontId="1" type="noConversion"/>
  </si>
  <si>
    <t>성스러운 분수대</t>
    <phoneticPr fontId="1" type="noConversion"/>
  </si>
  <si>
    <t>보상</t>
    <phoneticPr fontId="1" type="noConversion"/>
  </si>
  <si>
    <t>횃불 * 1</t>
    <phoneticPr fontId="1" type="noConversion"/>
  </si>
  <si>
    <t>삽 / 금화*50 / 골동품*2</t>
    <phoneticPr fontId="1" type="noConversion"/>
  </si>
  <si>
    <t>체력회복 5</t>
    <phoneticPr fontId="1" type="noConversion"/>
  </si>
  <si>
    <t>식량 * 10 / 금화*250 / 비취</t>
    <phoneticPr fontId="1" type="noConversion"/>
  </si>
  <si>
    <t>소형 보상 상자</t>
    <phoneticPr fontId="1" type="noConversion"/>
  </si>
  <si>
    <t>성수 / 골동품*3</t>
    <phoneticPr fontId="1" type="noConversion"/>
  </si>
  <si>
    <t>능력 배치도</t>
    <phoneticPr fontId="1" type="noConversion"/>
  </si>
  <si>
    <t>횃불 규칙</t>
    <phoneticPr fontId="1" type="noConversion"/>
  </si>
  <si>
    <t>증가 규칙</t>
    <phoneticPr fontId="1" type="noConversion"/>
  </si>
  <si>
    <t>감소 규칙</t>
    <phoneticPr fontId="1" type="noConversion"/>
  </si>
  <si>
    <t>타일 이동시 -6</t>
    <phoneticPr fontId="1" type="noConversion"/>
  </si>
  <si>
    <t>역주행시 -1</t>
    <phoneticPr fontId="1" type="noConversion"/>
  </si>
  <si>
    <t>횃불 아이템 사용시 +25</t>
    <phoneticPr fontId="1" type="noConversion"/>
  </si>
  <si>
    <t>캠핑 시 100으로 고정</t>
    <phoneticPr fontId="1" type="noConversion"/>
  </si>
  <si>
    <t>눈부심</t>
    <phoneticPr fontId="1" type="noConversion"/>
  </si>
  <si>
    <t>희미함</t>
    <phoneticPr fontId="1" type="noConversion"/>
  </si>
  <si>
    <t>어스름</t>
    <phoneticPr fontId="1" type="noConversion"/>
  </si>
  <si>
    <t>어둠</t>
    <phoneticPr fontId="1" type="noConversion"/>
  </si>
  <si>
    <t>칠흑</t>
    <phoneticPr fontId="1" type="noConversion"/>
  </si>
  <si>
    <t>정찰 확률 및 기습 확률 상승, 영웅 회피 보너스</t>
    <phoneticPr fontId="1" type="noConversion"/>
  </si>
  <si>
    <t>스트레스 수치 약간 상승</t>
    <phoneticPr fontId="1" type="noConversion"/>
  </si>
  <si>
    <t>몬스터 공격력/명중 상승, 전리품 증가, 영웅 치명타 상승</t>
    <phoneticPr fontId="1" type="noConversion"/>
  </si>
  <si>
    <t>스트레스 대폭 상승, 전리품 대폭 증가</t>
    <phoneticPr fontId="1" type="noConversion"/>
  </si>
  <si>
    <t>몬스터 대폭 강화, 전리품 최대, 특수 몬스터 등장 확률 적용</t>
    <phoneticPr fontId="1" type="noConversion"/>
  </si>
  <si>
    <t>단계</t>
    <phoneticPr fontId="1" type="noConversion"/>
  </si>
  <si>
    <t>이상</t>
    <phoneticPr fontId="1" type="noConversion"/>
  </si>
  <si>
    <t>이하</t>
    <phoneticPr fontId="1" type="noConversion"/>
  </si>
  <si>
    <t>설멍</t>
    <phoneticPr fontId="1" type="noConversion"/>
  </si>
  <si>
    <t>횃불 수치</t>
    <phoneticPr fontId="1" type="noConversion"/>
  </si>
  <si>
    <t>횃불
밝기</t>
    <phoneticPr fontId="1" type="noConversion"/>
  </si>
  <si>
    <t>방 번호</t>
    <phoneticPr fontId="1" type="noConversion"/>
  </si>
  <si>
    <t>튜토리얼 던전 지역 별 분석</t>
    <phoneticPr fontId="1" type="noConversion"/>
  </si>
  <si>
    <t>시작 지점</t>
    <phoneticPr fontId="1" type="noConversion"/>
  </si>
  <si>
    <t>5
m</t>
    <phoneticPr fontId="1" type="noConversion"/>
  </si>
  <si>
    <t>5m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</si>
</sst>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Noto Sans KR"/>
      <family val="3"/>
      <charset val="129"/>
    </font>
    <font>
      <sz val="8"/>
      <color theme="1"/>
      <name val="Noto Sans KR"/>
      <family val="3"/>
      <charset val="129"/>
    </font>
    <font>
      <b/>
      <sz val="8"/>
      <color theme="1"/>
      <name val="Noto Sans KR"/>
      <family val="3"/>
      <charset val="129"/>
    </font>
    <font>
      <sz val="16"/>
      <color theme="1"/>
      <name val="Noto Sans KR"/>
      <family val="3"/>
      <charset val="129"/>
    </font>
    <font>
      <b/>
      <sz val="16"/>
      <color theme="0"/>
      <name val="Noto Sans KR"/>
      <family val="3"/>
      <charset val="129"/>
    </font>
    <font>
      <b/>
      <sz val="16"/>
      <color theme="1"/>
      <name val="Noto Sans KR"/>
      <family val="3"/>
      <charset val="129"/>
    </font>
    <font>
      <sz val="8"/>
      <color theme="0"/>
      <name val="Noto Sans KR"/>
      <family val="3"/>
      <charset val="129"/>
    </font>
    <font>
      <b/>
      <sz val="6"/>
      <color theme="1"/>
      <name val="Noto Sans KR"/>
      <family val="3"/>
      <charset val="129"/>
    </font>
    <font>
      <sz val="5"/>
      <color theme="1"/>
      <name val="Noto Sans KR"/>
      <family val="3"/>
      <charset val="129"/>
    </font>
    <font>
      <b/>
      <sz val="5"/>
      <color theme="0"/>
      <name val="Noto Sans KR"/>
      <family val="3"/>
      <charset val="129"/>
    </font>
    <font>
      <b/>
      <sz val="5"/>
      <color theme="1"/>
      <name val="Noto Sans KR"/>
      <family val="3"/>
      <charset val="129"/>
    </font>
    <font>
      <b/>
      <sz val="8"/>
      <color theme="0"/>
      <name val="Noto Sans KR"/>
      <family val="3"/>
      <charset val="129"/>
    </font>
    <font>
      <sz val="20"/>
      <color theme="1"/>
      <name val="Noto Sans K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7">
    <xf numFmtId="0" fontId="0" fillId="0" borderId="0" xfId="0">
      <alignment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1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11" borderId="1" xfId="0" applyNumberFormat="1" applyFont="1" applyFill="1" applyBorder="1" applyAlignment="1">
      <alignment horizontal="center" vertical="center"/>
    </xf>
    <xf numFmtId="0" fontId="3" fillId="10" borderId="1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0" fontId="8" fillId="9" borderId="1" xfId="0" applyNumberFormat="1" applyFont="1" applyFill="1" applyBorder="1" applyAlignment="1">
      <alignment horizontal="center" vertical="center"/>
    </xf>
    <xf numFmtId="0" fontId="7" fillId="10" borderId="4" xfId="0" applyNumberFormat="1" applyFont="1" applyFill="1" applyBorder="1" applyAlignment="1">
      <alignment horizontal="center" vertical="center"/>
    </xf>
    <xf numFmtId="0" fontId="7" fillId="10" borderId="5" xfId="0" applyNumberFormat="1" applyFont="1" applyFill="1" applyBorder="1" applyAlignment="1">
      <alignment horizontal="center" vertical="center"/>
    </xf>
    <xf numFmtId="0" fontId="7" fillId="10" borderId="7" xfId="0" applyNumberFormat="1" applyFont="1" applyFill="1" applyBorder="1" applyAlignment="1">
      <alignment horizontal="center" vertical="center"/>
    </xf>
    <xf numFmtId="0" fontId="7" fillId="10" borderId="0" xfId="0" applyNumberFormat="1" applyFont="1" applyFill="1" applyBorder="1" applyAlignment="1">
      <alignment horizontal="center" vertical="center"/>
    </xf>
    <xf numFmtId="0" fontId="7" fillId="10" borderId="9" xfId="0" applyNumberFormat="1" applyFont="1" applyFill="1" applyBorder="1" applyAlignment="1">
      <alignment horizontal="center" vertical="center"/>
    </xf>
    <xf numFmtId="0" fontId="7" fillId="10" borderId="10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/>
    </xf>
    <xf numFmtId="0" fontId="6" fillId="6" borderId="5" xfId="0" applyNumberFormat="1" applyFont="1" applyFill="1" applyBorder="1" applyAlignment="1">
      <alignment horizontal="center" vertical="center"/>
    </xf>
    <xf numFmtId="0" fontId="6" fillId="6" borderId="7" xfId="0" applyNumberFormat="1" applyFont="1" applyFill="1" applyBorder="1" applyAlignment="1">
      <alignment horizontal="center" vertical="center"/>
    </xf>
    <xf numFmtId="0" fontId="6" fillId="6" borderId="0" xfId="0" applyNumberFormat="1" applyFont="1" applyFill="1" applyBorder="1" applyAlignment="1">
      <alignment horizontal="center" vertical="center"/>
    </xf>
    <xf numFmtId="0" fontId="6" fillId="6" borderId="9" xfId="0" applyNumberFormat="1" applyFont="1" applyFill="1" applyBorder="1" applyAlignment="1">
      <alignment horizontal="center" vertical="center"/>
    </xf>
    <xf numFmtId="0" fontId="6" fillId="6" borderId="10" xfId="0" applyNumberFormat="1" applyFont="1" applyFill="1" applyBorder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6" fillId="2" borderId="0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/>
    </xf>
    <xf numFmtId="0" fontId="6" fillId="2" borderId="7" xfId="0" applyNumberFormat="1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>
      <alignment horizontal="center" vertical="center"/>
    </xf>
    <xf numFmtId="0" fontId="6" fillId="2" borderId="10" xfId="0" applyNumberFormat="1" applyFont="1" applyFill="1" applyBorder="1" applyAlignment="1">
      <alignment horizontal="center" vertical="center"/>
    </xf>
    <xf numFmtId="0" fontId="3" fillId="10" borderId="1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3" fillId="10" borderId="3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7" fillId="7" borderId="0" xfId="0" applyNumberFormat="1" applyFont="1" applyFill="1" applyBorder="1" applyAlignment="1">
      <alignment horizontal="center" vertical="center"/>
    </xf>
    <xf numFmtId="0" fontId="7" fillId="7" borderId="4" xfId="0" applyNumberFormat="1" applyFont="1" applyFill="1" applyBorder="1" applyAlignment="1">
      <alignment horizontal="center" vertical="center"/>
    </xf>
    <xf numFmtId="0" fontId="7" fillId="7" borderId="5" xfId="0" applyNumberFormat="1" applyFont="1" applyFill="1" applyBorder="1" applyAlignment="1">
      <alignment horizontal="center" vertical="center"/>
    </xf>
    <xf numFmtId="0" fontId="7" fillId="7" borderId="7" xfId="0" applyNumberFormat="1" applyFont="1" applyFill="1" applyBorder="1" applyAlignment="1">
      <alignment horizontal="center" vertical="center"/>
    </xf>
    <xf numFmtId="0" fontId="7" fillId="7" borderId="9" xfId="0" applyNumberFormat="1" applyFont="1" applyFill="1" applyBorder="1" applyAlignment="1">
      <alignment horizontal="center" vertical="center"/>
    </xf>
    <xf numFmtId="0" fontId="7" fillId="7" borderId="10" xfId="0" applyNumberFormat="1" applyFont="1" applyFill="1" applyBorder="1" applyAlignment="1">
      <alignment horizontal="center" vertical="center"/>
    </xf>
    <xf numFmtId="0" fontId="3" fillId="10" borderId="14" xfId="0" applyNumberFormat="1" applyFont="1" applyFill="1" applyBorder="1" applyAlignment="1">
      <alignment horizontal="center" vertical="center"/>
    </xf>
    <xf numFmtId="0" fontId="8" fillId="4" borderId="14" xfId="0" applyNumberFormat="1" applyFont="1" applyFill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11" fillId="6" borderId="6" xfId="0" applyNumberFormat="1" applyFont="1" applyFill="1" applyBorder="1" applyAlignment="1">
      <alignment horizontal="center" vertical="center"/>
    </xf>
    <xf numFmtId="0" fontId="11" fillId="6" borderId="8" xfId="0" applyNumberFormat="1" applyFont="1" applyFill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2" fillId="10" borderId="6" xfId="0" applyNumberFormat="1" applyFont="1" applyFill="1" applyBorder="1" applyAlignment="1">
      <alignment horizontal="center" vertical="center"/>
    </xf>
    <xf numFmtId="0" fontId="12" fillId="10" borderId="8" xfId="0" applyNumberFormat="1" applyFont="1" applyFill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11" fillId="2" borderId="6" xfId="0" applyNumberFormat="1" applyFont="1" applyFill="1" applyBorder="1" applyAlignment="1">
      <alignment horizontal="center" vertical="center"/>
    </xf>
    <xf numFmtId="0" fontId="11" fillId="2" borderId="8" xfId="0" applyNumberFormat="1" applyFont="1" applyFill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2" fillId="7" borderId="6" xfId="0" applyNumberFormat="1" applyFont="1" applyFill="1" applyBorder="1" applyAlignment="1">
      <alignment horizontal="center" vertical="center"/>
    </xf>
    <xf numFmtId="0" fontId="12" fillId="7" borderId="8" xfId="0" applyNumberFormat="1" applyFont="1" applyFill="1" applyBorder="1" applyAlignment="1">
      <alignment horizontal="center" vertical="center"/>
    </xf>
    <xf numFmtId="0" fontId="13" fillId="6" borderId="2" xfId="0" applyNumberFormat="1" applyFont="1" applyFill="1" applyBorder="1" applyAlignment="1">
      <alignment horizontal="center" vertical="center"/>
    </xf>
    <xf numFmtId="0" fontId="4" fillId="10" borderId="2" xfId="0" applyNumberFormat="1" applyFont="1" applyFill="1" applyBorder="1" applyAlignment="1">
      <alignment horizontal="center" vertical="center"/>
    </xf>
    <xf numFmtId="0" fontId="13" fillId="2" borderId="2" xfId="0" applyNumberFormat="1" applyFont="1" applyFill="1" applyBorder="1" applyAlignment="1">
      <alignment horizontal="center" vertical="center"/>
    </xf>
    <xf numFmtId="0" fontId="4" fillId="7" borderId="2" xfId="0" applyNumberFormat="1" applyFont="1" applyFill="1" applyBorder="1" applyAlignment="1">
      <alignment horizontal="center" vertical="center"/>
    </xf>
    <xf numFmtId="0" fontId="3" fillId="15" borderId="4" xfId="0" applyNumberFormat="1" applyFont="1" applyFill="1" applyBorder="1" applyAlignment="1">
      <alignment horizontal="center" vertical="center"/>
    </xf>
    <xf numFmtId="0" fontId="3" fillId="15" borderId="5" xfId="0" applyNumberFormat="1" applyFont="1" applyFill="1" applyBorder="1" applyAlignment="1">
      <alignment horizontal="center" vertical="center"/>
    </xf>
    <xf numFmtId="0" fontId="10" fillId="15" borderId="5" xfId="0" applyNumberFormat="1" applyFont="1" applyFill="1" applyBorder="1" applyAlignment="1">
      <alignment horizontal="center" vertical="center"/>
    </xf>
    <xf numFmtId="0" fontId="3" fillId="15" borderId="6" xfId="0" applyNumberFormat="1" applyFont="1" applyFill="1" applyBorder="1" applyAlignment="1">
      <alignment horizontal="center" vertical="center"/>
    </xf>
    <xf numFmtId="0" fontId="3" fillId="15" borderId="7" xfId="0" applyNumberFormat="1" applyFont="1" applyFill="1" applyBorder="1" applyAlignment="1">
      <alignment horizontal="center" vertical="center"/>
    </xf>
    <xf numFmtId="0" fontId="3" fillId="15" borderId="0" xfId="0" applyNumberFormat="1" applyFont="1" applyFill="1" applyBorder="1" applyAlignment="1">
      <alignment horizontal="center" vertical="center"/>
    </xf>
    <xf numFmtId="0" fontId="10" fillId="15" borderId="0" xfId="0" applyNumberFormat="1" applyFont="1" applyFill="1" applyBorder="1" applyAlignment="1">
      <alignment horizontal="center" vertical="center"/>
    </xf>
    <xf numFmtId="0" fontId="3" fillId="15" borderId="8" xfId="0" applyNumberFormat="1" applyFont="1" applyFill="1" applyBorder="1" applyAlignment="1">
      <alignment horizontal="center" vertical="center"/>
    </xf>
    <xf numFmtId="0" fontId="3" fillId="15" borderId="9" xfId="0" applyNumberFormat="1" applyFont="1" applyFill="1" applyBorder="1" applyAlignment="1">
      <alignment horizontal="center" vertical="center"/>
    </xf>
    <xf numFmtId="0" fontId="3" fillId="15" borderId="10" xfId="0" applyNumberFormat="1" applyFont="1" applyFill="1" applyBorder="1" applyAlignment="1">
      <alignment horizontal="center" vertical="center"/>
    </xf>
    <xf numFmtId="0" fontId="10" fillId="15" borderId="1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7" xfId="0" applyNumberFormat="1" applyFont="1" applyBorder="1" applyAlignment="1">
      <alignment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8" fillId="9" borderId="1" xfId="0" applyNumberFormat="1" applyFont="1" applyFill="1" applyBorder="1" applyAlignment="1">
      <alignment horizontal="center" vertical="center" wrapText="1"/>
    </xf>
    <xf numFmtId="0" fontId="8" fillId="9" borderId="1" xfId="0" applyNumberFormat="1" applyFont="1" applyFill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0" fontId="4" fillId="0" borderId="1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14" fillId="15" borderId="0" xfId="0" applyNumberFormat="1" applyFont="1" applyFill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8" fillId="12" borderId="1" xfId="0" applyNumberFormat="1" applyFont="1" applyFill="1" applyBorder="1" applyAlignment="1">
      <alignment horizontal="center" vertical="center" wrapText="1"/>
    </xf>
    <xf numFmtId="0" fontId="8" fillId="12" borderId="1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 wrapText="1"/>
    </xf>
    <xf numFmtId="0" fontId="14" fillId="0" borderId="1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5AC2-4495-483D-8011-D7AE0CC3BF81}">
  <dimension ref="B2:BH42"/>
  <sheetViews>
    <sheetView tabSelected="1" topLeftCell="A4" zoomScaleNormal="100" workbookViewId="0">
      <selection activeCell="AF15" sqref="AF15"/>
    </sheetView>
  </sheetViews>
  <sheetFormatPr defaultColWidth="3.625" defaultRowHeight="19.5" customHeight="1" x14ac:dyDescent="0.3"/>
  <cols>
    <col min="1" max="21" width="3.625" style="1"/>
    <col min="22" max="22" width="3.625" style="74"/>
    <col min="23" max="28" width="3.625" style="1"/>
    <col min="29" max="29" width="3.625" style="74"/>
    <col min="30" max="35" width="3.625" style="1"/>
    <col min="36" max="36" width="3.625" style="74"/>
    <col min="37" max="59" width="3.625" style="1"/>
    <col min="60" max="60" width="3.625" style="1" customWidth="1"/>
    <col min="61" max="16384" width="3.625" style="1"/>
  </cols>
  <sheetData>
    <row r="2" spans="2:60" ht="19.5" customHeight="1" x14ac:dyDescent="0.3">
      <c r="B2" s="99" t="s">
        <v>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2"/>
      <c r="S2" s="99" t="s">
        <v>61</v>
      </c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M2" s="113" t="s">
        <v>138</v>
      </c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5"/>
      <c r="BH2" s="95"/>
    </row>
    <row r="3" spans="2:60" ht="19.5" customHeight="1" x14ac:dyDescent="0.3">
      <c r="B3" s="3" t="s">
        <v>8</v>
      </c>
      <c r="C3" s="99" t="s">
        <v>7</v>
      </c>
      <c r="D3" s="99"/>
      <c r="E3" s="99"/>
      <c r="F3" s="99" t="s">
        <v>9</v>
      </c>
      <c r="G3" s="99"/>
      <c r="H3" s="99"/>
      <c r="I3" s="99"/>
      <c r="J3" s="99"/>
      <c r="K3" s="99"/>
      <c r="L3" s="99"/>
      <c r="M3" s="99"/>
      <c r="N3" s="99"/>
      <c r="O3" s="99"/>
      <c r="P3" s="99" t="s">
        <v>22</v>
      </c>
      <c r="Q3" s="99"/>
      <c r="R3" s="2"/>
      <c r="S3" s="15"/>
      <c r="T3" s="26"/>
      <c r="U3" s="26"/>
      <c r="V3" s="64"/>
      <c r="W3" s="26"/>
      <c r="X3" s="26"/>
      <c r="Y3" s="26"/>
      <c r="Z3" s="26"/>
      <c r="AA3" s="26"/>
      <c r="AB3" s="26"/>
      <c r="AC3" s="64"/>
      <c r="AD3" s="26"/>
      <c r="AE3" s="26"/>
      <c r="AF3" s="26"/>
      <c r="AG3" s="26"/>
      <c r="AH3" s="26"/>
      <c r="AI3" s="26"/>
      <c r="AJ3" s="64"/>
      <c r="AK3" s="16"/>
      <c r="AM3" s="99" t="s">
        <v>8</v>
      </c>
      <c r="AN3" s="99"/>
      <c r="AO3" s="113" t="s">
        <v>59</v>
      </c>
      <c r="AP3" s="114"/>
      <c r="AQ3" s="114"/>
      <c r="AR3" s="114"/>
      <c r="AS3" s="115"/>
      <c r="AT3" s="99" t="s">
        <v>26</v>
      </c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6"/>
    </row>
    <row r="4" spans="2:60" ht="19.5" customHeight="1" x14ac:dyDescent="0.3">
      <c r="B4" s="4"/>
      <c r="C4" s="100" t="s">
        <v>17</v>
      </c>
      <c r="D4" s="100"/>
      <c r="E4" s="100"/>
      <c r="F4" s="100" t="s">
        <v>18</v>
      </c>
      <c r="G4" s="100"/>
      <c r="H4" s="100"/>
      <c r="I4" s="100"/>
      <c r="J4" s="100"/>
      <c r="K4" s="100"/>
      <c r="L4" s="100"/>
      <c r="M4" s="100"/>
      <c r="N4" s="100"/>
      <c r="O4" s="100"/>
      <c r="P4" s="100" t="s">
        <v>23</v>
      </c>
      <c r="Q4" s="100"/>
      <c r="R4" s="5"/>
      <c r="S4" s="17"/>
      <c r="T4" s="36"/>
      <c r="U4" s="37"/>
      <c r="V4" s="65"/>
      <c r="W4" s="5"/>
      <c r="X4" s="5"/>
      <c r="Y4" s="5"/>
      <c r="Z4" s="5"/>
      <c r="AA4" s="30"/>
      <c r="AB4" s="31"/>
      <c r="AC4" s="68"/>
      <c r="AD4" s="5"/>
      <c r="AE4" s="5"/>
      <c r="AF4" s="5"/>
      <c r="AG4" s="5"/>
      <c r="AH4" s="30"/>
      <c r="AI4" s="31"/>
      <c r="AJ4" s="68"/>
      <c r="AK4" s="18"/>
      <c r="AM4" s="100">
        <v>1</v>
      </c>
      <c r="AN4" s="100"/>
      <c r="AO4" s="110" t="s">
        <v>62</v>
      </c>
      <c r="AP4" s="102"/>
      <c r="AQ4" s="102"/>
      <c r="AR4" s="102"/>
      <c r="AS4" s="103"/>
      <c r="AT4" s="107" t="s">
        <v>66</v>
      </c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</row>
    <row r="5" spans="2:60" ht="19.5" customHeight="1" x14ac:dyDescent="0.3">
      <c r="B5" s="6"/>
      <c r="C5" s="100" t="s">
        <v>0</v>
      </c>
      <c r="D5" s="100"/>
      <c r="E5" s="100"/>
      <c r="F5" s="100" t="s">
        <v>139</v>
      </c>
      <c r="G5" s="100"/>
      <c r="H5" s="100"/>
      <c r="I5" s="100"/>
      <c r="J5" s="100"/>
      <c r="K5" s="100"/>
      <c r="L5" s="100"/>
      <c r="M5" s="100"/>
      <c r="N5" s="100"/>
      <c r="O5" s="100"/>
      <c r="P5" s="100" t="s">
        <v>23</v>
      </c>
      <c r="Q5" s="100"/>
      <c r="R5" s="5"/>
      <c r="S5" s="17"/>
      <c r="T5" s="38"/>
      <c r="U5" s="39">
        <v>4</v>
      </c>
      <c r="V5" s="66"/>
      <c r="W5" s="51" t="s">
        <v>43</v>
      </c>
      <c r="X5" s="19" t="s">
        <v>44</v>
      </c>
      <c r="Y5" s="20" t="s">
        <v>45</v>
      </c>
      <c r="Z5" s="22" t="s">
        <v>46</v>
      </c>
      <c r="AA5" s="32"/>
      <c r="AB5" s="33">
        <v>6</v>
      </c>
      <c r="AC5" s="69"/>
      <c r="AD5" s="51" t="s">
        <v>51</v>
      </c>
      <c r="AE5" s="28" t="s">
        <v>52</v>
      </c>
      <c r="AF5" s="19" t="s">
        <v>53</v>
      </c>
      <c r="AG5" s="19" t="s">
        <v>54</v>
      </c>
      <c r="AH5" s="32"/>
      <c r="AI5" s="33">
        <v>7</v>
      </c>
      <c r="AJ5" s="69"/>
      <c r="AK5" s="18"/>
      <c r="AM5" s="100"/>
      <c r="AN5" s="100"/>
      <c r="AO5" s="104"/>
      <c r="AP5" s="105"/>
      <c r="AQ5" s="105"/>
      <c r="AR5" s="105"/>
      <c r="AS5" s="106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</row>
    <row r="6" spans="2:60" ht="19.5" customHeight="1" x14ac:dyDescent="0.3">
      <c r="B6" s="7"/>
      <c r="C6" s="100" t="s">
        <v>5</v>
      </c>
      <c r="D6" s="100"/>
      <c r="E6" s="100"/>
      <c r="F6" s="100" t="s">
        <v>21</v>
      </c>
      <c r="G6" s="100"/>
      <c r="H6" s="100"/>
      <c r="I6" s="100"/>
      <c r="J6" s="100"/>
      <c r="K6" s="100"/>
      <c r="L6" s="100"/>
      <c r="M6" s="100"/>
      <c r="N6" s="100"/>
      <c r="O6" s="100"/>
      <c r="P6" s="100" t="s">
        <v>24</v>
      </c>
      <c r="Q6" s="100"/>
      <c r="R6" s="5"/>
      <c r="S6" s="17"/>
      <c r="T6" s="40"/>
      <c r="U6" s="41"/>
      <c r="V6" s="77">
        <f>V13-30</f>
        <v>10</v>
      </c>
      <c r="W6" s="5"/>
      <c r="X6" s="5"/>
      <c r="Y6" s="5"/>
      <c r="Z6" s="5"/>
      <c r="AA6" s="34"/>
      <c r="AB6" s="35"/>
      <c r="AC6" s="78">
        <f>V6-30</f>
        <v>-20</v>
      </c>
      <c r="AD6" s="5"/>
      <c r="AE6" s="5"/>
      <c r="AF6" s="5"/>
      <c r="AG6" s="5"/>
      <c r="AH6" s="34"/>
      <c r="AI6" s="35"/>
      <c r="AJ6" s="78">
        <f>AC6-30</f>
        <v>-50</v>
      </c>
      <c r="AK6" s="18"/>
      <c r="AM6" s="100">
        <v>2</v>
      </c>
      <c r="AN6" s="100"/>
      <c r="AO6" s="101" t="s">
        <v>96</v>
      </c>
      <c r="AP6" s="102"/>
      <c r="AQ6" s="102"/>
      <c r="AR6" s="102"/>
      <c r="AS6" s="103"/>
      <c r="AT6" s="107" t="s">
        <v>67</v>
      </c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</row>
    <row r="7" spans="2:60" ht="19.5" customHeight="1" x14ac:dyDescent="0.3">
      <c r="B7" s="8"/>
      <c r="C7" s="100" t="s">
        <v>20</v>
      </c>
      <c r="D7" s="100"/>
      <c r="E7" s="100"/>
      <c r="F7" s="100" t="s">
        <v>10</v>
      </c>
      <c r="G7" s="100"/>
      <c r="H7" s="100"/>
      <c r="I7" s="100"/>
      <c r="J7" s="100"/>
      <c r="K7" s="100"/>
      <c r="L7" s="100"/>
      <c r="M7" s="100"/>
      <c r="N7" s="100"/>
      <c r="O7" s="100"/>
      <c r="P7" s="100" t="s">
        <v>25</v>
      </c>
      <c r="Q7" s="100"/>
      <c r="R7" s="5"/>
      <c r="S7" s="17"/>
      <c r="T7" s="5"/>
      <c r="U7" s="62" t="s">
        <v>38</v>
      </c>
      <c r="V7" s="67"/>
      <c r="W7" s="5"/>
      <c r="X7" s="5"/>
      <c r="Y7" s="5"/>
      <c r="Z7" s="5"/>
      <c r="AA7" s="5"/>
      <c r="AB7" s="62" t="s">
        <v>50</v>
      </c>
      <c r="AC7" s="67"/>
      <c r="AD7" s="5"/>
      <c r="AE7" s="5"/>
      <c r="AF7" s="5"/>
      <c r="AG7" s="5"/>
      <c r="AH7" s="5"/>
      <c r="AI7" s="19" t="s">
        <v>55</v>
      </c>
      <c r="AJ7" s="67"/>
      <c r="AK7" s="18"/>
      <c r="AM7" s="100"/>
      <c r="AN7" s="100"/>
      <c r="AO7" s="104"/>
      <c r="AP7" s="105"/>
      <c r="AQ7" s="105"/>
      <c r="AR7" s="105"/>
      <c r="AS7" s="106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</row>
    <row r="8" spans="2:60" ht="19.5" customHeight="1" x14ac:dyDescent="0.3">
      <c r="B8" s="9"/>
      <c r="C8" s="100" t="s">
        <v>3</v>
      </c>
      <c r="D8" s="100"/>
      <c r="E8" s="100"/>
      <c r="F8" s="100" t="s">
        <v>16</v>
      </c>
      <c r="G8" s="100"/>
      <c r="H8" s="100"/>
      <c r="I8" s="100"/>
      <c r="J8" s="100"/>
      <c r="K8" s="100"/>
      <c r="L8" s="100"/>
      <c r="M8" s="100"/>
      <c r="N8" s="100"/>
      <c r="O8" s="100"/>
      <c r="P8" s="100" t="s">
        <v>25</v>
      </c>
      <c r="Q8" s="100"/>
      <c r="R8" s="5"/>
      <c r="S8" s="17"/>
      <c r="T8" s="5"/>
      <c r="U8" s="28" t="s">
        <v>37</v>
      </c>
      <c r="V8" s="67"/>
      <c r="W8" s="5"/>
      <c r="X8" s="5"/>
      <c r="Y8" s="5"/>
      <c r="Z8" s="5"/>
      <c r="AA8" s="5"/>
      <c r="AB8" s="20" t="s">
        <v>49</v>
      </c>
      <c r="AC8" s="67"/>
      <c r="AD8" s="5"/>
      <c r="AE8" s="5"/>
      <c r="AF8" s="5"/>
      <c r="AG8" s="5"/>
      <c r="AH8" s="5"/>
      <c r="AI8" s="19" t="s">
        <v>56</v>
      </c>
      <c r="AJ8" s="67"/>
      <c r="AK8" s="18"/>
      <c r="AM8" s="100">
        <v>3</v>
      </c>
      <c r="AN8" s="100"/>
      <c r="AO8" s="110" t="s">
        <v>62</v>
      </c>
      <c r="AP8" s="102"/>
      <c r="AQ8" s="102"/>
      <c r="AR8" s="102"/>
      <c r="AS8" s="103"/>
      <c r="AT8" s="107" t="s">
        <v>68</v>
      </c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</row>
    <row r="9" spans="2:60" ht="19.5" customHeight="1" x14ac:dyDescent="0.3">
      <c r="B9" s="10"/>
      <c r="C9" s="100" t="s">
        <v>19</v>
      </c>
      <c r="D9" s="100"/>
      <c r="E9" s="100"/>
      <c r="F9" s="100" t="s">
        <v>15</v>
      </c>
      <c r="G9" s="100"/>
      <c r="H9" s="100"/>
      <c r="I9" s="100"/>
      <c r="J9" s="100"/>
      <c r="K9" s="100"/>
      <c r="L9" s="100"/>
      <c r="M9" s="100"/>
      <c r="N9" s="100"/>
      <c r="O9" s="100"/>
      <c r="P9" s="100" t="s">
        <v>25</v>
      </c>
      <c r="Q9" s="100"/>
      <c r="R9" s="5"/>
      <c r="S9" s="17"/>
      <c r="T9" s="5"/>
      <c r="U9" s="19" t="s">
        <v>36</v>
      </c>
      <c r="V9" s="67"/>
      <c r="W9" s="5"/>
      <c r="X9" s="5"/>
      <c r="Y9" s="5"/>
      <c r="Z9" s="5"/>
      <c r="AA9" s="5"/>
      <c r="AB9" s="19" t="s">
        <v>48</v>
      </c>
      <c r="AC9" s="67"/>
      <c r="AD9" s="5"/>
      <c r="AE9" s="5"/>
      <c r="AF9" s="5"/>
      <c r="AG9" s="5"/>
      <c r="AH9" s="5"/>
      <c r="AI9" s="21" t="s">
        <v>57</v>
      </c>
      <c r="AJ9" s="67"/>
      <c r="AK9" s="18"/>
      <c r="AM9" s="100"/>
      <c r="AN9" s="100"/>
      <c r="AO9" s="104"/>
      <c r="AP9" s="105"/>
      <c r="AQ9" s="105"/>
      <c r="AR9" s="105"/>
      <c r="AS9" s="106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</row>
    <row r="10" spans="2:60" ht="19.5" customHeight="1" x14ac:dyDescent="0.3">
      <c r="B10" s="11"/>
      <c r="C10" s="100" t="s">
        <v>4</v>
      </c>
      <c r="D10" s="100"/>
      <c r="E10" s="100"/>
      <c r="F10" s="100" t="s">
        <v>14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 t="s">
        <v>25</v>
      </c>
      <c r="Q10" s="100"/>
      <c r="R10" s="5"/>
      <c r="S10" s="17"/>
      <c r="T10" s="5"/>
      <c r="U10" s="49" t="s">
        <v>35</v>
      </c>
      <c r="V10" s="67"/>
      <c r="W10" s="5"/>
      <c r="X10" s="5"/>
      <c r="Y10" s="5"/>
      <c r="Z10" s="5"/>
      <c r="AA10" s="5"/>
      <c r="AB10" s="49" t="s">
        <v>47</v>
      </c>
      <c r="AC10" s="67"/>
      <c r="AD10" s="5"/>
      <c r="AE10" s="5"/>
      <c r="AF10" s="5"/>
      <c r="AG10" s="5"/>
      <c r="AH10" s="5"/>
      <c r="AI10" s="19" t="s">
        <v>58</v>
      </c>
      <c r="AJ10" s="67"/>
      <c r="AK10" s="18"/>
      <c r="AM10" s="100">
        <v>4</v>
      </c>
      <c r="AN10" s="100"/>
      <c r="AO10" s="101" t="s">
        <v>99</v>
      </c>
      <c r="AP10" s="102"/>
      <c r="AQ10" s="102"/>
      <c r="AR10" s="102"/>
      <c r="AS10" s="103"/>
      <c r="AT10" s="107" t="s">
        <v>69</v>
      </c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</row>
    <row r="11" spans="2:60" ht="19.5" customHeight="1" x14ac:dyDescent="0.3">
      <c r="B11" s="12"/>
      <c r="C11" s="100" t="s">
        <v>1</v>
      </c>
      <c r="D11" s="100"/>
      <c r="E11" s="100"/>
      <c r="F11" s="100" t="s">
        <v>12</v>
      </c>
      <c r="G11" s="100"/>
      <c r="H11" s="100"/>
      <c r="I11" s="100"/>
      <c r="J11" s="100"/>
      <c r="K11" s="100"/>
      <c r="L11" s="100"/>
      <c r="M11" s="100"/>
      <c r="N11" s="100"/>
      <c r="O11" s="100"/>
      <c r="P11" s="100" t="s">
        <v>25</v>
      </c>
      <c r="Q11" s="100"/>
      <c r="R11" s="5"/>
      <c r="S11" s="17"/>
      <c r="T11" s="30"/>
      <c r="U11" s="31"/>
      <c r="V11" s="68"/>
      <c r="W11" s="5"/>
      <c r="X11" s="5"/>
      <c r="Y11" s="5"/>
      <c r="Z11" s="5"/>
      <c r="AA11" s="57"/>
      <c r="AB11" s="58"/>
      <c r="AC11" s="75"/>
      <c r="AD11" s="5"/>
      <c r="AE11" s="5"/>
      <c r="AF11" s="5"/>
      <c r="AG11" s="5"/>
      <c r="AH11" s="36"/>
      <c r="AI11" s="37"/>
      <c r="AJ11" s="65"/>
      <c r="AK11" s="18"/>
      <c r="AM11" s="100"/>
      <c r="AN11" s="100"/>
      <c r="AO11" s="104"/>
      <c r="AP11" s="105"/>
      <c r="AQ11" s="105"/>
      <c r="AR11" s="105"/>
      <c r="AS11" s="106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</row>
    <row r="12" spans="2:60" ht="19.5" customHeight="1" x14ac:dyDescent="0.3">
      <c r="B12" s="13"/>
      <c r="C12" s="100" t="s">
        <v>6</v>
      </c>
      <c r="D12" s="100"/>
      <c r="E12" s="100"/>
      <c r="F12" s="100" t="s">
        <v>13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 t="s">
        <v>25</v>
      </c>
      <c r="Q12" s="100"/>
      <c r="R12" s="5"/>
      <c r="S12" s="17"/>
      <c r="T12" s="32"/>
      <c r="U12" s="33">
        <v>3</v>
      </c>
      <c r="V12" s="69"/>
      <c r="W12" s="51" t="s">
        <v>39</v>
      </c>
      <c r="X12" s="19" t="s">
        <v>40</v>
      </c>
      <c r="Y12" s="19" t="s">
        <v>41</v>
      </c>
      <c r="Z12" s="22" t="s">
        <v>42</v>
      </c>
      <c r="AA12" s="59"/>
      <c r="AB12" s="56">
        <v>5</v>
      </c>
      <c r="AC12" s="76"/>
      <c r="AD12" s="23"/>
      <c r="AE12" s="23"/>
      <c r="AF12" s="23"/>
      <c r="AG12" s="23"/>
      <c r="AH12" s="38"/>
      <c r="AI12" s="39">
        <v>8</v>
      </c>
      <c r="AJ12" s="66"/>
      <c r="AK12" s="18"/>
      <c r="AM12" s="100">
        <v>5</v>
      </c>
      <c r="AN12" s="100"/>
      <c r="AO12" s="101" t="s">
        <v>97</v>
      </c>
      <c r="AP12" s="102"/>
      <c r="AQ12" s="102"/>
      <c r="AR12" s="102"/>
      <c r="AS12" s="103"/>
      <c r="AT12" s="107" t="s">
        <v>75</v>
      </c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</row>
    <row r="13" spans="2:60" ht="19.5" customHeight="1" x14ac:dyDescent="0.3">
      <c r="B13" s="100" t="s">
        <v>11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5"/>
      <c r="S13" s="17"/>
      <c r="T13" s="34"/>
      <c r="U13" s="35"/>
      <c r="V13" s="78">
        <f>V20-30</f>
        <v>40</v>
      </c>
      <c r="W13" s="5"/>
      <c r="X13" s="5"/>
      <c r="Y13" s="5"/>
      <c r="Z13" s="5"/>
      <c r="AA13" s="60"/>
      <c r="AB13" s="61"/>
      <c r="AC13" s="80">
        <f>V13-30</f>
        <v>10</v>
      </c>
      <c r="AD13" s="23"/>
      <c r="AE13" s="23"/>
      <c r="AF13" s="23"/>
      <c r="AG13" s="23"/>
      <c r="AH13" s="40"/>
      <c r="AI13" s="41"/>
      <c r="AJ13" s="77">
        <f>AJ6-30</f>
        <v>-80</v>
      </c>
      <c r="AK13" s="18"/>
      <c r="AM13" s="100"/>
      <c r="AN13" s="100"/>
      <c r="AO13" s="104"/>
      <c r="AP13" s="105"/>
      <c r="AQ13" s="105"/>
      <c r="AR13" s="105"/>
      <c r="AS13" s="106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</row>
    <row r="14" spans="2:60" ht="19.5" customHeight="1" x14ac:dyDescent="0.3">
      <c r="S14" s="17"/>
      <c r="T14" s="5"/>
      <c r="U14" s="63" t="s">
        <v>34</v>
      </c>
      <c r="V14" s="67"/>
      <c r="W14" s="5"/>
      <c r="X14" s="5"/>
      <c r="Y14" s="5"/>
      <c r="Z14" s="5"/>
      <c r="AA14" s="14"/>
      <c r="AB14" s="14"/>
      <c r="AC14" s="67"/>
      <c r="AD14" s="5"/>
      <c r="AE14" s="5"/>
      <c r="AF14" s="5"/>
      <c r="AG14" s="5"/>
      <c r="AH14" s="14"/>
      <c r="AI14" s="14"/>
      <c r="AJ14" s="67"/>
      <c r="AK14" s="18"/>
      <c r="AM14" s="100">
        <v>6</v>
      </c>
      <c r="AN14" s="100"/>
      <c r="AO14" s="110" t="s">
        <v>62</v>
      </c>
      <c r="AP14" s="102"/>
      <c r="AQ14" s="102"/>
      <c r="AR14" s="102"/>
      <c r="AS14" s="103"/>
      <c r="AT14" s="100" t="s">
        <v>70</v>
      </c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</row>
    <row r="15" spans="2:60" ht="19.5" customHeight="1" x14ac:dyDescent="0.3">
      <c r="B15" s="118" t="s">
        <v>79</v>
      </c>
      <c r="C15" s="118"/>
      <c r="D15" s="118"/>
      <c r="E15" s="118"/>
      <c r="F15" s="99" t="s">
        <v>113</v>
      </c>
      <c r="G15" s="99"/>
      <c r="H15" s="99"/>
      <c r="I15" s="99"/>
      <c r="J15" s="120" t="s">
        <v>92</v>
      </c>
      <c r="K15" s="99"/>
      <c r="L15" s="120" t="s">
        <v>101</v>
      </c>
      <c r="M15" s="99"/>
      <c r="N15" s="50"/>
      <c r="O15" s="50"/>
      <c r="P15" s="50"/>
      <c r="S15" s="17"/>
      <c r="T15" s="5"/>
      <c r="U15" s="19" t="s">
        <v>33</v>
      </c>
      <c r="V15" s="67"/>
      <c r="W15" s="5"/>
      <c r="X15" s="5"/>
      <c r="Y15" s="5"/>
      <c r="Z15" s="5"/>
      <c r="AA15" s="5"/>
      <c r="AB15" s="5"/>
      <c r="AC15" s="67"/>
      <c r="AD15" s="5"/>
      <c r="AE15" s="5"/>
      <c r="AF15" s="5"/>
      <c r="AG15" s="5"/>
      <c r="AH15" s="5"/>
      <c r="AI15" s="5"/>
      <c r="AJ15" s="67"/>
      <c r="AK15" s="18"/>
      <c r="AM15" s="100"/>
      <c r="AN15" s="100"/>
      <c r="AO15" s="104"/>
      <c r="AP15" s="105"/>
      <c r="AQ15" s="105"/>
      <c r="AR15" s="105"/>
      <c r="AS15" s="106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</row>
    <row r="16" spans="2:60" ht="19.5" customHeight="1" x14ac:dyDescent="0.3">
      <c r="B16" s="118"/>
      <c r="C16" s="118"/>
      <c r="D16" s="118"/>
      <c r="E16" s="118"/>
      <c r="F16" s="55" t="s">
        <v>86</v>
      </c>
      <c r="G16" s="55" t="s">
        <v>87</v>
      </c>
      <c r="H16" s="55" t="s">
        <v>88</v>
      </c>
      <c r="I16" s="55" t="s">
        <v>89</v>
      </c>
      <c r="J16" s="99"/>
      <c r="K16" s="99"/>
      <c r="L16" s="99"/>
      <c r="M16" s="99"/>
      <c r="N16" s="50"/>
      <c r="O16" s="50"/>
      <c r="P16" s="50"/>
      <c r="S16" s="17"/>
      <c r="T16" s="5"/>
      <c r="U16" s="29" t="s">
        <v>32</v>
      </c>
      <c r="V16" s="67"/>
      <c r="W16" s="5"/>
      <c r="X16" s="5"/>
      <c r="Y16" s="5"/>
      <c r="Z16" s="5"/>
      <c r="AA16" s="92"/>
      <c r="AB16" s="92"/>
      <c r="AC16" s="92"/>
      <c r="AD16" s="92"/>
      <c r="AE16" s="92"/>
      <c r="AF16" s="92"/>
      <c r="AG16" s="92"/>
      <c r="AH16" s="92"/>
      <c r="AI16" s="92"/>
      <c r="AJ16" s="67"/>
      <c r="AK16" s="18"/>
      <c r="AM16" s="100">
        <v>7</v>
      </c>
      <c r="AN16" s="100"/>
      <c r="AO16" s="110" t="s">
        <v>62</v>
      </c>
      <c r="AP16" s="102"/>
      <c r="AQ16" s="102"/>
      <c r="AR16" s="102"/>
      <c r="AS16" s="103"/>
      <c r="AT16" s="100" t="s">
        <v>78</v>
      </c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</row>
    <row r="17" spans="2:59" ht="19.5" customHeight="1" x14ac:dyDescent="0.3">
      <c r="B17" s="119" t="s">
        <v>80</v>
      </c>
      <c r="C17" s="119"/>
      <c r="D17" s="119"/>
      <c r="E17" s="119"/>
      <c r="F17" s="53"/>
      <c r="G17" s="53"/>
      <c r="H17" s="54"/>
      <c r="I17" s="12"/>
      <c r="J17" s="119" t="s">
        <v>100</v>
      </c>
      <c r="K17" s="119"/>
      <c r="L17" s="119" t="s">
        <v>94</v>
      </c>
      <c r="M17" s="119"/>
      <c r="N17" s="52"/>
      <c r="O17" s="52"/>
      <c r="P17" s="52"/>
      <c r="S17" s="17"/>
      <c r="T17" s="5"/>
      <c r="U17" s="49" t="s">
        <v>31</v>
      </c>
      <c r="V17" s="67"/>
      <c r="W17" s="5"/>
      <c r="X17" s="5"/>
      <c r="Y17" s="5"/>
      <c r="Z17" s="5"/>
      <c r="AA17" s="92"/>
      <c r="AB17" s="133" t="s">
        <v>141</v>
      </c>
      <c r="AC17" s="133"/>
      <c r="AD17" s="133"/>
      <c r="AE17" s="133"/>
      <c r="AF17" s="133"/>
      <c r="AG17" s="133"/>
      <c r="AH17" s="133"/>
      <c r="AI17" s="133"/>
      <c r="AJ17" s="133"/>
      <c r="AK17" s="18"/>
      <c r="AM17" s="100"/>
      <c r="AN17" s="100"/>
      <c r="AO17" s="104"/>
      <c r="AP17" s="105"/>
      <c r="AQ17" s="105"/>
      <c r="AR17" s="105"/>
      <c r="AS17" s="106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</row>
    <row r="18" spans="2:59" ht="19.5" customHeight="1" x14ac:dyDescent="0.3">
      <c r="B18" s="119" t="s">
        <v>81</v>
      </c>
      <c r="C18" s="119"/>
      <c r="D18" s="119"/>
      <c r="E18" s="119"/>
      <c r="F18" s="53"/>
      <c r="G18" s="53"/>
      <c r="H18" s="54"/>
      <c r="I18" s="12"/>
      <c r="J18" s="119" t="s">
        <v>100</v>
      </c>
      <c r="K18" s="119"/>
      <c r="L18" s="119" t="s">
        <v>94</v>
      </c>
      <c r="M18" s="119"/>
      <c r="N18" s="52"/>
      <c r="O18" s="52"/>
      <c r="P18" s="52"/>
      <c r="S18" s="17"/>
      <c r="T18" s="36"/>
      <c r="U18" s="37"/>
      <c r="V18" s="65"/>
      <c r="W18" s="5"/>
      <c r="X18" s="5"/>
      <c r="Y18" s="5"/>
      <c r="Z18" s="5"/>
      <c r="AA18" s="92"/>
      <c r="AB18" s="135"/>
      <c r="AC18" s="135"/>
      <c r="AD18" s="135"/>
      <c r="AE18" s="135"/>
      <c r="AF18" s="135"/>
      <c r="AG18" s="135"/>
      <c r="AH18" s="135"/>
      <c r="AI18" s="135"/>
      <c r="AJ18" s="135"/>
      <c r="AK18" s="18"/>
      <c r="AM18" s="100">
        <v>8</v>
      </c>
      <c r="AN18" s="100"/>
      <c r="AO18" s="101" t="s">
        <v>98</v>
      </c>
      <c r="AP18" s="102"/>
      <c r="AQ18" s="102"/>
      <c r="AR18" s="102"/>
      <c r="AS18" s="103"/>
      <c r="AT18" s="107" t="s">
        <v>76</v>
      </c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</row>
    <row r="19" spans="2:59" ht="19.5" customHeight="1" x14ac:dyDescent="0.3">
      <c r="B19" s="119" t="s">
        <v>82</v>
      </c>
      <c r="C19" s="119"/>
      <c r="D19" s="119"/>
      <c r="E19" s="119"/>
      <c r="F19" s="53"/>
      <c r="G19" s="54"/>
      <c r="H19" s="54"/>
      <c r="I19" s="12"/>
      <c r="J19" s="119" t="s">
        <v>100</v>
      </c>
      <c r="K19" s="119"/>
      <c r="L19" s="119" t="s">
        <v>93</v>
      </c>
      <c r="M19" s="119"/>
      <c r="N19" s="52"/>
      <c r="O19" s="52"/>
      <c r="P19" s="52"/>
      <c r="S19" s="17"/>
      <c r="T19" s="38"/>
      <c r="U19" s="39">
        <v>2</v>
      </c>
      <c r="V19" s="66"/>
      <c r="W19" s="5"/>
      <c r="X19" s="5"/>
      <c r="Y19" s="5"/>
      <c r="Z19" s="136" t="s">
        <v>140</v>
      </c>
      <c r="AA19" s="134"/>
      <c r="AB19" s="81"/>
      <c r="AC19" s="82"/>
      <c r="AD19" s="83"/>
      <c r="AE19" s="82"/>
      <c r="AF19" s="82"/>
      <c r="AG19" s="82"/>
      <c r="AH19" s="82"/>
      <c r="AI19" s="82"/>
      <c r="AJ19" s="84"/>
      <c r="AK19" s="18"/>
      <c r="AM19" s="100"/>
      <c r="AN19" s="100"/>
      <c r="AO19" s="104"/>
      <c r="AP19" s="105"/>
      <c r="AQ19" s="105"/>
      <c r="AR19" s="105"/>
      <c r="AS19" s="106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</row>
    <row r="20" spans="2:59" ht="19.5" customHeight="1" x14ac:dyDescent="0.3">
      <c r="B20" s="119" t="s">
        <v>83</v>
      </c>
      <c r="C20" s="119"/>
      <c r="D20" s="119"/>
      <c r="E20" s="119"/>
      <c r="F20" s="12"/>
      <c r="G20" s="54"/>
      <c r="H20" s="53"/>
      <c r="I20" s="53"/>
      <c r="J20" s="119" t="s">
        <v>91</v>
      </c>
      <c r="K20" s="119"/>
      <c r="L20" s="119" t="s">
        <v>90</v>
      </c>
      <c r="M20" s="119"/>
      <c r="N20" s="52"/>
      <c r="O20" s="52"/>
      <c r="P20" s="52"/>
      <c r="S20" s="17"/>
      <c r="T20" s="40"/>
      <c r="U20" s="41"/>
      <c r="V20" s="77">
        <f>V27-(6*5)</f>
        <v>70</v>
      </c>
      <c r="W20" s="5"/>
      <c r="X20" s="5"/>
      <c r="Y20" s="5"/>
      <c r="Z20" s="136"/>
      <c r="AA20" s="134"/>
      <c r="AB20" s="85"/>
      <c r="AC20" s="86"/>
      <c r="AD20" s="87"/>
      <c r="AE20" s="86"/>
      <c r="AF20" s="86"/>
      <c r="AG20" s="86"/>
      <c r="AH20" s="86"/>
      <c r="AI20" s="86"/>
      <c r="AJ20" s="88"/>
      <c r="AK20" s="18"/>
      <c r="AM20" s="116"/>
      <c r="AN20" s="116"/>
      <c r="AO20" s="101" t="s">
        <v>95</v>
      </c>
      <c r="AP20" s="102"/>
      <c r="AQ20" s="102"/>
      <c r="AR20" s="102"/>
      <c r="AS20" s="103"/>
      <c r="AT20" s="100" t="s">
        <v>71</v>
      </c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</row>
    <row r="21" spans="2:59" ht="19.5" customHeight="1" x14ac:dyDescent="0.3">
      <c r="B21" s="119" t="s">
        <v>84</v>
      </c>
      <c r="C21" s="119"/>
      <c r="D21" s="119"/>
      <c r="E21" s="119"/>
      <c r="F21" s="12"/>
      <c r="G21" s="54"/>
      <c r="H21" s="53"/>
      <c r="I21" s="53"/>
      <c r="J21" s="119" t="s">
        <v>91</v>
      </c>
      <c r="K21" s="119"/>
      <c r="L21" s="119" t="s">
        <v>90</v>
      </c>
      <c r="M21" s="119"/>
      <c r="N21" s="52"/>
      <c r="O21" s="52"/>
      <c r="P21" s="52"/>
      <c r="S21" s="17"/>
      <c r="T21" s="5"/>
      <c r="U21" s="62" t="s">
        <v>30</v>
      </c>
      <c r="V21" s="70"/>
      <c r="W21" s="5"/>
      <c r="X21" s="5"/>
      <c r="Y21" s="5"/>
      <c r="Z21" s="136"/>
      <c r="AA21" s="134"/>
      <c r="AB21" s="85"/>
      <c r="AC21" s="86"/>
      <c r="AD21" s="87"/>
      <c r="AE21" s="86"/>
      <c r="AF21" s="86"/>
      <c r="AG21" s="86"/>
      <c r="AH21" s="86"/>
      <c r="AI21" s="86"/>
      <c r="AJ21" s="88"/>
      <c r="AK21" s="18"/>
      <c r="AM21" s="116"/>
      <c r="AN21" s="116"/>
      <c r="AO21" s="104"/>
      <c r="AP21" s="105"/>
      <c r="AQ21" s="105"/>
      <c r="AR21" s="105"/>
      <c r="AS21" s="106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</row>
    <row r="22" spans="2:59" ht="19.5" customHeight="1" x14ac:dyDescent="0.3">
      <c r="B22" s="119" t="s">
        <v>85</v>
      </c>
      <c r="C22" s="119"/>
      <c r="D22" s="119"/>
      <c r="E22" s="119"/>
      <c r="F22" s="12"/>
      <c r="G22" s="54"/>
      <c r="H22" s="53"/>
      <c r="I22" s="53"/>
      <c r="J22" s="119" t="s">
        <v>91</v>
      </c>
      <c r="K22" s="119"/>
      <c r="L22" s="119" t="s">
        <v>94</v>
      </c>
      <c r="M22" s="119"/>
      <c r="N22" s="52"/>
      <c r="O22" s="52"/>
      <c r="P22" s="52"/>
      <c r="S22" s="17"/>
      <c r="T22" s="5"/>
      <c r="U22" s="28" t="s">
        <v>29</v>
      </c>
      <c r="V22" s="70"/>
      <c r="W22" s="5"/>
      <c r="X22" s="5"/>
      <c r="Y22" s="5"/>
      <c r="Z22" s="136"/>
      <c r="AA22" s="134"/>
      <c r="AB22" s="85"/>
      <c r="AC22" s="86"/>
      <c r="AD22" s="87"/>
      <c r="AE22" s="121" t="s">
        <v>137</v>
      </c>
      <c r="AF22" s="121"/>
      <c r="AG22" s="121"/>
      <c r="AH22" s="86"/>
      <c r="AI22" s="86"/>
      <c r="AJ22" s="88"/>
      <c r="AK22" s="18"/>
      <c r="AM22" s="117"/>
      <c r="AN22" s="117"/>
      <c r="AO22" s="101" t="s">
        <v>97</v>
      </c>
      <c r="AP22" s="102"/>
      <c r="AQ22" s="102"/>
      <c r="AR22" s="102"/>
      <c r="AS22" s="103"/>
      <c r="AT22" s="107" t="s">
        <v>75</v>
      </c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</row>
    <row r="23" spans="2:59" ht="19.5" customHeight="1" x14ac:dyDescent="0.3">
      <c r="B23" s="52"/>
      <c r="C23" s="52"/>
      <c r="D23" s="52"/>
      <c r="E23" s="52"/>
      <c r="S23" s="17"/>
      <c r="T23" s="5"/>
      <c r="U23" s="19" t="s">
        <v>28</v>
      </c>
      <c r="V23" s="70"/>
      <c r="W23" s="5"/>
      <c r="X23" s="5"/>
      <c r="Y23" s="5"/>
      <c r="Z23" s="136"/>
      <c r="AA23" s="134"/>
      <c r="AB23" s="85"/>
      <c r="AC23" s="86"/>
      <c r="AD23" s="87"/>
      <c r="AE23" s="121"/>
      <c r="AF23" s="121"/>
      <c r="AG23" s="121"/>
      <c r="AH23" s="86"/>
      <c r="AI23" s="86"/>
      <c r="AJ23" s="88"/>
      <c r="AK23" s="18"/>
      <c r="AM23" s="117"/>
      <c r="AN23" s="117"/>
      <c r="AO23" s="104"/>
      <c r="AP23" s="105"/>
      <c r="AQ23" s="105"/>
      <c r="AR23" s="105"/>
      <c r="AS23" s="106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</row>
    <row r="24" spans="2:59" ht="19.5" customHeight="1" x14ac:dyDescent="0.3">
      <c r="B24" s="118" t="s">
        <v>79</v>
      </c>
      <c r="C24" s="118"/>
      <c r="D24" s="118"/>
      <c r="E24" s="118"/>
      <c r="F24" s="99" t="s">
        <v>106</v>
      </c>
      <c r="G24" s="99"/>
      <c r="H24" s="99"/>
      <c r="I24" s="99"/>
      <c r="J24" s="99"/>
      <c r="K24" s="99"/>
      <c r="L24" s="99"/>
      <c r="M24" s="99"/>
      <c r="S24" s="17"/>
      <c r="T24" s="5"/>
      <c r="U24" s="49" t="s">
        <v>27</v>
      </c>
      <c r="V24" s="70"/>
      <c r="W24" s="5"/>
      <c r="X24" s="5"/>
      <c r="Y24" s="5"/>
      <c r="Z24" s="136"/>
      <c r="AA24" s="134"/>
      <c r="AB24" s="85"/>
      <c r="AC24" s="86"/>
      <c r="AD24" s="87"/>
      <c r="AE24" s="121"/>
      <c r="AF24" s="121"/>
      <c r="AG24" s="121"/>
      <c r="AH24" s="86"/>
      <c r="AI24" s="86"/>
      <c r="AJ24" s="88"/>
      <c r="AK24" s="18"/>
      <c r="AM24" s="111"/>
      <c r="AN24" s="112"/>
      <c r="AO24" s="110" t="s">
        <v>63</v>
      </c>
      <c r="AP24" s="102"/>
      <c r="AQ24" s="102"/>
      <c r="AR24" s="102"/>
      <c r="AS24" s="103"/>
      <c r="AT24" s="100" t="s">
        <v>72</v>
      </c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</row>
    <row r="25" spans="2:59" ht="19.5" customHeight="1" x14ac:dyDescent="0.3">
      <c r="B25" s="119" t="s">
        <v>102</v>
      </c>
      <c r="C25" s="119"/>
      <c r="D25" s="119"/>
      <c r="E25" s="119"/>
      <c r="F25" s="100" t="s">
        <v>112</v>
      </c>
      <c r="G25" s="100"/>
      <c r="H25" s="100"/>
      <c r="I25" s="100"/>
      <c r="J25" s="100"/>
      <c r="K25" s="100"/>
      <c r="L25" s="100"/>
      <c r="M25" s="100"/>
      <c r="S25" s="17"/>
      <c r="T25" s="44"/>
      <c r="U25" s="45"/>
      <c r="V25" s="71"/>
      <c r="W25" s="5"/>
      <c r="X25" s="5"/>
      <c r="Y25" s="5"/>
      <c r="Z25" s="136"/>
      <c r="AA25" s="134"/>
      <c r="AB25" s="85"/>
      <c r="AC25" s="86"/>
      <c r="AD25" s="87"/>
      <c r="AE25" s="86"/>
      <c r="AF25" s="86"/>
      <c r="AG25" s="86"/>
      <c r="AH25" s="122" t="s">
        <v>136</v>
      </c>
      <c r="AI25" s="123"/>
      <c r="AJ25" s="124"/>
      <c r="AK25" s="18"/>
      <c r="AM25" s="112"/>
      <c r="AN25" s="112"/>
      <c r="AO25" s="104"/>
      <c r="AP25" s="105"/>
      <c r="AQ25" s="105"/>
      <c r="AR25" s="105"/>
      <c r="AS25" s="106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</row>
    <row r="26" spans="2:59" ht="19.5" customHeight="1" x14ac:dyDescent="0.3">
      <c r="B26" s="119" t="s">
        <v>103</v>
      </c>
      <c r="C26" s="119"/>
      <c r="D26" s="119"/>
      <c r="E26" s="119"/>
      <c r="F26" s="100" t="s">
        <v>107</v>
      </c>
      <c r="G26" s="100"/>
      <c r="H26" s="100"/>
      <c r="I26" s="100"/>
      <c r="J26" s="100"/>
      <c r="K26" s="100"/>
      <c r="L26" s="100"/>
      <c r="M26" s="100"/>
      <c r="S26" s="17"/>
      <c r="T26" s="46"/>
      <c r="U26" s="43">
        <v>1</v>
      </c>
      <c r="V26" s="72"/>
      <c r="W26" s="5"/>
      <c r="X26" s="5"/>
      <c r="Y26" s="5"/>
      <c r="Z26" s="136"/>
      <c r="AA26" s="134"/>
      <c r="AB26" s="85"/>
      <c r="AC26" s="86"/>
      <c r="AD26" s="87"/>
      <c r="AE26" s="86"/>
      <c r="AF26" s="86"/>
      <c r="AG26" s="86"/>
      <c r="AH26" s="125"/>
      <c r="AI26" s="126"/>
      <c r="AJ26" s="127"/>
      <c r="AK26" s="18"/>
      <c r="AM26" s="131"/>
      <c r="AN26" s="132"/>
      <c r="AO26" s="110" t="s">
        <v>64</v>
      </c>
      <c r="AP26" s="102"/>
      <c r="AQ26" s="102"/>
      <c r="AR26" s="102"/>
      <c r="AS26" s="103"/>
      <c r="AT26" s="100" t="s">
        <v>73</v>
      </c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</row>
    <row r="27" spans="2:59" ht="19.5" customHeight="1" x14ac:dyDescent="0.3">
      <c r="B27" s="119" t="s">
        <v>111</v>
      </c>
      <c r="C27" s="119"/>
      <c r="D27" s="119"/>
      <c r="E27" s="119"/>
      <c r="F27" s="100" t="s">
        <v>108</v>
      </c>
      <c r="G27" s="100"/>
      <c r="H27" s="100"/>
      <c r="I27" s="100"/>
      <c r="J27" s="100"/>
      <c r="K27" s="100"/>
      <c r="L27" s="100"/>
      <c r="M27" s="100"/>
      <c r="S27" s="17"/>
      <c r="T27" s="47"/>
      <c r="U27" s="48"/>
      <c r="V27" s="79">
        <v>100</v>
      </c>
      <c r="W27" s="5"/>
      <c r="X27" s="5"/>
      <c r="Y27" s="5"/>
      <c r="Z27" s="136"/>
      <c r="AA27" s="134"/>
      <c r="AB27" s="89"/>
      <c r="AC27" s="90"/>
      <c r="AD27" s="91"/>
      <c r="AE27" s="90"/>
      <c r="AF27" s="90"/>
      <c r="AG27" s="90"/>
      <c r="AH27" s="128"/>
      <c r="AI27" s="129"/>
      <c r="AJ27" s="130"/>
      <c r="AK27" s="18"/>
      <c r="AM27" s="132"/>
      <c r="AN27" s="132"/>
      <c r="AO27" s="104"/>
      <c r="AP27" s="105"/>
      <c r="AQ27" s="105"/>
      <c r="AR27" s="105"/>
      <c r="AS27" s="106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</row>
    <row r="28" spans="2:59" ht="19.5" customHeight="1" x14ac:dyDescent="0.3">
      <c r="B28" s="119" t="s">
        <v>104</v>
      </c>
      <c r="C28" s="119"/>
      <c r="D28" s="119"/>
      <c r="E28" s="119"/>
      <c r="F28" s="100" t="s">
        <v>110</v>
      </c>
      <c r="G28" s="100"/>
      <c r="H28" s="100"/>
      <c r="I28" s="100"/>
      <c r="J28" s="100"/>
      <c r="K28" s="100"/>
      <c r="L28" s="100"/>
      <c r="M28" s="100"/>
      <c r="S28" s="24"/>
      <c r="T28" s="27"/>
      <c r="U28" s="27"/>
      <c r="V28" s="73"/>
      <c r="W28" s="27"/>
      <c r="X28" s="27"/>
      <c r="Y28" s="27"/>
      <c r="Z28" s="27"/>
      <c r="AA28" s="27"/>
      <c r="AB28" s="27"/>
      <c r="AC28" s="73"/>
      <c r="AD28" s="27"/>
      <c r="AE28" s="27"/>
      <c r="AF28" s="27"/>
      <c r="AG28" s="27"/>
      <c r="AH28" s="27"/>
      <c r="AI28" s="27"/>
      <c r="AJ28" s="73"/>
      <c r="AK28" s="25"/>
      <c r="AM28" s="108"/>
      <c r="AN28" s="109"/>
      <c r="AO28" s="101" t="s">
        <v>65</v>
      </c>
      <c r="AP28" s="102"/>
      <c r="AQ28" s="102"/>
      <c r="AR28" s="102"/>
      <c r="AS28" s="103"/>
      <c r="AT28" s="100" t="s">
        <v>74</v>
      </c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</row>
    <row r="29" spans="2:59" ht="19.5" customHeight="1" x14ac:dyDescent="0.3">
      <c r="B29" s="119" t="s">
        <v>105</v>
      </c>
      <c r="C29" s="119"/>
      <c r="D29" s="119"/>
      <c r="E29" s="119"/>
      <c r="F29" s="100" t="s">
        <v>109</v>
      </c>
      <c r="G29" s="100"/>
      <c r="H29" s="100"/>
      <c r="I29" s="100"/>
      <c r="J29" s="100"/>
      <c r="K29" s="100"/>
      <c r="L29" s="100"/>
      <c r="M29" s="100"/>
      <c r="AM29" s="109"/>
      <c r="AN29" s="109"/>
      <c r="AO29" s="104"/>
      <c r="AP29" s="105"/>
      <c r="AQ29" s="105"/>
      <c r="AR29" s="105"/>
      <c r="AS29" s="106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</row>
    <row r="30" spans="2:59" ht="19.5" customHeight="1" x14ac:dyDescent="0.3">
      <c r="S30" s="97"/>
      <c r="AM30" s="107" t="s">
        <v>60</v>
      </c>
      <c r="AN30" s="100"/>
      <c r="AO30" s="101" t="s">
        <v>77</v>
      </c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3"/>
    </row>
    <row r="31" spans="2:59" ht="19.5" customHeight="1" x14ac:dyDescent="0.3">
      <c r="B31" s="99" t="s">
        <v>114</v>
      </c>
      <c r="C31" s="99"/>
      <c r="D31" s="99"/>
      <c r="E31" s="99"/>
      <c r="F31" s="99"/>
      <c r="G31" s="99"/>
      <c r="H31" s="99"/>
      <c r="I31" s="99"/>
      <c r="J31" s="99"/>
      <c r="K31" s="99"/>
      <c r="L31" s="95"/>
      <c r="M31" s="95"/>
      <c r="N31" s="95"/>
      <c r="O31" s="95"/>
      <c r="P31" s="95"/>
      <c r="Q31" s="95"/>
      <c r="S31" s="97"/>
      <c r="AM31" s="100"/>
      <c r="AN31" s="100"/>
      <c r="AO31" s="104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6"/>
    </row>
    <row r="32" spans="2:59" ht="19.5" customHeight="1" x14ac:dyDescent="0.3">
      <c r="B32" s="99" t="s">
        <v>115</v>
      </c>
      <c r="C32" s="99"/>
      <c r="D32" s="99"/>
      <c r="E32" s="99"/>
      <c r="F32" s="99"/>
      <c r="G32" s="99" t="s">
        <v>116</v>
      </c>
      <c r="H32" s="99"/>
      <c r="I32" s="99"/>
      <c r="J32" s="99"/>
      <c r="K32" s="99"/>
      <c r="L32" s="95"/>
      <c r="M32" s="95"/>
      <c r="N32" s="95"/>
      <c r="O32" s="95"/>
      <c r="P32" s="95"/>
      <c r="Q32" s="95"/>
    </row>
    <row r="33" spans="2:32" ht="19.5" customHeight="1" x14ac:dyDescent="0.3">
      <c r="B33" s="100" t="s">
        <v>119</v>
      </c>
      <c r="C33" s="100"/>
      <c r="D33" s="100"/>
      <c r="E33" s="100"/>
      <c r="F33" s="100"/>
      <c r="G33" s="100" t="s">
        <v>117</v>
      </c>
      <c r="H33" s="100"/>
      <c r="I33" s="100"/>
      <c r="J33" s="100"/>
      <c r="K33" s="100"/>
      <c r="L33" s="95"/>
      <c r="M33" s="95"/>
      <c r="N33" s="95"/>
      <c r="O33" s="95"/>
      <c r="P33" s="95"/>
      <c r="Q33" s="95"/>
    </row>
    <row r="34" spans="2:32" ht="19.5" customHeight="1" x14ac:dyDescent="0.3">
      <c r="B34" s="100" t="s">
        <v>120</v>
      </c>
      <c r="C34" s="100"/>
      <c r="D34" s="100"/>
      <c r="E34" s="100"/>
      <c r="F34" s="100"/>
      <c r="G34" s="100" t="s">
        <v>118</v>
      </c>
      <c r="H34" s="100"/>
      <c r="I34" s="100"/>
      <c r="J34" s="100"/>
      <c r="K34" s="100"/>
      <c r="L34" s="95"/>
      <c r="M34" s="95"/>
      <c r="N34" s="95"/>
      <c r="O34" s="95"/>
      <c r="P34" s="95"/>
      <c r="Q34" s="95"/>
    </row>
    <row r="35" spans="2:32" ht="19.5" customHeight="1" x14ac:dyDescent="0.3"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95"/>
      <c r="M35" s="95"/>
      <c r="N35" s="95"/>
      <c r="O35" s="95"/>
      <c r="P35" s="95"/>
      <c r="Q35" s="95"/>
    </row>
    <row r="36" spans="2:32" ht="19.5" customHeight="1" x14ac:dyDescent="0.3">
      <c r="B36" s="99" t="s">
        <v>131</v>
      </c>
      <c r="C36" s="99"/>
      <c r="D36" s="99" t="s">
        <v>135</v>
      </c>
      <c r="E36" s="99"/>
      <c r="F36" s="99" t="s">
        <v>134</v>
      </c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</row>
    <row r="37" spans="2:32" ht="19.5" customHeight="1" x14ac:dyDescent="0.3">
      <c r="B37" s="99"/>
      <c r="C37" s="99"/>
      <c r="D37" s="93" t="s">
        <v>132</v>
      </c>
      <c r="E37" s="93" t="s">
        <v>133</v>
      </c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AF37" s="98"/>
    </row>
    <row r="38" spans="2:32" ht="19.5" customHeight="1" x14ac:dyDescent="0.3">
      <c r="B38" s="99" t="s">
        <v>121</v>
      </c>
      <c r="C38" s="99"/>
      <c r="D38" s="94">
        <v>76</v>
      </c>
      <c r="E38" s="94">
        <v>100</v>
      </c>
      <c r="F38" s="100" t="s">
        <v>126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</row>
    <row r="39" spans="2:32" ht="19.5" customHeight="1" x14ac:dyDescent="0.3">
      <c r="B39" s="99" t="s">
        <v>122</v>
      </c>
      <c r="C39" s="99"/>
      <c r="D39" s="94">
        <v>51</v>
      </c>
      <c r="E39" s="94">
        <v>75</v>
      </c>
      <c r="F39" s="100" t="s">
        <v>127</v>
      </c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</row>
    <row r="40" spans="2:32" ht="19.5" customHeight="1" x14ac:dyDescent="0.3">
      <c r="B40" s="99" t="s">
        <v>123</v>
      </c>
      <c r="C40" s="99"/>
      <c r="D40" s="94">
        <v>26</v>
      </c>
      <c r="E40" s="94">
        <v>50</v>
      </c>
      <c r="F40" s="100" t="s">
        <v>128</v>
      </c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</row>
    <row r="41" spans="2:32" ht="19.5" customHeight="1" x14ac:dyDescent="0.3">
      <c r="B41" s="99" t="s">
        <v>124</v>
      </c>
      <c r="C41" s="99"/>
      <c r="D41" s="94">
        <v>1</v>
      </c>
      <c r="E41" s="94">
        <v>25</v>
      </c>
      <c r="F41" s="100" t="s">
        <v>129</v>
      </c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</row>
    <row r="42" spans="2:32" ht="19.5" customHeight="1" x14ac:dyDescent="0.3">
      <c r="B42" s="99" t="s">
        <v>125</v>
      </c>
      <c r="C42" s="99"/>
      <c r="D42" s="94">
        <v>0</v>
      </c>
      <c r="E42" s="94">
        <v>0</v>
      </c>
      <c r="F42" s="100" t="s">
        <v>130</v>
      </c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</row>
  </sheetData>
  <mergeCells count="136">
    <mergeCell ref="Z19:AA27"/>
    <mergeCell ref="AB17:AJ18"/>
    <mergeCell ref="B28:E28"/>
    <mergeCell ref="B29:E29"/>
    <mergeCell ref="F25:M25"/>
    <mergeCell ref="F26:M26"/>
    <mergeCell ref="F27:M27"/>
    <mergeCell ref="AE22:AG24"/>
    <mergeCell ref="AH25:AJ27"/>
    <mergeCell ref="AM26:AN27"/>
    <mergeCell ref="AO22:AS23"/>
    <mergeCell ref="B27:E27"/>
    <mergeCell ref="F28:M28"/>
    <mergeCell ref="F29:M29"/>
    <mergeCell ref="L22:M22"/>
    <mergeCell ref="F24:M24"/>
    <mergeCell ref="B26:E26"/>
    <mergeCell ref="B40:C40"/>
    <mergeCell ref="F40:Q40"/>
    <mergeCell ref="B41:C41"/>
    <mergeCell ref="F41:Q41"/>
    <mergeCell ref="B42:C42"/>
    <mergeCell ref="F42:Q42"/>
    <mergeCell ref="B31:K31"/>
    <mergeCell ref="B32:F32"/>
    <mergeCell ref="G32:K32"/>
    <mergeCell ref="B33:F33"/>
    <mergeCell ref="G33:K33"/>
    <mergeCell ref="B34:F34"/>
    <mergeCell ref="G34:K34"/>
    <mergeCell ref="B36:C37"/>
    <mergeCell ref="D36:E36"/>
    <mergeCell ref="F36:Q37"/>
    <mergeCell ref="B38:C38"/>
    <mergeCell ref="F38:Q38"/>
    <mergeCell ref="B39:C39"/>
    <mergeCell ref="F39:Q39"/>
    <mergeCell ref="L15:M16"/>
    <mergeCell ref="J17:K17"/>
    <mergeCell ref="J18:K18"/>
    <mergeCell ref="J19:K19"/>
    <mergeCell ref="J20:K20"/>
    <mergeCell ref="J21:K21"/>
    <mergeCell ref="J22:K22"/>
    <mergeCell ref="L17:M17"/>
    <mergeCell ref="L18:M18"/>
    <mergeCell ref="L19:M19"/>
    <mergeCell ref="L20:M20"/>
    <mergeCell ref="L21:M21"/>
    <mergeCell ref="J15:K16"/>
    <mergeCell ref="F15:I15"/>
    <mergeCell ref="B15:E16"/>
    <mergeCell ref="B21:E21"/>
    <mergeCell ref="B22:E22"/>
    <mergeCell ref="B24:E24"/>
    <mergeCell ref="B25:E25"/>
    <mergeCell ref="B17:E17"/>
    <mergeCell ref="B18:E18"/>
    <mergeCell ref="B19:E19"/>
    <mergeCell ref="B20:E20"/>
    <mergeCell ref="AM2:BG2"/>
    <mergeCell ref="AO14:AS15"/>
    <mergeCell ref="AT6:BG7"/>
    <mergeCell ref="AM20:AN21"/>
    <mergeCell ref="AM22:AN23"/>
    <mergeCell ref="AO3:AS3"/>
    <mergeCell ref="AO4:AS5"/>
    <mergeCell ref="AO6:AS7"/>
    <mergeCell ref="AO8:AS9"/>
    <mergeCell ref="AT8:BG9"/>
    <mergeCell ref="AT3:BG3"/>
    <mergeCell ref="AT4:BG5"/>
    <mergeCell ref="AM3:AN3"/>
    <mergeCell ref="AM4:AN5"/>
    <mergeCell ref="AM6:AN7"/>
    <mergeCell ref="AM8:AN9"/>
    <mergeCell ref="AO16:AS17"/>
    <mergeCell ref="AO18:AS19"/>
    <mergeCell ref="AO20:AS21"/>
    <mergeCell ref="P12:Q12"/>
    <mergeCell ref="B13:Q13"/>
    <mergeCell ref="C4:E4"/>
    <mergeCell ref="F4:O4"/>
    <mergeCell ref="F6:O6"/>
    <mergeCell ref="C6:E6"/>
    <mergeCell ref="F7:O7"/>
    <mergeCell ref="F8:O8"/>
    <mergeCell ref="F12:O12"/>
    <mergeCell ref="C12:E12"/>
    <mergeCell ref="AO28:AS29"/>
    <mergeCell ref="AM30:AN31"/>
    <mergeCell ref="AO30:BG31"/>
    <mergeCell ref="AT28:BG29"/>
    <mergeCell ref="AM28:AN29"/>
    <mergeCell ref="AO10:AS11"/>
    <mergeCell ref="AO24:AS25"/>
    <mergeCell ref="AO26:AS27"/>
    <mergeCell ref="AT20:BG21"/>
    <mergeCell ref="AT22:BG23"/>
    <mergeCell ref="AT24:BG25"/>
    <mergeCell ref="AT14:BG15"/>
    <mergeCell ref="AT16:BG17"/>
    <mergeCell ref="AT18:BG19"/>
    <mergeCell ref="AT10:BG11"/>
    <mergeCell ref="AT12:BG13"/>
    <mergeCell ref="AO12:AS13"/>
    <mergeCell ref="AM24:AN25"/>
    <mergeCell ref="AM10:AN11"/>
    <mergeCell ref="AM12:AN13"/>
    <mergeCell ref="AM14:AN15"/>
    <mergeCell ref="AM16:AN17"/>
    <mergeCell ref="AM18:AN19"/>
    <mergeCell ref="AT26:BG27"/>
    <mergeCell ref="S2:AK2"/>
    <mergeCell ref="B2:Q2"/>
    <mergeCell ref="F3:O3"/>
    <mergeCell ref="C5:E5"/>
    <mergeCell ref="F5:O5"/>
    <mergeCell ref="C3:E3"/>
    <mergeCell ref="F9:O9"/>
    <mergeCell ref="F10:O10"/>
    <mergeCell ref="F11:O11"/>
    <mergeCell ref="C7:E7"/>
    <mergeCell ref="C8:E8"/>
    <mergeCell ref="C9:E9"/>
    <mergeCell ref="C10:E10"/>
    <mergeCell ref="C11:E11"/>
    <mergeCell ref="P10:Q10"/>
    <mergeCell ref="P11:Q11"/>
    <mergeCell ref="P7:Q7"/>
    <mergeCell ref="P8:Q8"/>
    <mergeCell ref="P9:Q9"/>
    <mergeCell ref="P3:Q3"/>
    <mergeCell ref="P4:Q4"/>
    <mergeCell ref="P5:Q5"/>
    <mergeCell ref="P6:Q6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튜토리얼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2026-02-05T05:37:22Z</dcterms:created>
  <dcterms:modified xsi:type="dcterms:W3CDTF">2026-02-10T09:04:36Z</dcterms:modified>
</cp:coreProperties>
</file>